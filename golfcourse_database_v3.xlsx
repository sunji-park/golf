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코스정보_국내" sheetId="1" state="visible" r:id="rId3"/>
    <sheet name="코스정보_일본" sheetId="2" state="visible" r:id="rId4"/>
    <sheet name="지역별집계" sheetId="3" state="visible" r:id="rId5"/>
    <sheet name="서비스확장로드맵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<sst xmlns="http://schemas.openxmlformats.org/spreadsheetml/2006/main" count="6459" uniqueCount="2456">
  <si>
    <r>
      <rPr>
        <b val="true"/>
        <sz val="12"/>
        <color rgb="FFFFFFFF"/>
        <rFont val="Arial"/>
        <family val="0"/>
        <charset val="1"/>
      </rPr>
      <t xml:space="preserve">⛳ GolfNow — </t>
    </r>
    <r>
      <rPr>
        <b val="true"/>
        <sz val="12"/>
        <color rgb="FFFFFFFF"/>
        <rFont val="DejaVu Sans"/>
        <family val="2"/>
      </rPr>
      <t xml:space="preserve">국내 골프장 마스터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총 </t>
    </r>
    <r>
      <rPr>
        <b val="true"/>
        <sz val="12"/>
        <color rgb="FFFFFFFF"/>
        <rFont val="Arial"/>
        <family val="0"/>
        <charset val="1"/>
      </rPr>
      <t xml:space="preserve">507</t>
    </r>
    <r>
      <rPr>
        <b val="true"/>
        <sz val="12"/>
        <color rgb="FFFFFFFF"/>
        <rFont val="DejaVu Sans"/>
        <family val="2"/>
      </rPr>
      <t xml:space="preserve">개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</si>
  <si>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No.</t>
  </si>
  <si>
    <t xml:space="preserve">지역</t>
  </si>
  <si>
    <t xml:space="preserve">골프장명</t>
  </si>
  <si>
    <t xml:space="preserve">세부종류</t>
  </si>
  <si>
    <t xml:space="preserve">소재지</t>
  </si>
  <si>
    <t xml:space="preserve">홀수</t>
  </si>
  <si>
    <r>
      <rPr>
        <b val="true"/>
        <sz val="10"/>
        <color rgb="FFFFFFFF"/>
        <rFont val="DejaVu Sans"/>
        <family val="2"/>
      </rPr>
      <t xml:space="preserve">파</t>
    </r>
    <r>
      <rPr>
        <b val="true"/>
        <sz val="10"/>
        <color rgb="FFFFFFFF"/>
        <rFont val="DejaVu Sans"/>
        <family val="2"/>
        <charset val="1"/>
      </rPr>
      <t xml:space="preserve">(Par)
=</t>
    </r>
    <r>
      <rPr>
        <b val="true"/>
        <sz val="10"/>
        <color rgb="FFFFFFFF"/>
        <rFont val="DejaVu Sans"/>
        <family val="2"/>
      </rPr>
      <t xml:space="preserve">홀수</t>
    </r>
    <r>
      <rPr>
        <b val="true"/>
        <sz val="10"/>
        <color rgb="FFFFFFFF"/>
        <rFont val="DejaVu Sans"/>
        <family val="2"/>
        <charset val="1"/>
      </rPr>
      <t xml:space="preserve">×4</t>
    </r>
  </si>
  <si>
    <r>
      <rPr>
        <b val="true"/>
        <sz val="10"/>
        <color rgb="FFFFFFFF"/>
        <rFont val="DejaVu Sans"/>
        <family val="2"/>
      </rPr>
      <t xml:space="preserve">총면적
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㎡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</si>
  <si>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사업자명</t>
  </si>
  <si>
    <r>
      <rPr>
        <b val="true"/>
        <sz val="10"/>
        <color rgb="FFFFFFFF"/>
        <rFont val="DejaVu Sans"/>
        <family val="2"/>
      </rPr>
      <t xml:space="preserve">티박스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</si>
  <si>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페어웨이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</si>
  <si>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그린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</si>
  <si>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페이스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</si>
  <si>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r>
      <rPr>
        <b val="true"/>
        <sz val="10"/>
        <color rgb="FFFFFFFF"/>
        <rFont val="DejaVu Sans"/>
        <family val="2"/>
      </rPr>
      <t xml:space="preserve">캐디
</t>
    </r>
    <r>
      <rPr>
        <b val="true"/>
        <sz val="10"/>
        <color rgb="FFFFFFFF"/>
        <rFont val="DejaVu Sans"/>
        <family val="2"/>
        <charset val="1"/>
      </rPr>
      <t xml:space="preserve">(1-5)</t>
    </r>
  </si>
  <si>
    <t xml:space="preserve">종합평점</t>
  </si>
  <si>
    <r>
      <rPr>
        <b val="true"/>
        <sz val="10"/>
        <color rgb="FFFFFFFF"/>
        <rFont val="DejaVu Sans"/>
        <family val="2"/>
      </rPr>
      <t xml:space="preserve">평균타수
</t>
    </r>
    <r>
      <rPr>
        <b val="true"/>
        <sz val="10"/>
        <color rgb="FFFFFFFF"/>
        <rFont val="DejaVu Sans"/>
        <family val="2"/>
        <charset val="1"/>
      </rPr>
      <t xml:space="preserve">(18</t>
    </r>
    <r>
      <rPr>
        <b val="true"/>
        <sz val="10"/>
        <color rgb="FFFFFFFF"/>
        <rFont val="DejaVu Sans"/>
        <family val="2"/>
      </rPr>
      <t xml:space="preserve">홀 기준</t>
    </r>
    <r>
      <rPr>
        <b val="true"/>
        <sz val="10"/>
        <color rgb="FFFFFFFF"/>
        <rFont val="DejaVu Sans"/>
        <family val="2"/>
        <charset val="1"/>
      </rPr>
      <t xml:space="preserve">)</t>
    </r>
  </si>
  <si>
    <t xml:space="preserve">슬로프</t>
  </si>
  <si>
    <t xml:space="preserve">코스
레이팅</t>
  </si>
  <si>
    <t xml:space="preserve">난이도</t>
  </si>
  <si>
    <t xml:space="preserve">서비스상태</t>
  </si>
  <si>
    <t xml:space="preserve">공식 홈페이지</t>
  </si>
  <si>
    <t xml:space="preserve">개장년도</t>
  </si>
  <si>
    <t xml:space="preserve">전화번호</t>
  </si>
  <si>
    <t xml:space="preserve">비고</t>
  </si>
  <si>
    <t xml:space="preserve">경기</t>
  </si>
  <si>
    <r>
      <rPr>
        <b val="true"/>
        <sz val="9"/>
        <color rgb="FF1A1A2E"/>
        <rFont val="Arial"/>
        <family val="2"/>
        <charset val="1"/>
      </rPr>
      <t xml:space="preserve">360</t>
    </r>
    <r>
      <rPr>
        <b val="true"/>
        <sz val="9"/>
        <color rgb="FF1A1A2E"/>
        <rFont val="DejaVu Sans"/>
        <family val="2"/>
      </rPr>
      <t xml:space="preserve">도</t>
    </r>
  </si>
  <si>
    <t xml:space="preserve">대중제</t>
  </si>
  <si>
    <r>
      <rPr>
        <sz val="9"/>
        <color rgb="FF1A1A2E"/>
        <rFont val="DejaVu Sans"/>
        <family val="2"/>
      </rPr>
      <t xml:space="preserve">여주시 강천면 부평로 </t>
    </r>
    <r>
      <rPr>
        <sz val="9"/>
        <color rgb="FF1A1A2E"/>
        <rFont val="DejaVu Sans"/>
        <family val="2"/>
        <charset val="1"/>
      </rPr>
      <t xml:space="preserve">609( </t>
    </r>
    <r>
      <rPr>
        <sz val="9"/>
        <color rgb="FF1A1A2E"/>
        <rFont val="DejaVu Sans"/>
        <family val="2"/>
      </rPr>
      <t xml:space="preserve">강천면 부평리 산</t>
    </r>
    <r>
      <rPr>
        <sz val="9"/>
        <color rgb="FF1A1A2E"/>
        <rFont val="DejaVu Sans"/>
        <family val="2"/>
        <charset val="1"/>
      </rPr>
      <t xml:space="preserve">59-3 </t>
    </r>
    <r>
      <rPr>
        <sz val="9"/>
        <color rgb="FF1A1A2E"/>
        <rFont val="DejaVu Sans"/>
        <family val="2"/>
      </rPr>
      <t xml:space="preserve">일원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</si>
  <si>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제이타우젠트㈜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</si>
  <si>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🔲 데이터수집예정</t>
  </si>
  <si>
    <t xml:space="preserve">88CC</t>
  </si>
  <si>
    <t xml:space="preserve">회원제</t>
  </si>
  <si>
    <r>
      <rPr>
        <sz val="9"/>
        <color rgb="FF1A1A2E"/>
        <rFont val="DejaVu Sans"/>
        <family val="2"/>
      </rPr>
      <t xml:space="preserve">용인시 기흥구 석성로 </t>
    </r>
    <r>
      <rPr>
        <sz val="9"/>
        <color rgb="FF1A1A2E"/>
        <rFont val="DejaVu Sans"/>
        <family val="2"/>
        <charset val="1"/>
      </rPr>
      <t xml:space="preserve">521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169</t>
    </r>
  </si>
  <si>
    <t xml:space="preserve">국가보훈처장</t>
  </si>
  <si>
    <t xml:space="preserve">https://www.88cc.co.kr/</t>
  </si>
  <si>
    <t xml:space="preserve">031-332-8811</t>
  </si>
  <si>
    <t xml:space="preserve">ROUTE 52CC</t>
  </si>
  <si>
    <r>
      <rPr>
        <sz val="9"/>
        <color rgb="FF1A1A2E"/>
        <rFont val="DejaVu Sans"/>
        <family val="2"/>
      </rPr>
      <t xml:space="preserve">여주시 북내면 중암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36</t>
    </r>
  </si>
  <si>
    <r>
      <rPr>
        <sz val="9"/>
        <color rgb="FF1A1A2E"/>
        <rFont val="DejaVu Sans"/>
        <family val="2"/>
      </rPr>
      <t xml:space="preserve">케이알레저주식회사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유용승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</si>
  <si>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㈜캐슬렉스서울 캐슬렉스골프클럽</t>
  </si>
  <si>
    <r>
      <rPr>
        <sz val="9"/>
        <color rgb="FF1A1A2E"/>
        <rFont val="DejaVu Sans"/>
        <family val="2"/>
      </rPr>
      <t xml:space="preserve">하남시 감이로 </t>
    </r>
    <r>
      <rPr>
        <sz val="9"/>
        <color rgb="FF1A1A2E"/>
        <rFont val="DejaVu Sans"/>
        <family val="2"/>
        <charset val="1"/>
      </rPr>
      <t xml:space="preserve">317(</t>
    </r>
    <r>
      <rPr>
        <sz val="9"/>
        <color rgb="FF1A1A2E"/>
        <rFont val="DejaVu Sans"/>
        <family val="2"/>
      </rPr>
      <t xml:space="preserve">감이동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</si>
  <si>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㈜캐슬렉스서울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이성무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</si>
  <si>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강남</t>
    </r>
    <r>
      <rPr>
        <b val="true"/>
        <sz val="9"/>
        <color rgb="FF1A1A2E"/>
        <rFont val="DejaVu Sans"/>
        <family val="2"/>
        <charset val="1"/>
      </rPr>
      <t xml:space="preserve">300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</si>
  <si>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광주시 새말길 </t>
    </r>
    <r>
      <rPr>
        <sz val="9"/>
        <color rgb="FF1A1A2E"/>
        <rFont val="DejaVu Sans"/>
        <family val="2"/>
        <charset val="1"/>
      </rPr>
      <t xml:space="preserve">353(</t>
    </r>
    <r>
      <rPr>
        <sz val="9"/>
        <color rgb="FF1A1A2E"/>
        <rFont val="DejaVu Sans"/>
        <family val="2"/>
      </rPr>
      <t xml:space="preserve">목동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</si>
  <si>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자인관광 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김한별</t>
    </r>
    <r>
      <rPr>
        <sz val="9"/>
        <color rgb="FF1A1A2E"/>
        <rFont val="DejaVu Sans"/>
        <family val="2"/>
        <charset val="1"/>
      </rPr>
      <t xml:space="preserve">)</t>
    </r>
  </si>
  <si>
    <t xml:space="preserve">고양컨트리클럽</t>
  </si>
  <si>
    <r>
      <rPr>
        <sz val="9"/>
        <color rgb="FF1A1A2E"/>
        <rFont val="DejaVu Sans"/>
        <family val="2"/>
      </rPr>
      <t xml:space="preserve">고양시 덕양구 흥도로 </t>
    </r>
    <r>
      <rPr>
        <sz val="9"/>
        <color rgb="FF1A1A2E"/>
        <rFont val="DejaVu Sans"/>
        <family val="2"/>
        <charset val="1"/>
      </rPr>
      <t xml:space="preserve">304-23</t>
    </r>
  </si>
  <si>
    <t xml:space="preserve">김기자</t>
  </si>
  <si>
    <r>
      <rPr>
        <b val="true"/>
        <sz val="9"/>
        <color rgb="FF1A1A2E"/>
        <rFont val="DejaVu Sans"/>
        <family val="2"/>
      </rPr>
      <t xml:space="preserve">곤지암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</si>
  <si>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광주시 도척면 도척윗로 </t>
    </r>
    <r>
      <rPr>
        <sz val="9"/>
        <color rgb="FF1A1A2E"/>
        <rFont val="DejaVu Sans"/>
        <family val="2"/>
        <charset val="1"/>
      </rPr>
      <t xml:space="preserve">280</t>
    </r>
  </si>
  <si>
    <r>
      <rPr>
        <sz val="9"/>
        <color rgb="FF1A1A2E"/>
        <rFont val="DejaVu Sans"/>
        <family val="2"/>
      </rPr>
      <t xml:space="preserve">주식회사 디앤오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이동언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</si>
  <si>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https://www.konjiamgolfclub.co.kr/</t>
  </si>
  <si>
    <t xml:space="preserve">031-760-3555</t>
  </si>
  <si>
    <r>
      <rPr>
        <b val="true"/>
        <sz val="9"/>
        <color rgb="FF1A1A2E"/>
        <rFont val="DejaVu Sans"/>
        <family val="2"/>
      </rPr>
      <t xml:space="preserve">골드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</si>
  <si>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기흥단지로 </t>
    </r>
    <r>
      <rPr>
        <sz val="9"/>
        <color rgb="FF1A1A2E"/>
        <rFont val="DejaVu Sans"/>
        <family val="2"/>
        <charset val="1"/>
      </rPr>
      <t xml:space="preserve">398</t>
    </r>
  </si>
  <si>
    <t xml:space="preserve">이응로</t>
  </si>
  <si>
    <r>
      <rPr>
        <b val="true"/>
        <sz val="9"/>
        <color rgb="FF1A1A2E"/>
        <rFont val="DejaVu Sans"/>
        <family val="2"/>
      </rPr>
      <t xml:space="preserve">골프존카운티 안성</t>
    </r>
    <r>
      <rPr>
        <b val="true"/>
        <sz val="9"/>
        <color rgb="FF1A1A2E"/>
        <rFont val="DejaVu Sans"/>
        <family val="2"/>
        <charset val="1"/>
      </rPr>
      <t xml:space="preserve">H</t>
    </r>
  </si>
  <si>
    <r>
      <rPr>
        <sz val="9"/>
        <color rgb="FF1A1A2E"/>
        <rFont val="DejaVu Sans"/>
        <family val="2"/>
      </rPr>
      <t xml:space="preserve">안성시 보개면 보삼로 </t>
    </r>
    <r>
      <rPr>
        <sz val="9"/>
        <color rgb="FF1A1A2E"/>
        <rFont val="DejaVu Sans"/>
        <family val="2"/>
        <charset val="1"/>
      </rPr>
      <t xml:space="preserve">302</t>
    </r>
  </si>
  <si>
    <r>
      <rPr>
        <sz val="9"/>
        <color rgb="FF1A1A2E"/>
        <rFont val="DejaVu Sans"/>
        <family val="2"/>
      </rPr>
      <t xml:space="preserve">㈜골프존카운티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서상현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</si>
  <si>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골프존카운티 안성</t>
    </r>
    <r>
      <rPr>
        <b val="true"/>
        <sz val="9"/>
        <color rgb="FF1A1A2E"/>
        <rFont val="DejaVu Sans"/>
        <family val="2"/>
        <charset val="1"/>
      </rPr>
      <t xml:space="preserve">W</t>
    </r>
  </si>
  <si>
    <r>
      <rPr>
        <sz val="9"/>
        <color rgb="FF1A1A2E"/>
        <rFont val="DejaVu Sans"/>
        <family val="2"/>
      </rPr>
      <t xml:space="preserve">안성시 양성면 교동길 </t>
    </r>
    <r>
      <rPr>
        <sz val="9"/>
        <color rgb="FF1A1A2E"/>
        <rFont val="DejaVu Sans"/>
        <family val="2"/>
        <charset val="1"/>
      </rPr>
      <t xml:space="preserve">19-70</t>
    </r>
  </si>
  <si>
    <r>
      <rPr>
        <b val="true"/>
        <sz val="9"/>
        <color rgb="FF1A1A2E"/>
        <rFont val="DejaVu Sans"/>
        <family val="2"/>
      </rPr>
      <t xml:space="preserve">골프클럽</t>
    </r>
    <r>
      <rPr>
        <b val="true"/>
        <sz val="9"/>
        <color rgb="FF1A1A2E"/>
        <rFont val="DejaVu Sans"/>
        <family val="2"/>
        <charset val="1"/>
      </rPr>
      <t xml:space="preserve">Q</t>
    </r>
  </si>
  <si>
    <r>
      <rPr>
        <sz val="9"/>
        <color rgb="FF1A1A2E"/>
        <rFont val="DejaVu Sans"/>
        <family val="2"/>
      </rPr>
      <t xml:space="preserve">안성시 죽산면 장계길 </t>
    </r>
    <r>
      <rPr>
        <sz val="9"/>
        <color rgb="FF1A1A2E"/>
        <rFont val="DejaVu Sans"/>
        <family val="2"/>
        <charset val="1"/>
      </rPr>
      <t xml:space="preserve">20-229</t>
    </r>
  </si>
  <si>
    <r>
      <rPr>
        <sz val="9"/>
        <color rgb="FF1A1A2E"/>
        <rFont val="DejaVu Sans"/>
        <family val="2"/>
      </rPr>
      <t xml:space="preserve">골프클럽큐레저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전상필</t>
    </r>
    <r>
      <rPr>
        <sz val="9"/>
        <color rgb="FF1A1A2E"/>
        <rFont val="DejaVu Sans"/>
        <family val="2"/>
        <charset val="1"/>
      </rPr>
      <t xml:space="preserve">)</t>
    </r>
  </si>
  <si>
    <t xml:space="preserve">그린힐컨트리클럽</t>
  </si>
  <si>
    <r>
      <rPr>
        <sz val="9"/>
        <color rgb="FF1A1A2E"/>
        <rFont val="DejaVu Sans"/>
        <family val="2"/>
      </rPr>
      <t xml:space="preserve">광주시 곤지암읍 내선길 </t>
    </r>
    <r>
      <rPr>
        <sz val="9"/>
        <color rgb="FF1A1A2E"/>
        <rFont val="DejaVu Sans"/>
        <family val="2"/>
        <charset val="1"/>
      </rPr>
      <t xml:space="preserve">176</t>
    </r>
  </si>
  <si>
    <r>
      <rPr>
        <sz val="9"/>
        <color rgb="FF1A1A2E"/>
        <rFont val="DejaVu Sans"/>
        <family val="2"/>
      </rPr>
      <t xml:space="preserve">신안개발㈜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박훈</t>
    </r>
    <r>
      <rPr>
        <sz val="9"/>
        <color rgb="FF1A1A2E"/>
        <rFont val="DejaVu Sans"/>
        <family val="2"/>
        <charset val="1"/>
      </rPr>
      <t xml:space="preserve">)</t>
    </r>
  </si>
  <si>
    <t xml:space="preserve">글렌로스골프클럽</t>
  </si>
  <si>
    <r>
      <rPr>
        <sz val="9"/>
        <color rgb="FF1A1A2E"/>
        <rFont val="DejaVu Sans"/>
        <family val="2"/>
      </rPr>
      <t xml:space="preserve">용인시 처인구 포곡읍 에버랜드로 </t>
    </r>
    <r>
      <rPr>
        <sz val="9"/>
        <color rgb="FF1A1A2E"/>
        <rFont val="DejaVu Sans"/>
        <family val="2"/>
        <charset val="1"/>
      </rPr>
      <t xml:space="preserve">562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69</t>
    </r>
  </si>
  <si>
    <t xml:space="preserve">한승환</t>
  </si>
  <si>
    <t xml:space="preserve">금강</t>
  </si>
  <si>
    <r>
      <rPr>
        <sz val="9"/>
        <color rgb="FF1A1A2E"/>
        <rFont val="DejaVu Sans"/>
        <family val="2"/>
      </rPr>
      <t xml:space="preserve">여주시 가남읍 여주남로 </t>
    </r>
    <r>
      <rPr>
        <sz val="9"/>
        <color rgb="FF1A1A2E"/>
        <rFont val="DejaVu Sans"/>
        <family val="2"/>
        <charset val="1"/>
      </rPr>
      <t xml:space="preserve">541(</t>
    </r>
    <r>
      <rPr>
        <sz val="9"/>
        <color rgb="FF1A1A2E"/>
        <rFont val="DejaVu Sans"/>
        <family val="2"/>
      </rPr>
      <t xml:space="preserve">가남면 본두리 </t>
    </r>
    <r>
      <rPr>
        <sz val="9"/>
        <color rgb="FF1A1A2E"/>
        <rFont val="DejaVu Sans"/>
        <family val="2"/>
        <charset val="1"/>
      </rPr>
      <t xml:space="preserve">1-2)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</si>
  <si>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금강레저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안경근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</si>
  <si>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기흥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</si>
  <si>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화성시 동탄면 풀무골로</t>
    </r>
    <r>
      <rPr>
        <sz val="9"/>
        <color rgb="FF1A1A2E"/>
        <rFont val="DejaVu Sans"/>
        <family val="2"/>
        <charset val="1"/>
      </rPr>
      <t xml:space="preserve">106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244</t>
    </r>
  </si>
  <si>
    <r>
      <rPr>
        <sz val="9"/>
        <color rgb="FF1A1A2E"/>
        <rFont val="DejaVu Sans"/>
        <family val="2"/>
      </rPr>
      <t xml:space="preserve">삼남개발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김장자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</si>
  <si>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https://www.ghcc.kr/</t>
  </si>
  <si>
    <t xml:space="preserve">031-288-4001</t>
  </si>
  <si>
    <r>
      <rPr>
        <b val="true"/>
        <sz val="9"/>
        <color rgb="FF1A1A2E"/>
        <rFont val="DejaVu Sans"/>
        <family val="2"/>
      </rPr>
      <t xml:space="preserve">김포 </t>
    </r>
    <r>
      <rPr>
        <b val="true"/>
        <sz val="9"/>
        <color rgb="FF1A1A2E"/>
        <rFont val="DejaVu Sans"/>
        <family val="2"/>
        <charset val="1"/>
      </rPr>
      <t xml:space="preserve">SEASIDE 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</si>
  <si>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김포시 월곶면 김포대로 </t>
    </r>
    <r>
      <rPr>
        <sz val="9"/>
        <color rgb="FF1A1A2E"/>
        <rFont val="DejaVu Sans"/>
        <family val="2"/>
        <charset val="1"/>
      </rPr>
      <t xml:space="preserve">2081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219</t>
    </r>
  </si>
  <si>
    <r>
      <rPr>
        <sz val="9"/>
        <color rgb="FF1A1A2E"/>
        <rFont val="DejaVu Sans"/>
        <family val="2"/>
      </rPr>
      <t xml:space="preserve">해강개발주식회사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정인철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</si>
  <si>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남부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</si>
  <si>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사은로 </t>
    </r>
    <r>
      <rPr>
        <sz val="9"/>
        <color rgb="FF1A1A2E"/>
        <rFont val="DejaVu Sans"/>
        <family val="2"/>
        <charset val="1"/>
      </rPr>
      <t xml:space="preserve">163</t>
    </r>
  </si>
  <si>
    <t xml:space="preserve">정원석</t>
  </si>
  <si>
    <t xml:space="preserve">https://www.namboocc.co.kr/</t>
  </si>
  <si>
    <t xml:space="preserve">031-286-6100</t>
  </si>
  <si>
    <t xml:space="preserve">남서울컨트리클럽</t>
  </si>
  <si>
    <r>
      <rPr>
        <sz val="9"/>
        <color rgb="FF1A1A2E"/>
        <rFont val="DejaVu Sans"/>
        <family val="2"/>
      </rPr>
      <t xml:space="preserve">성남시 분당구 안양판교로</t>
    </r>
    <r>
      <rPr>
        <sz val="9"/>
        <color rgb="FF1A1A2E"/>
        <rFont val="DejaVu Sans"/>
        <family val="2"/>
        <charset val="1"/>
      </rPr>
      <t xml:space="preserve">1201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1201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</si>
  <si>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경원건설정철승</t>
    </r>
  </si>
  <si>
    <t xml:space="preserve">중급</t>
  </si>
  <si>
    <t xml:space="preserve">✅ 서비스중</t>
  </si>
  <si>
    <t xml:space="preserve">https://www.nscc.co.kr</t>
  </si>
  <si>
    <t xml:space="preserve">031-707-0071</t>
  </si>
  <si>
    <r>
      <rPr>
        <b val="true"/>
        <sz val="9"/>
        <color rgb="FF1A1A2E"/>
        <rFont val="DejaVu Sans"/>
        <family val="2"/>
      </rPr>
      <t xml:space="preserve">남양주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</si>
  <si>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오남읍 진건오남로</t>
    </r>
    <r>
      <rPr>
        <sz val="9"/>
        <color rgb="FF1A1A2E"/>
        <rFont val="DejaVu Sans"/>
        <family val="2"/>
        <charset val="1"/>
      </rPr>
      <t xml:space="preserve">536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44</t>
    </r>
  </si>
  <si>
    <t xml:space="preserve">라미드관광주식회사문병근</t>
  </si>
  <si>
    <t xml:space="preserve">남여주</t>
  </si>
  <si>
    <r>
      <rPr>
        <sz val="9"/>
        <color rgb="FF1A1A2E"/>
        <rFont val="DejaVu Sans"/>
        <family val="2"/>
      </rPr>
      <t xml:space="preserve">여주시 가여로 </t>
    </r>
    <r>
      <rPr>
        <sz val="9"/>
        <color rgb="FF1A1A2E"/>
        <rFont val="DejaVu Sans"/>
        <family val="2"/>
        <charset val="1"/>
      </rPr>
      <t xml:space="preserve">532(</t>
    </r>
    <r>
      <rPr>
        <sz val="9"/>
        <color rgb="FF1A1A2E"/>
        <rFont val="DejaVu Sans"/>
        <family val="2"/>
      </rPr>
      <t xml:space="preserve">여주읍 하거리 산</t>
    </r>
    <r>
      <rPr>
        <sz val="9"/>
        <color rgb="FF1A1A2E"/>
        <rFont val="DejaVu Sans"/>
        <family val="2"/>
        <charset val="1"/>
      </rPr>
      <t xml:space="preserve">49)</t>
    </r>
  </si>
  <si>
    <r>
      <rPr>
        <sz val="9"/>
        <color rgb="FF1A1A2E"/>
        <rFont val="DejaVu Sans"/>
        <family val="2"/>
      </rPr>
      <t xml:space="preserve">남여주레저개발㈜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강봉석</t>
    </r>
    <r>
      <rPr>
        <sz val="9"/>
        <color rgb="FF1A1A2E"/>
        <rFont val="DejaVu Sans"/>
        <family val="2"/>
        <charset val="1"/>
      </rPr>
      <t xml:space="preserve">)</t>
    </r>
  </si>
  <si>
    <t xml:space="preserve">남촌컨트리클럽</t>
  </si>
  <si>
    <r>
      <rPr>
        <sz val="9"/>
        <color rgb="FF1A1A2E"/>
        <rFont val="DejaVu Sans"/>
        <family val="2"/>
      </rPr>
      <t xml:space="preserve">광주시 곤지암읍 부항길 </t>
    </r>
    <r>
      <rPr>
        <sz val="9"/>
        <color rgb="FF1A1A2E"/>
        <rFont val="DejaVu Sans"/>
        <family val="2"/>
        <charset val="1"/>
      </rPr>
      <t xml:space="preserve">135-38</t>
    </r>
  </si>
  <si>
    <r>
      <rPr>
        <sz val="9"/>
        <color rgb="FF1A1A2E"/>
        <rFont val="DejaVu Sans"/>
        <family val="2"/>
      </rPr>
      <t xml:space="preserve">남촌레저개발㈜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한명희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</si>
  <si>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노스팜</t>
  </si>
  <si>
    <r>
      <rPr>
        <sz val="9"/>
        <color rgb="FF1A1A2E"/>
        <rFont val="DejaVu Sans"/>
        <family val="2"/>
      </rPr>
      <t xml:space="preserve">파주시 광탄면 쇠장이길 </t>
    </r>
    <r>
      <rPr>
        <sz val="9"/>
        <color rgb="FF1A1A2E"/>
        <rFont val="DejaVu Sans"/>
        <family val="2"/>
        <charset val="1"/>
      </rPr>
      <t xml:space="preserve">227</t>
    </r>
  </si>
  <si>
    <r>
      <rPr>
        <sz val="9"/>
        <color rgb="FF1A1A2E"/>
        <rFont val="DejaVu Sans"/>
        <family val="2"/>
      </rPr>
      <t xml:space="preserve">㈜노스팜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김정춘</t>
    </r>
    <r>
      <rPr>
        <sz val="9"/>
        <color rgb="FF1A1A2E"/>
        <rFont val="DejaVu Sans"/>
        <family val="2"/>
        <charset val="1"/>
      </rPr>
      <t xml:space="preserve">)</t>
    </r>
  </si>
  <si>
    <t xml:space="preserve">뉴서울컨트리클럽</t>
  </si>
  <si>
    <r>
      <rPr>
        <sz val="9"/>
        <color rgb="FF1A1A2E"/>
        <rFont val="DejaVu Sans"/>
        <family val="2"/>
      </rPr>
      <t xml:space="preserve">광주시 삼지곡길 </t>
    </r>
    <r>
      <rPr>
        <sz val="9"/>
        <color rgb="FF1A1A2E"/>
        <rFont val="DejaVu Sans"/>
        <family val="2"/>
        <charset val="1"/>
      </rPr>
      <t xml:space="preserve">95(</t>
    </r>
    <r>
      <rPr>
        <sz val="9"/>
        <color rgb="FF1A1A2E"/>
        <rFont val="DejaVu Sans"/>
        <family val="2"/>
      </rPr>
      <t xml:space="preserve">삼동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</si>
  <si>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한국문화예술위원회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박종관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</si>
  <si>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https://www.newseoulgolf.co.kr/</t>
  </si>
  <si>
    <t xml:space="preserve">031-760-8000</t>
  </si>
  <si>
    <r>
      <rPr>
        <b val="true"/>
        <sz val="9"/>
        <color rgb="FF1A1A2E"/>
        <rFont val="DejaVu Sans"/>
        <family val="2"/>
      </rPr>
      <t xml:space="preserve">뉴스프링빌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</si>
  <si>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사실로 </t>
    </r>
    <r>
      <rPr>
        <sz val="9"/>
        <color rgb="FF1A1A2E"/>
        <rFont val="DejaVu Sans"/>
        <family val="2"/>
        <charset val="1"/>
      </rPr>
      <t xml:space="preserve">527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158</t>
    </r>
  </si>
  <si>
    <r>
      <rPr>
        <sz val="9"/>
        <color rgb="FF1A1A2E"/>
        <rFont val="DejaVu Sans"/>
        <family val="2"/>
      </rPr>
      <t xml:space="preserve">㈜동승골프앤리조트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양병덕</t>
    </r>
    <r>
      <rPr>
        <sz val="9"/>
        <color rgb="FF1A1A2E"/>
        <rFont val="DejaVu Sans"/>
        <family val="2"/>
        <charset val="1"/>
      </rPr>
      <t xml:space="preserve">)</t>
    </r>
  </si>
  <si>
    <t xml:space="preserve">뉴코리아 컨트리클럽</t>
  </si>
  <si>
    <r>
      <rPr>
        <sz val="9"/>
        <color rgb="FF1A1A2E"/>
        <rFont val="DejaVu Sans"/>
        <family val="2"/>
      </rPr>
      <t xml:space="preserve">고양시 덕양구 신원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57</t>
    </r>
  </si>
  <si>
    <t xml:space="preserve">성하현</t>
  </si>
  <si>
    <t xml:space="preserve">https://www.newkoreacc.co.kr/</t>
  </si>
  <si>
    <t xml:space="preserve">02-353-0091</t>
  </si>
  <si>
    <r>
      <rPr>
        <b val="true"/>
        <sz val="9"/>
        <color rgb="FF1A1A2E"/>
        <rFont val="DejaVu Sans"/>
        <family val="2"/>
      </rPr>
      <t xml:space="preserve">더반</t>
    </r>
    <r>
      <rPr>
        <b val="true"/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</si>
  <si>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이천시 대월면 대월로 </t>
    </r>
    <r>
      <rPr>
        <sz val="9"/>
        <color rgb="FF1A1A2E"/>
        <rFont val="DejaVu Sans"/>
        <family val="2"/>
        <charset val="1"/>
      </rPr>
      <t xml:space="preserve">627-141</t>
    </r>
  </si>
  <si>
    <r>
      <rPr>
        <sz val="9"/>
        <color rgb="FF1A1A2E"/>
        <rFont val="DejaVu Sans"/>
        <family val="2"/>
      </rPr>
      <t xml:space="preserve">㈜명문투자개발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우석민</t>
    </r>
    <r>
      <rPr>
        <sz val="9"/>
        <color rgb="FF1A1A2E"/>
        <rFont val="DejaVu Sans"/>
        <family val="2"/>
        <charset val="1"/>
      </rPr>
      <t xml:space="preserve">)</t>
    </r>
  </si>
  <si>
    <t xml:space="preserve">더크로스비골프클럽</t>
  </si>
  <si>
    <r>
      <rPr>
        <sz val="9"/>
        <color rgb="FF1A1A2E"/>
        <rFont val="DejaVu Sans"/>
        <family val="2"/>
      </rPr>
      <t xml:space="preserve">이천시 호법면 중부대로</t>
    </r>
    <r>
      <rPr>
        <sz val="9"/>
        <color rgb="FF1A1A2E"/>
        <rFont val="DejaVu Sans"/>
        <family val="2"/>
        <charset val="1"/>
      </rPr>
      <t xml:space="preserve">798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177</t>
    </r>
  </si>
  <si>
    <r>
      <rPr>
        <sz val="9"/>
        <color rgb="FF1A1A2E"/>
        <rFont val="DejaVu Sans"/>
        <family val="2"/>
      </rPr>
      <t xml:space="preserve">주식회사 호법포레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김한룡</t>
    </r>
    <r>
      <rPr>
        <sz val="9"/>
        <color rgb="FF1A1A2E"/>
        <rFont val="DejaVu Sans"/>
        <family val="2"/>
        <charset val="1"/>
      </rPr>
      <t xml:space="preserve">)</t>
    </r>
  </si>
  <si>
    <t xml:space="preserve">라비돌대중</t>
  </si>
  <si>
    <r>
      <rPr>
        <sz val="9"/>
        <color rgb="FF1A1A2E"/>
        <rFont val="DejaVu Sans"/>
        <family val="2"/>
      </rPr>
      <t xml:space="preserve">화성시 정남면 세자로 </t>
    </r>
    <r>
      <rPr>
        <sz val="9"/>
        <color rgb="FF1A1A2E"/>
        <rFont val="DejaVu Sans"/>
        <family val="2"/>
        <charset val="1"/>
      </rPr>
      <t xml:space="preserve">286</t>
    </r>
  </si>
  <si>
    <r>
      <rPr>
        <sz val="9"/>
        <color rgb="FF1A1A2E"/>
        <rFont val="DejaVu Sans"/>
        <family val="2"/>
      </rPr>
      <t xml:space="preserve">㈜라비돌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최서원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</si>
  <si>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라싸 골프클럽</t>
  </si>
  <si>
    <r>
      <rPr>
        <sz val="9"/>
        <color rgb="FF1A1A2E"/>
        <rFont val="DejaVu Sans"/>
        <family val="2"/>
      </rPr>
      <t xml:space="preserve">포천시 이동면 산</t>
    </r>
    <r>
      <rPr>
        <sz val="9"/>
        <color rgb="FF1A1A2E"/>
        <rFont val="DejaVu Sans"/>
        <family val="2"/>
        <charset val="1"/>
      </rPr>
      <t xml:space="preserve">142-1</t>
    </r>
    <r>
      <rPr>
        <sz val="9"/>
        <color rgb="FF1A1A2E"/>
        <rFont val="DejaVu Sans"/>
        <family val="2"/>
      </rPr>
      <t xml:space="preserve">번지 일원</t>
    </r>
  </si>
  <si>
    <r>
      <rPr>
        <sz val="9"/>
        <color rgb="FF1A1A2E"/>
        <rFont val="DejaVu Sans"/>
        <family val="2"/>
      </rPr>
      <t xml:space="preserve">라싸디벨로프먼트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양창모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</si>
  <si>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레이크사이드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</si>
  <si>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모현읍 능원로 </t>
    </r>
    <r>
      <rPr>
        <sz val="9"/>
        <color rgb="FF1A1A2E"/>
        <rFont val="DejaVu Sans"/>
        <family val="2"/>
        <charset val="1"/>
      </rPr>
      <t xml:space="preserve">181</t>
    </r>
  </si>
  <si>
    <t xml:space="preserve">문지태</t>
  </si>
  <si>
    <t xml:space="preserve">https://www.lakeside.kr</t>
  </si>
  <si>
    <t xml:space="preserve">031-321-8000</t>
  </si>
  <si>
    <t xml:space="preserve">레이크우드 골프장</t>
  </si>
  <si>
    <r>
      <rPr>
        <sz val="9"/>
        <color rgb="FF1A1A2E"/>
        <rFont val="DejaVu Sans"/>
        <family val="2"/>
      </rPr>
      <t xml:space="preserve">양주시 만송로 </t>
    </r>
    <r>
      <rPr>
        <sz val="9"/>
        <color rgb="FF1A1A2E"/>
        <rFont val="DejaVu Sans"/>
        <family val="2"/>
        <charset val="1"/>
      </rPr>
      <t xml:space="preserve">244</t>
    </r>
  </si>
  <si>
    <t xml:space="preserve">최태영</t>
  </si>
  <si>
    <t xml:space="preserve">https://lakewood.co.kr/</t>
  </si>
  <si>
    <t xml:space="preserve">031-860-0100</t>
  </si>
  <si>
    <t xml:space="preserve">렉스필드</t>
  </si>
  <si>
    <r>
      <rPr>
        <sz val="9"/>
        <color rgb="FF1A1A2E"/>
        <rFont val="DejaVu Sans"/>
        <family val="2"/>
      </rPr>
      <t xml:space="preserve">여주시 산북면 광여로 </t>
    </r>
    <r>
      <rPr>
        <sz val="9"/>
        <color rgb="FF1A1A2E"/>
        <rFont val="DejaVu Sans"/>
        <family val="2"/>
        <charset val="1"/>
      </rPr>
      <t xml:space="preserve">1115(</t>
    </r>
    <r>
      <rPr>
        <sz val="9"/>
        <color rgb="FF1A1A2E"/>
        <rFont val="DejaVu Sans"/>
        <family val="2"/>
      </rPr>
      <t xml:space="preserve">산북면 상품리 산</t>
    </r>
    <r>
      <rPr>
        <sz val="9"/>
        <color rgb="FF1A1A2E"/>
        <rFont val="DejaVu Sans"/>
        <family val="2"/>
        <charset val="1"/>
      </rPr>
      <t xml:space="preserve">108)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</si>
  <si>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렉스필드 컨트리클럽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남기성</t>
    </r>
    <r>
      <rPr>
        <sz val="9"/>
        <color rgb="FF1A1A2E"/>
        <rFont val="Arial"/>
        <family val="2"/>
        <charset val="1"/>
      </rPr>
      <t xml:space="preserve">)</t>
    </r>
  </si>
  <si>
    <t xml:space="preserve">https://www.rexfield.co.kr/</t>
  </si>
  <si>
    <t xml:space="preserve">031-883-5200</t>
  </si>
  <si>
    <t xml:space="preserve">로얄개발㈜ 레이크우드 골프장</t>
  </si>
  <si>
    <t xml:space="preserve">루나힐스 안성컨트리클럽</t>
  </si>
  <si>
    <r>
      <rPr>
        <sz val="9"/>
        <color rgb="FF1A1A2E"/>
        <rFont val="DejaVu Sans"/>
        <family val="2"/>
      </rPr>
      <t xml:space="preserve">안성시 양성면 약산길 </t>
    </r>
    <r>
      <rPr>
        <sz val="9"/>
        <color rgb="FF1A1A2E"/>
        <rFont val="DejaVu Sans"/>
        <family val="2"/>
        <charset val="1"/>
      </rPr>
      <t xml:space="preserve">67-6</t>
    </r>
  </si>
  <si>
    <r>
      <rPr>
        <sz val="9"/>
        <color rgb="FF1A1A2E"/>
        <rFont val="DejaVu Sans"/>
        <family val="2"/>
      </rPr>
      <t xml:space="preserve">블루원레저㈜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정영채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</si>
  <si>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리베라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</si>
  <si>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화성시 동탄면 중리길 </t>
    </r>
    <r>
      <rPr>
        <sz val="9"/>
        <color rgb="FF1A1A2E"/>
        <rFont val="DejaVu Sans"/>
        <family val="2"/>
        <charset val="1"/>
      </rPr>
      <t xml:space="preserve">183</t>
    </r>
  </si>
  <si>
    <r>
      <rPr>
        <sz val="9"/>
        <color rgb="FF1A1A2E"/>
        <rFont val="DejaVu Sans"/>
        <family val="2"/>
      </rPr>
      <t xml:space="preserve">㈜관악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이진철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</si>
  <si>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리앤리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</si>
  <si>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가평군 조종면 운악청계로 </t>
    </r>
    <r>
      <rPr>
        <sz val="9"/>
        <color rgb="FF1A1A2E"/>
        <rFont val="DejaVu Sans"/>
        <family val="2"/>
        <charset val="1"/>
      </rPr>
      <t xml:space="preserve">702-24</t>
    </r>
  </si>
  <si>
    <r>
      <rPr>
        <sz val="9"/>
        <color rgb="FF1A1A2E"/>
        <rFont val="DejaVu Sans"/>
        <family val="2"/>
      </rPr>
      <t xml:space="preserve">리앤리어드바이저스㈜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이강복</t>
    </r>
    <r>
      <rPr>
        <sz val="9"/>
        <color rgb="FF1A1A2E"/>
        <rFont val="DejaVu Sans"/>
        <family val="2"/>
        <charset val="1"/>
      </rPr>
      <t xml:space="preserve">)</t>
    </r>
  </si>
  <si>
    <t xml:space="preserve">링크나인골프클럽</t>
  </si>
  <si>
    <r>
      <rPr>
        <sz val="9"/>
        <color rgb="FF1A1A2E"/>
        <rFont val="DejaVu Sans"/>
        <family val="2"/>
      </rPr>
      <t xml:space="preserve">화성시 마도면 해운로</t>
    </r>
    <r>
      <rPr>
        <sz val="9"/>
        <color rgb="FF1A1A2E"/>
        <rFont val="DejaVu Sans"/>
        <family val="2"/>
        <charset val="1"/>
      </rPr>
      <t xml:space="preserve">630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49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</si>
  <si>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금당개발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소홍서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</si>
  <si>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마에스트로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</si>
  <si>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안성시 양성면 안성맞춤대로 </t>
    </r>
    <r>
      <rPr>
        <sz val="9"/>
        <color rgb="FF1A1A2E"/>
        <rFont val="DejaVu Sans"/>
        <family val="2"/>
        <charset val="1"/>
      </rPr>
      <t xml:space="preserve">2134-36</t>
    </r>
  </si>
  <si>
    <r>
      <rPr>
        <sz val="9"/>
        <color rgb="FF1A1A2E"/>
        <rFont val="DejaVu Sans"/>
        <family val="2"/>
      </rPr>
      <t xml:space="preserve">천원종합개발㈜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이성욱</t>
    </r>
    <r>
      <rPr>
        <sz val="9"/>
        <color rgb="FF1A1A2E"/>
        <rFont val="DejaVu Sans"/>
        <family val="2"/>
        <charset val="1"/>
      </rPr>
      <t xml:space="preserve">)</t>
    </r>
  </si>
  <si>
    <t xml:space="preserve">몽베르컨트리클럽</t>
  </si>
  <si>
    <r>
      <rPr>
        <sz val="9"/>
        <color rgb="FF1A1A2E"/>
        <rFont val="DejaVu Sans"/>
        <family val="2"/>
      </rPr>
      <t xml:space="preserve">포천시 영북면 산정호수로 </t>
    </r>
    <r>
      <rPr>
        <sz val="9"/>
        <color rgb="FF1A1A2E"/>
        <rFont val="DejaVu Sans"/>
        <family val="2"/>
        <charset val="1"/>
      </rPr>
      <t xml:space="preserve">359-12</t>
    </r>
  </si>
  <si>
    <r>
      <rPr>
        <sz val="9"/>
        <color rgb="FF1A1A2E"/>
        <rFont val="DejaVu Sans"/>
        <family val="2"/>
      </rPr>
      <t xml:space="preserve">㈜동강홀딩스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김상국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㈜스마트홀딩스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김봉성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</si>
  <si>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https://www.monbert.co.kr/</t>
  </si>
  <si>
    <t xml:space="preserve">031-539-4000</t>
  </si>
  <si>
    <r>
      <rPr>
        <b val="true"/>
        <sz val="9"/>
        <color rgb="FF1A1A2E"/>
        <rFont val="DejaVu Sans"/>
        <family val="2"/>
      </rPr>
      <t xml:space="preserve">발리오스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</si>
  <si>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화성시 팔탄면 </t>
    </r>
    <r>
      <rPr>
        <sz val="9"/>
        <color rgb="FF1A1A2E"/>
        <rFont val="DejaVu Sans"/>
        <family val="2"/>
        <charset val="1"/>
      </rPr>
      <t xml:space="preserve">3.1</t>
    </r>
    <r>
      <rPr>
        <sz val="9"/>
        <color rgb="FF1A1A2E"/>
        <rFont val="DejaVu Sans"/>
        <family val="2"/>
      </rPr>
      <t xml:space="preserve">만세로 </t>
    </r>
    <r>
      <rPr>
        <sz val="9"/>
        <color rgb="FF1A1A2E"/>
        <rFont val="DejaVu Sans"/>
        <family val="2"/>
        <charset val="1"/>
      </rPr>
      <t xml:space="preserve">641-28</t>
    </r>
  </si>
  <si>
    <r>
      <rPr>
        <sz val="9"/>
        <color rgb="FF1A1A2E"/>
        <rFont val="DejaVu Sans"/>
        <family val="2"/>
      </rPr>
      <t xml:space="preserve">신창기업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배창환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</si>
  <si>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발리오스대중</t>
  </si>
  <si>
    <r>
      <rPr>
        <b val="true"/>
        <sz val="9"/>
        <color rgb="FF1A1A2E"/>
        <rFont val="DejaVu Sans"/>
        <family val="2"/>
      </rPr>
      <t xml:space="preserve">베네스트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</si>
  <si>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상면 둔덕말길 </t>
    </r>
    <r>
      <rPr>
        <sz val="9"/>
        <color rgb="FF1A1A2E"/>
        <rFont val="DejaVu Sans"/>
        <family val="2"/>
        <charset val="1"/>
      </rPr>
      <t xml:space="preserve">232</t>
    </r>
  </si>
  <si>
    <r>
      <rPr>
        <sz val="9"/>
        <color rgb="FF1A1A2E"/>
        <rFont val="DejaVu Sans"/>
        <family val="2"/>
      </rPr>
      <t xml:space="preserve">삼성물산㈜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정금용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</si>
  <si>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베뉴지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</si>
  <si>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가평군 가평읍 용추로 </t>
    </r>
    <r>
      <rPr>
        <sz val="9"/>
        <color rgb="FF1A1A2E"/>
        <rFont val="DejaVu Sans"/>
        <family val="2"/>
        <charset val="1"/>
      </rPr>
      <t xml:space="preserve">171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100</t>
    </r>
  </si>
  <si>
    <r>
      <rPr>
        <sz val="9"/>
        <color rgb="FF1A1A2E"/>
        <rFont val="DejaVu Sans"/>
        <family val="2"/>
      </rPr>
      <t xml:space="preserve">부국관광㈜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김연경</t>
    </r>
    <r>
      <rPr>
        <sz val="9"/>
        <color rgb="FF1A1A2E"/>
        <rFont val="DejaVu Sans"/>
        <family val="2"/>
        <charset val="1"/>
      </rPr>
      <t xml:space="preserve">)</t>
    </r>
  </si>
  <si>
    <t xml:space="preserve">베스트밸리</t>
  </si>
  <si>
    <r>
      <rPr>
        <sz val="9"/>
        <color rgb="FF1A1A2E"/>
        <rFont val="DejaVu Sans"/>
        <family val="2"/>
      </rPr>
      <t xml:space="preserve">파주시 광탄면 장지산로</t>
    </r>
    <r>
      <rPr>
        <sz val="9"/>
        <color rgb="FF1A1A2E"/>
        <rFont val="DejaVu Sans"/>
        <family val="2"/>
        <charset val="1"/>
      </rPr>
      <t xml:space="preserve">200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32-41</t>
    </r>
  </si>
  <si>
    <r>
      <rPr>
        <sz val="9"/>
        <color rgb="FF1A1A2E"/>
        <rFont val="DejaVu Sans"/>
        <family val="2"/>
      </rPr>
      <t xml:space="preserve">㈜베스트밸리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박세철</t>
    </r>
    <r>
      <rPr>
        <sz val="9"/>
        <color rgb="FF1A1A2E"/>
        <rFont val="DejaVu Sans"/>
        <family val="2"/>
        <charset val="1"/>
      </rPr>
      <t xml:space="preserve">)</t>
    </r>
  </si>
  <si>
    <t xml:space="preserve">베어크리크골프클럽</t>
  </si>
  <si>
    <r>
      <rPr>
        <sz val="9"/>
        <color rgb="FF1A1A2E"/>
        <rFont val="DejaVu Sans"/>
        <family val="2"/>
      </rPr>
      <t xml:space="preserve">포천시 화현면 달인동로 </t>
    </r>
    <r>
      <rPr>
        <sz val="9"/>
        <color rgb="FF1A1A2E"/>
        <rFont val="DejaVu Sans"/>
        <family val="2"/>
        <charset val="1"/>
      </rPr>
      <t xml:space="preserve">35</t>
    </r>
  </si>
  <si>
    <r>
      <rPr>
        <sz val="9"/>
        <color rgb="FF1A1A2E"/>
        <rFont val="DejaVu Sans"/>
        <family val="2"/>
      </rPr>
      <t xml:space="preserve">㈜삼보개발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류경호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</si>
  <si>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https://www.bearcreek.co.kr/</t>
  </si>
  <si>
    <t xml:space="preserve">031-531-9000</t>
  </si>
  <si>
    <t xml:space="preserve">블랙스톤리조트이천</t>
  </si>
  <si>
    <r>
      <rPr>
        <sz val="9"/>
        <color rgb="FF1A1A2E"/>
        <rFont val="DejaVu Sans"/>
        <family val="2"/>
      </rPr>
      <t xml:space="preserve">이천시 장호원읍 장여로 </t>
    </r>
    <r>
      <rPr>
        <sz val="9"/>
        <color rgb="FF1A1A2E"/>
        <rFont val="DejaVu Sans"/>
        <family val="2"/>
        <charset val="1"/>
      </rPr>
      <t xml:space="preserve">459-160</t>
    </r>
  </si>
  <si>
    <r>
      <rPr>
        <sz val="9"/>
        <color rgb="FF1A1A2E"/>
        <rFont val="DejaVu Sans"/>
        <family val="2"/>
      </rPr>
      <t xml:space="preserve">㈜블랙스톤리조트 이천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원기룡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</si>
  <si>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블루원용인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</si>
  <si>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원삼면 보개원삼로 </t>
    </r>
    <r>
      <rPr>
        <sz val="9"/>
        <color rgb="FF1A1A2E"/>
        <rFont val="DejaVu Sans"/>
        <family val="2"/>
        <charset val="1"/>
      </rPr>
      <t xml:space="preserve">1534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40</t>
    </r>
  </si>
  <si>
    <t xml:space="preserve">윤재원</t>
  </si>
  <si>
    <t xml:space="preserve">블루헤런</t>
  </si>
  <si>
    <r>
      <rPr>
        <sz val="9"/>
        <color rgb="FF1A1A2E"/>
        <rFont val="DejaVu Sans"/>
        <family val="2"/>
      </rPr>
      <t xml:space="preserve">여주시 대신면 고달사로 </t>
    </r>
    <r>
      <rPr>
        <sz val="9"/>
        <color rgb="FF1A1A2E"/>
        <rFont val="DejaVu Sans"/>
        <family val="2"/>
        <charset val="1"/>
      </rPr>
      <t xml:space="preserve">67(</t>
    </r>
    <r>
      <rPr>
        <sz val="9"/>
        <color rgb="FF1A1A2E"/>
        <rFont val="DejaVu Sans"/>
        <family val="2"/>
      </rPr>
      <t xml:space="preserve">대신면 상구리 산</t>
    </r>
    <r>
      <rPr>
        <sz val="9"/>
        <color rgb="FF1A1A2E"/>
        <rFont val="DejaVu Sans"/>
        <family val="2"/>
        <charset val="1"/>
      </rPr>
      <t xml:space="preserve">11-1)</t>
    </r>
  </si>
  <si>
    <r>
      <rPr>
        <sz val="9"/>
        <color rgb="FF1A1A2E"/>
        <rFont val="DejaVu Sans"/>
        <family val="2"/>
      </rPr>
      <t xml:space="preserve">블루헤런㈜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권오삼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</si>
  <si>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https://www.blueheron.co.kr/</t>
  </si>
  <si>
    <t xml:space="preserve">041-621-8000</t>
  </si>
  <si>
    <r>
      <rPr>
        <b val="true"/>
        <sz val="9"/>
        <color rgb="FF1A1A2E"/>
        <rFont val="DejaVu Sans"/>
        <family val="2"/>
      </rPr>
      <t xml:space="preserve">비에이비스타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</si>
  <si>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어농로 </t>
    </r>
    <r>
      <rPr>
        <sz val="9"/>
        <color rgb="FF1A1A2E"/>
        <rFont val="DejaVu Sans"/>
        <family val="2"/>
        <charset val="1"/>
      </rPr>
      <t xml:space="preserve">272</t>
    </r>
  </si>
  <si>
    <r>
      <rPr>
        <sz val="9"/>
        <color rgb="FF1A1A2E"/>
        <rFont val="DejaVu Sans"/>
        <family val="2"/>
      </rPr>
      <t xml:space="preserve">㈜삼풍관광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최철종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</si>
  <si>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비전힐스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</si>
  <si>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화도읍 마치로 </t>
    </r>
    <r>
      <rPr>
        <sz val="9"/>
        <color rgb="FF1A1A2E"/>
        <rFont val="DejaVu Sans"/>
        <family val="2"/>
        <charset val="1"/>
      </rPr>
      <t xml:space="preserve">226-220</t>
    </r>
  </si>
  <si>
    <t xml:space="preserve">㈜비젼힐스김상대</t>
  </si>
  <si>
    <t xml:space="preserve">https://www.visionhills.co.kr/</t>
  </si>
  <si>
    <t xml:space="preserve">031-886-9000</t>
  </si>
  <si>
    <t xml:space="preserve">빅토리아</t>
  </si>
  <si>
    <r>
      <rPr>
        <sz val="9"/>
        <color rgb="FF1A1A2E"/>
        <rFont val="DejaVu Sans"/>
        <family val="2"/>
      </rPr>
      <t xml:space="preserve">여주시 가남읍 송삼로 </t>
    </r>
    <r>
      <rPr>
        <sz val="9"/>
        <color rgb="FF1A1A2E"/>
        <rFont val="DejaVu Sans"/>
        <family val="2"/>
        <charset val="1"/>
      </rPr>
      <t xml:space="preserve">191(</t>
    </r>
    <r>
      <rPr>
        <sz val="9"/>
        <color rgb="FF1A1A2E"/>
        <rFont val="DejaVu Sans"/>
        <family val="2"/>
      </rPr>
      <t xml:space="preserve">가남면 송림리 </t>
    </r>
    <r>
      <rPr>
        <sz val="9"/>
        <color rgb="FF1A1A2E"/>
        <rFont val="DejaVu Sans"/>
        <family val="2"/>
        <charset val="1"/>
      </rPr>
      <t xml:space="preserve">214)</t>
    </r>
  </si>
  <si>
    <r>
      <rPr>
        <sz val="9"/>
        <color rgb="FF1A1A2E"/>
        <rFont val="DejaVu Sans"/>
        <family val="2"/>
      </rPr>
      <t xml:space="preserve">㈜에스비레져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원용석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</si>
  <si>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사우스스프링스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</si>
  <si>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공원로 </t>
    </r>
    <r>
      <rPr>
        <sz val="9"/>
        <color rgb="FF1A1A2E"/>
        <rFont val="DejaVu Sans"/>
        <family val="2"/>
        <charset val="1"/>
      </rPr>
      <t xml:space="preserve">64</t>
    </r>
  </si>
  <si>
    <r>
      <rPr>
        <sz val="9"/>
        <color rgb="FF1A1A2E"/>
        <rFont val="DejaVu Sans"/>
        <family val="2"/>
      </rPr>
      <t xml:space="preserve">㈜사우스스프링스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장수진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</si>
  <si>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삼성물산</t>
    </r>
    <r>
      <rPr>
        <b val="true"/>
        <sz val="9"/>
        <color rgb="FF1A1A2E"/>
        <rFont val="DejaVu Sans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주</t>
    </r>
    <r>
      <rPr>
        <b val="true"/>
        <sz val="9"/>
        <color rgb="FF1A1A2E"/>
        <rFont val="DejaVu Sans"/>
        <family val="2"/>
        <charset val="1"/>
      </rPr>
      <t xml:space="preserve">)</t>
    </r>
    <r>
      <rPr>
        <b val="true"/>
        <sz val="9"/>
        <color rgb="FF1A1A2E"/>
        <rFont val="DejaVu Sans"/>
        <family val="2"/>
      </rPr>
      <t xml:space="preserve">안양컨트리클럽</t>
    </r>
  </si>
  <si>
    <r>
      <rPr>
        <sz val="9"/>
        <color rgb="FF1A1A2E"/>
        <rFont val="DejaVu Sans"/>
        <family val="2"/>
      </rPr>
      <t xml:space="preserve">군포시 군포로</t>
    </r>
    <r>
      <rPr>
        <sz val="9"/>
        <color rgb="FF1A1A2E"/>
        <rFont val="DejaVu Sans"/>
        <family val="2"/>
        <charset val="1"/>
      </rPr>
      <t xml:space="preserve">364(</t>
    </r>
    <r>
      <rPr>
        <sz val="9"/>
        <color rgb="FF1A1A2E"/>
        <rFont val="DejaVu Sans"/>
        <family val="2"/>
      </rPr>
      <t xml:space="preserve">부곡동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</si>
  <si>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삼성물산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안양컨트리클럽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한승환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</si>
  <si>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상록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</si>
  <si>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화성시 동탄면 풀무골로</t>
    </r>
    <r>
      <rPr>
        <sz val="9"/>
        <color rgb="FF1A1A2E"/>
        <rFont val="DejaVu Sans"/>
        <family val="2"/>
        <charset val="1"/>
      </rPr>
      <t xml:space="preserve">60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80</t>
    </r>
  </si>
  <si>
    <r>
      <rPr>
        <sz val="9"/>
        <color rgb="FF1A1A2E"/>
        <rFont val="DejaVu Sans"/>
        <family val="2"/>
      </rPr>
      <t xml:space="preserve">공무원연금관리공단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박노종</t>
    </r>
    <r>
      <rPr>
        <sz val="9"/>
        <color rgb="FF1A1A2E"/>
        <rFont val="DejaVu Sans"/>
        <family val="2"/>
        <charset val="1"/>
      </rPr>
      <t xml:space="preserve">)</t>
    </r>
  </si>
  <si>
    <t xml:space="preserve">샴발라 컨트리클럽</t>
  </si>
  <si>
    <r>
      <rPr>
        <sz val="9"/>
        <color rgb="FF1A1A2E"/>
        <rFont val="DejaVu Sans"/>
        <family val="2"/>
      </rPr>
      <t xml:space="preserve">포천시 군내면 직두리 산</t>
    </r>
    <r>
      <rPr>
        <sz val="9"/>
        <color rgb="FF1A1A2E"/>
        <rFont val="DejaVu Sans"/>
        <family val="2"/>
        <charset val="1"/>
      </rPr>
      <t xml:space="preserve">1-1</t>
    </r>
    <r>
      <rPr>
        <sz val="9"/>
        <color rgb="FF1A1A2E"/>
        <rFont val="DejaVu Sans"/>
        <family val="2"/>
      </rPr>
      <t xml:space="preserve">번지 일원</t>
    </r>
  </si>
  <si>
    <r>
      <rPr>
        <sz val="9"/>
        <color rgb="FF1A1A2E"/>
        <rFont val="DejaVu Sans"/>
        <family val="2"/>
      </rPr>
      <t xml:space="preserve">㈜샴발라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이완국</t>
    </r>
    <r>
      <rPr>
        <sz val="9"/>
        <color rgb="FF1A1A2E"/>
        <rFont val="DejaVu Sans"/>
        <family val="2"/>
        <charset val="1"/>
      </rPr>
      <t xml:space="preserve">)</t>
    </r>
  </si>
  <si>
    <t xml:space="preserve">서서울</t>
  </si>
  <si>
    <r>
      <rPr>
        <sz val="9"/>
        <color rgb="FF1A1A2E"/>
        <rFont val="DejaVu Sans"/>
        <family val="2"/>
      </rPr>
      <t xml:space="preserve">파주시 광탄면 혜음로 </t>
    </r>
    <r>
      <rPr>
        <sz val="9"/>
        <color rgb="FF1A1A2E"/>
        <rFont val="DejaVu Sans"/>
        <family val="2"/>
        <charset val="1"/>
      </rPr>
      <t xml:space="preserve">324</t>
    </r>
  </si>
  <si>
    <r>
      <rPr>
        <sz val="9"/>
        <color rgb="FF1A1A2E"/>
        <rFont val="DejaVu Sans"/>
        <family val="2"/>
      </rPr>
      <t xml:space="preserve">호반서서울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이정호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</si>
  <si>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https://www.seoseoul.co.kr/</t>
  </si>
  <si>
    <t xml:space="preserve">031-499-0123</t>
  </si>
  <si>
    <t xml:space="preserve">서원밸리</t>
  </si>
  <si>
    <r>
      <rPr>
        <sz val="9"/>
        <color rgb="FF1A1A2E"/>
        <rFont val="DejaVu Sans"/>
        <family val="2"/>
      </rPr>
      <t xml:space="preserve">파주시 광탄면 서원길 </t>
    </r>
    <r>
      <rPr>
        <sz val="9"/>
        <color rgb="FF1A1A2E"/>
        <rFont val="DejaVu Sans"/>
        <family val="2"/>
        <charset val="1"/>
      </rPr>
      <t xml:space="preserve">333</t>
    </r>
  </si>
  <si>
    <r>
      <rPr>
        <sz val="9"/>
        <color rgb="FF1A1A2E"/>
        <rFont val="DejaVu Sans"/>
        <family val="2"/>
      </rPr>
      <t xml:space="preserve">서원레저㈜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이석호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</si>
  <si>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https://www.seowongolf.co.kr/</t>
  </si>
  <si>
    <t xml:space="preserve">031-940-9400</t>
  </si>
  <si>
    <r>
      <rPr>
        <b val="true"/>
        <sz val="9"/>
        <color rgb="FF1A1A2E"/>
        <rFont val="DejaVu Sans"/>
        <family val="2"/>
      </rPr>
      <t xml:space="preserve">석천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</si>
  <si>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백암면 황새울로 </t>
    </r>
    <r>
      <rPr>
        <sz val="9"/>
        <color rgb="FF1A1A2E"/>
        <rFont val="DejaVu Sans"/>
        <family val="2"/>
        <charset val="1"/>
      </rPr>
      <t xml:space="preserve">255</t>
    </r>
  </si>
  <si>
    <t xml:space="preserve">박범준</t>
  </si>
  <si>
    <r>
      <rPr>
        <b val="true"/>
        <sz val="9"/>
        <color rgb="FF1A1A2E"/>
        <rFont val="DejaVu Sans"/>
        <family val="2"/>
      </rPr>
      <t xml:space="preserve">세라지오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</si>
  <si>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여주시 여양로 </t>
    </r>
    <r>
      <rPr>
        <sz val="9"/>
        <color rgb="FF1A1A2E"/>
        <rFont val="DejaVu Sans"/>
        <family val="2"/>
        <charset val="1"/>
      </rPr>
      <t xml:space="preserve">530(</t>
    </r>
    <r>
      <rPr>
        <sz val="9"/>
        <color rgb="FF1A1A2E"/>
        <rFont val="DejaVu Sans"/>
        <family val="2"/>
      </rPr>
      <t xml:space="preserve">북내면 신남리 산</t>
    </r>
    <r>
      <rPr>
        <sz val="9"/>
        <color rgb="FF1A1A2E"/>
        <rFont val="DejaVu Sans"/>
        <family val="2"/>
        <charset val="1"/>
      </rPr>
      <t xml:space="preserve">30-2)</t>
    </r>
  </si>
  <si>
    <r>
      <rPr>
        <sz val="9"/>
        <color rgb="FF1A1A2E"/>
        <rFont val="DejaVu Sans"/>
        <family val="2"/>
      </rPr>
      <t xml:space="preserve">주식회사 신한은행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문태식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</si>
  <si>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https://www.serragio.co.kr/</t>
  </si>
  <si>
    <t xml:space="preserve">031-880-8000</t>
  </si>
  <si>
    <r>
      <rPr>
        <b val="true"/>
        <sz val="9"/>
        <color rgb="FF1A1A2E"/>
        <rFont val="DejaVu Sans"/>
        <family val="2"/>
      </rPr>
      <t xml:space="preserve">세현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</si>
  <si>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백자로 </t>
    </r>
    <r>
      <rPr>
        <sz val="9"/>
        <color rgb="FF1A1A2E"/>
        <rFont val="DejaVu Sans"/>
        <family val="2"/>
        <charset val="1"/>
      </rPr>
      <t xml:space="preserve">450</t>
    </r>
  </si>
  <si>
    <t xml:space="preserve">서남종</t>
  </si>
  <si>
    <t xml:space="preserve">소피아그린</t>
  </si>
  <si>
    <r>
      <rPr>
        <sz val="9"/>
        <color rgb="FF1A1A2E"/>
        <rFont val="DejaVu Sans"/>
        <family val="2"/>
      </rPr>
      <t xml:space="preserve">여주시 점동면 소피아그린길 </t>
    </r>
    <r>
      <rPr>
        <sz val="9"/>
        <color rgb="FF1A1A2E"/>
        <rFont val="DejaVu Sans"/>
        <family val="2"/>
        <charset val="1"/>
      </rPr>
      <t xml:space="preserve">84(</t>
    </r>
    <r>
      <rPr>
        <sz val="9"/>
        <color rgb="FF1A1A2E"/>
        <rFont val="DejaVu Sans"/>
        <family val="2"/>
      </rPr>
      <t xml:space="preserve">점동면 현수리 산</t>
    </r>
    <r>
      <rPr>
        <sz val="9"/>
        <color rgb="FF1A1A2E"/>
        <rFont val="DejaVu Sans"/>
        <family val="2"/>
        <charset val="1"/>
      </rPr>
      <t xml:space="preserve">13)</t>
    </r>
  </si>
  <si>
    <r>
      <rPr>
        <sz val="9"/>
        <color rgb="FF1A1A2E"/>
        <rFont val="DejaVu Sans"/>
        <family val="2"/>
      </rPr>
      <t xml:space="preserve">더케이소피아그린㈜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김용덕</t>
    </r>
    <r>
      <rPr>
        <sz val="9"/>
        <color rgb="FF1A1A2E"/>
        <rFont val="DejaVu Sans"/>
        <family val="2"/>
        <charset val="1"/>
      </rPr>
      <t xml:space="preserve">)</t>
    </r>
  </si>
  <si>
    <t xml:space="preserve">솔모로</t>
  </si>
  <si>
    <r>
      <rPr>
        <sz val="9"/>
        <color rgb="FF1A1A2E"/>
        <rFont val="DejaVu Sans"/>
        <family val="2"/>
      </rPr>
      <t xml:space="preserve">여주시 가남읍 솔모로그린길 </t>
    </r>
    <r>
      <rPr>
        <sz val="9"/>
        <color rgb="FF1A1A2E"/>
        <rFont val="DejaVu Sans"/>
        <family val="2"/>
        <charset val="1"/>
      </rPr>
      <t xml:space="preserve">171(</t>
    </r>
    <r>
      <rPr>
        <sz val="9"/>
        <color rgb="FF1A1A2E"/>
        <rFont val="DejaVu Sans"/>
        <family val="2"/>
      </rPr>
      <t xml:space="preserve">가남면 양귀리 산</t>
    </r>
    <r>
      <rPr>
        <sz val="9"/>
        <color rgb="FF1A1A2E"/>
        <rFont val="DejaVu Sans"/>
        <family val="2"/>
        <charset val="1"/>
      </rPr>
      <t xml:space="preserve">69)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</si>
  <si>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한일레저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김정억</t>
    </r>
    <r>
      <rPr>
        <sz val="9"/>
        <color rgb="FF1A1A2E"/>
        <rFont val="Arial"/>
        <family val="2"/>
        <charset val="1"/>
      </rPr>
      <t xml:space="preserve">)</t>
    </r>
  </si>
  <si>
    <t xml:space="preserve">솔트베이 골프클럽</t>
  </si>
  <si>
    <r>
      <rPr>
        <sz val="9"/>
        <color rgb="FF1A1A2E"/>
        <rFont val="DejaVu Sans"/>
        <family val="2"/>
      </rPr>
      <t xml:space="preserve">시흥시 마유로 </t>
    </r>
    <r>
      <rPr>
        <sz val="9"/>
        <color rgb="FF1A1A2E"/>
        <rFont val="DejaVu Sans"/>
        <family val="2"/>
        <charset val="1"/>
      </rPr>
      <t xml:space="preserve">987 (</t>
    </r>
    <r>
      <rPr>
        <sz val="9"/>
        <color rgb="FF1A1A2E"/>
        <rFont val="DejaVu Sans"/>
        <family val="2"/>
      </rPr>
      <t xml:space="preserve">장곡동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</si>
  <si>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㈜성담 솔트베이</t>
  </si>
  <si>
    <r>
      <rPr>
        <b val="true"/>
        <sz val="9"/>
        <color rgb="FF1A1A2E"/>
        <rFont val="DejaVu Sans"/>
        <family val="2"/>
      </rPr>
      <t xml:space="preserve">송추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</si>
  <si>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양주시 광적면 쇠장이길 </t>
    </r>
    <r>
      <rPr>
        <sz val="9"/>
        <color rgb="FF1A1A2E"/>
        <rFont val="DejaVu Sans"/>
        <family val="2"/>
        <charset val="1"/>
      </rPr>
      <t xml:space="preserve">435</t>
    </r>
  </si>
  <si>
    <t xml:space="preserve">나승준</t>
  </si>
  <si>
    <r>
      <rPr>
        <b val="true"/>
        <sz val="9"/>
        <color rgb="FF1A1A2E"/>
        <rFont val="DejaVu Sans"/>
        <family val="2"/>
      </rPr>
      <t xml:space="preserve">수원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</si>
  <si>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중부대로 </t>
    </r>
    <r>
      <rPr>
        <sz val="9"/>
        <color rgb="FF1A1A2E"/>
        <rFont val="DejaVu Sans"/>
        <family val="2"/>
        <charset val="1"/>
      </rPr>
      <t xml:space="preserve">495</t>
    </r>
  </si>
  <si>
    <r>
      <rPr>
        <sz val="9"/>
        <color rgb="FF1A1A2E"/>
        <rFont val="DejaVu Sans"/>
        <family val="2"/>
      </rPr>
      <t xml:space="preserve">김효석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김우현</t>
    </r>
  </si>
  <si>
    <r>
      <rPr>
        <b val="true"/>
        <sz val="9"/>
        <color rgb="FF1A1A2E"/>
        <rFont val="DejaVu Sans"/>
        <family val="2"/>
      </rPr>
      <t xml:space="preserve">스마트</t>
    </r>
    <r>
      <rPr>
        <b val="true"/>
        <sz val="9"/>
        <color rgb="FF1A1A2E"/>
        <rFont val="DejaVu Sans"/>
        <family val="2"/>
        <charset val="1"/>
      </rPr>
      <t xml:space="preserve">KU</t>
    </r>
    <r>
      <rPr>
        <b val="true"/>
        <sz val="9"/>
        <color rgb="FF1A1A2E"/>
        <rFont val="DejaVu Sans"/>
        <family val="2"/>
      </rPr>
      <t xml:space="preserve">골프 파빌리온</t>
    </r>
  </si>
  <si>
    <r>
      <rPr>
        <sz val="9"/>
        <color rgb="FF1A1A2E"/>
        <rFont val="DejaVu Sans"/>
        <family val="2"/>
      </rPr>
      <t xml:space="preserve">파주시 법원읍 보광로 </t>
    </r>
    <r>
      <rPr>
        <sz val="9"/>
        <color rgb="FF1A1A2E"/>
        <rFont val="DejaVu Sans"/>
        <family val="2"/>
        <charset val="1"/>
      </rPr>
      <t xml:space="preserve">1616</t>
    </r>
  </si>
  <si>
    <r>
      <rPr>
        <sz val="9"/>
        <color rgb="FF1A1A2E"/>
        <rFont val="DejaVu Sans"/>
        <family val="2"/>
      </rPr>
      <t xml:space="preserve">학교법인 건국대학교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유자은</t>
    </r>
    <r>
      <rPr>
        <sz val="9"/>
        <color rgb="FF1A1A2E"/>
        <rFont val="DejaVu Sans"/>
        <family val="2"/>
        <charset val="1"/>
      </rPr>
      <t xml:space="preserve">)</t>
    </r>
  </si>
  <si>
    <t xml:space="preserve">스카이밸리</t>
  </si>
  <si>
    <r>
      <rPr>
        <sz val="9"/>
        <color rgb="FF1A1A2E"/>
        <rFont val="DejaVu Sans"/>
        <family val="2"/>
      </rPr>
      <t xml:space="preserve">여주시 북내면 운촌길 </t>
    </r>
    <r>
      <rPr>
        <sz val="9"/>
        <color rgb="FF1A1A2E"/>
        <rFont val="DejaVu Sans"/>
        <family val="2"/>
        <charset val="1"/>
      </rPr>
      <t xml:space="preserve">254(</t>
    </r>
    <r>
      <rPr>
        <sz val="9"/>
        <color rgb="FF1A1A2E"/>
        <rFont val="DejaVu Sans"/>
        <family val="2"/>
      </rPr>
      <t xml:space="preserve">북내면 운촌리 산</t>
    </r>
    <r>
      <rPr>
        <sz val="9"/>
        <color rgb="FF1A1A2E"/>
        <rFont val="DejaVu Sans"/>
        <family val="2"/>
        <charset val="1"/>
      </rPr>
      <t xml:space="preserve">40)</t>
    </r>
  </si>
  <si>
    <r>
      <rPr>
        <sz val="9"/>
        <color rgb="FF1A1A2E"/>
        <rFont val="DejaVu Sans"/>
        <family val="2"/>
      </rPr>
      <t xml:space="preserve">힐드로사이㈜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이재원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</si>
  <si>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https://www.skyvalley.co.kr/</t>
  </si>
  <si>
    <t xml:space="preserve">031-637-5000</t>
  </si>
  <si>
    <t xml:space="preserve">신라</t>
  </si>
  <si>
    <r>
      <rPr>
        <sz val="9"/>
        <color rgb="FF1A1A2E"/>
        <rFont val="DejaVu Sans"/>
        <family val="2"/>
      </rPr>
      <t xml:space="preserve">여주시 북내면 신라그린길 </t>
    </r>
    <r>
      <rPr>
        <sz val="9"/>
        <color rgb="FF1A1A2E"/>
        <rFont val="DejaVu Sans"/>
        <family val="2"/>
        <charset val="1"/>
      </rPr>
      <t xml:space="preserve">84(</t>
    </r>
    <r>
      <rPr>
        <sz val="9"/>
        <color rgb="FF1A1A2E"/>
        <rFont val="DejaVu Sans"/>
        <family val="2"/>
      </rPr>
      <t xml:space="preserve">북내면 덕산리 산</t>
    </r>
    <r>
      <rPr>
        <sz val="9"/>
        <color rgb="FF1A1A2E"/>
        <rFont val="DejaVu Sans"/>
        <family val="2"/>
        <charset val="1"/>
      </rPr>
      <t xml:space="preserve">3-1)</t>
    </r>
  </si>
  <si>
    <r>
      <rPr>
        <sz val="9"/>
        <color rgb="FF1A1A2E"/>
        <rFont val="DejaVu Sans"/>
        <family val="2"/>
      </rPr>
      <t xml:space="preserve">㈜케이엠에이치신라레저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박형식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</si>
  <si>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https://www.gyeongjushilla.co.kr/</t>
  </si>
  <si>
    <t xml:space="preserve">054-745-7000</t>
  </si>
  <si>
    <r>
      <rPr>
        <b val="true"/>
        <sz val="9"/>
        <color rgb="FF1A1A2E"/>
        <rFont val="DejaVu Sans"/>
        <family val="2"/>
      </rPr>
      <t xml:space="preserve">신안 퍼블릭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</si>
  <si>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안성시 고삼면 개울말길 </t>
    </r>
    <r>
      <rPr>
        <sz val="9"/>
        <color rgb="FF1A1A2E"/>
        <rFont val="DejaVu Sans"/>
        <family val="2"/>
        <charset val="1"/>
      </rPr>
      <t xml:space="preserve">149</t>
    </r>
  </si>
  <si>
    <r>
      <rPr>
        <sz val="9"/>
        <color rgb="FF1A1A2E"/>
        <rFont val="DejaVu Sans"/>
        <family val="2"/>
      </rPr>
      <t xml:space="preserve">신안종합레져㈜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  훈</t>
    </r>
    <r>
      <rPr>
        <sz val="9"/>
        <color rgb="FF1A1A2E"/>
        <rFont val="DejaVu Sans"/>
        <family val="2"/>
        <charset val="1"/>
      </rPr>
      <t xml:space="preserve">)</t>
    </r>
  </si>
  <si>
    <t xml:space="preserve">신안컨트리클럽</t>
  </si>
  <si>
    <r>
      <rPr>
        <b val="true"/>
        <sz val="9"/>
        <color rgb="FF1A1A2E"/>
        <rFont val="DejaVu Sans"/>
        <family val="2"/>
      </rPr>
      <t xml:space="preserve">신원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</si>
  <si>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이동읍 이원로 </t>
    </r>
    <r>
      <rPr>
        <sz val="9"/>
        <color rgb="FF1A1A2E"/>
        <rFont val="DejaVu Sans"/>
        <family val="2"/>
        <charset val="1"/>
      </rPr>
      <t xml:space="preserve">225</t>
    </r>
  </si>
  <si>
    <t xml:space="preserve">이소미</t>
  </si>
  <si>
    <t xml:space="preserve">https://www.swcc.co.kr/</t>
  </si>
  <si>
    <t xml:space="preserve">031-774-5000</t>
  </si>
  <si>
    <r>
      <rPr>
        <b val="true"/>
        <sz val="9"/>
        <color rgb="FF1A1A2E"/>
        <rFont val="DejaVu Sans"/>
        <family val="2"/>
      </rPr>
      <t xml:space="preserve">실크밸리</t>
    </r>
    <r>
      <rPr>
        <b val="true"/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</si>
  <si>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이천시 율면 임오산로 </t>
    </r>
    <r>
      <rPr>
        <sz val="9"/>
        <color rgb="FF1A1A2E"/>
        <rFont val="DejaVu Sans"/>
        <family val="2"/>
        <charset val="1"/>
      </rPr>
      <t xml:space="preserve">200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56-222</t>
    </r>
  </si>
  <si>
    <r>
      <rPr>
        <sz val="9"/>
        <color rgb="FF1A1A2E"/>
        <rFont val="DejaVu Sans"/>
        <family val="2"/>
      </rPr>
      <t xml:space="preserve">㈜이천 실크밸리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양정자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</si>
  <si>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써닝포인트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</si>
  <si>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백암면 고안로 </t>
    </r>
    <r>
      <rPr>
        <sz val="9"/>
        <color rgb="FF1A1A2E"/>
        <rFont val="DejaVu Sans"/>
        <family val="2"/>
        <charset val="1"/>
      </rPr>
      <t xml:space="preserve">51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205</t>
    </r>
  </si>
  <si>
    <t xml:space="preserve">임노원</t>
  </si>
  <si>
    <r>
      <rPr>
        <b val="true"/>
        <sz val="9"/>
        <color rgb="FF1A1A2E"/>
        <rFont val="DejaVu Sans"/>
        <family val="2"/>
      </rPr>
      <t xml:space="preserve">썬힐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</si>
  <si>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조종면 운악청계로</t>
    </r>
    <r>
      <rPr>
        <sz val="9"/>
        <color rgb="FF1A1A2E"/>
        <rFont val="DejaVu Sans"/>
        <family val="2"/>
        <charset val="1"/>
      </rPr>
      <t xml:space="preserve">589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73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</si>
  <si>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다함레져 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안응수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</si>
  <si>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썬힐대중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</si>
  <si>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t xml:space="preserve">아난티클럽    서울</t>
  </si>
  <si>
    <r>
      <rPr>
        <sz val="9"/>
        <color rgb="FF1A1A2E"/>
        <rFont val="DejaVu Sans"/>
        <family val="2"/>
      </rPr>
      <t xml:space="preserve">가평군 설악면 유명산로</t>
    </r>
    <r>
      <rPr>
        <sz val="9"/>
        <color rgb="FF1A1A2E"/>
        <rFont val="DejaVu Sans"/>
        <family val="2"/>
        <charset val="1"/>
      </rPr>
      <t xml:space="preserve">961-34</t>
    </r>
  </si>
  <si>
    <r>
      <rPr>
        <sz val="9"/>
        <color rgb="FF1A1A2E"/>
        <rFont val="DejaVu Sans"/>
        <family val="2"/>
      </rPr>
      <t xml:space="preserve">아난티클럽서울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 (</t>
    </r>
    <r>
      <rPr>
        <sz val="9"/>
        <color rgb="FF1A1A2E"/>
        <rFont val="DejaVu Sans"/>
        <family val="2"/>
      </rPr>
      <t xml:space="preserve">이만규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</si>
  <si>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아리지</t>
  </si>
  <si>
    <r>
      <rPr>
        <sz val="9"/>
        <color rgb="FF1A1A2E"/>
        <rFont val="DejaVu Sans"/>
        <family val="2"/>
      </rPr>
      <t xml:space="preserve">여주시 가남읍 아리지그린길 </t>
    </r>
    <r>
      <rPr>
        <sz val="9"/>
        <color rgb="FF1A1A2E"/>
        <rFont val="DejaVu Sans"/>
        <family val="2"/>
        <charset val="1"/>
      </rPr>
      <t xml:space="preserve">68(</t>
    </r>
    <r>
      <rPr>
        <sz val="9"/>
        <color rgb="FF1A1A2E"/>
        <rFont val="DejaVu Sans"/>
        <family val="2"/>
      </rPr>
      <t xml:space="preserve">가남면 안금리 산</t>
    </r>
    <r>
      <rPr>
        <sz val="9"/>
        <color rgb="FF1A1A2E"/>
        <rFont val="DejaVu Sans"/>
        <family val="2"/>
        <charset val="1"/>
      </rPr>
      <t xml:space="preserve">103, </t>
    </r>
    <r>
      <rPr>
        <sz val="9"/>
        <color rgb="FF1A1A2E"/>
        <rFont val="DejaVu Sans"/>
        <family val="2"/>
      </rPr>
      <t xml:space="preserve">양귀리 산</t>
    </r>
    <r>
      <rPr>
        <sz val="9"/>
        <color rgb="FF1A1A2E"/>
        <rFont val="DejaVu Sans"/>
        <family val="2"/>
        <charset val="1"/>
      </rPr>
      <t xml:space="preserve">10 </t>
    </r>
    <r>
      <rPr>
        <sz val="9"/>
        <color rgb="FF1A1A2E"/>
        <rFont val="DejaVu Sans"/>
        <family val="2"/>
      </rPr>
      <t xml:space="preserve">일원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</si>
  <si>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 ㈜아리지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김양원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곽준상</t>
    </r>
    <r>
      <rPr>
        <sz val="9"/>
        <color rgb="FF1A1A2E"/>
        <rFont val="DejaVu Sans"/>
        <family val="2"/>
        <charset val="1"/>
      </rPr>
      <t xml:space="preserve">)</t>
    </r>
  </si>
  <si>
    <t xml:space="preserve">아세코밸리골프클럽</t>
  </si>
  <si>
    <r>
      <rPr>
        <sz val="9"/>
        <color rgb="FF1A1A2E"/>
        <rFont val="DejaVu Sans"/>
        <family val="2"/>
      </rPr>
      <t xml:space="preserve">시흥시 마전로 </t>
    </r>
    <r>
      <rPr>
        <sz val="9"/>
        <color rgb="FF1A1A2E"/>
        <rFont val="DejaVu Sans"/>
        <family val="2"/>
        <charset val="1"/>
      </rPr>
      <t xml:space="preserve">307 (</t>
    </r>
    <r>
      <rPr>
        <sz val="9"/>
        <color rgb="FF1A1A2E"/>
        <rFont val="DejaVu Sans"/>
        <family val="2"/>
      </rPr>
      <t xml:space="preserve">거모동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</si>
  <si>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김도훈</t>
  </si>
  <si>
    <r>
      <rPr>
        <b val="true"/>
        <sz val="9"/>
        <color rgb="FF1A1A2E"/>
        <rFont val="DejaVu Sans"/>
        <family val="2"/>
      </rPr>
      <t xml:space="preserve">아시아나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</si>
  <si>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양지면 양대로 </t>
    </r>
    <r>
      <rPr>
        <sz val="9"/>
        <color rgb="FF1A1A2E"/>
        <rFont val="DejaVu Sans"/>
        <family val="2"/>
        <charset val="1"/>
      </rPr>
      <t xml:space="preserve">290</t>
    </r>
  </si>
  <si>
    <t xml:space="preserve">김성일</t>
  </si>
  <si>
    <t xml:space="preserve">https://www.asianacc.co.kr/</t>
  </si>
  <si>
    <t xml:space="preserve">031-320-2000</t>
  </si>
  <si>
    <t xml:space="preserve">아일랜드㈜</t>
  </si>
  <si>
    <r>
      <rPr>
        <sz val="9"/>
        <color rgb="FF1A1A2E"/>
        <rFont val="DejaVu Sans"/>
        <family val="2"/>
      </rPr>
      <t xml:space="preserve">안산시 단원구 대선로</t>
    </r>
    <r>
      <rPr>
        <sz val="9"/>
        <color rgb="FF1A1A2E"/>
        <rFont val="DejaVu Sans"/>
        <family val="2"/>
        <charset val="1"/>
      </rPr>
      <t xml:space="preserve">466(</t>
    </r>
    <r>
      <rPr>
        <sz val="9"/>
        <color rgb="FF1A1A2E"/>
        <rFont val="DejaVu Sans"/>
        <family val="2"/>
      </rPr>
      <t xml:space="preserve">대부남동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</si>
  <si>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아일랜드㈜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이창희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</si>
  <si>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안성베네스트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</si>
  <si>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안성시 금광면 삼흥로 </t>
    </r>
    <r>
      <rPr>
        <sz val="9"/>
        <color rgb="FF1A1A2E"/>
        <rFont val="DejaVu Sans"/>
        <family val="2"/>
        <charset val="1"/>
      </rPr>
      <t xml:space="preserve">660</t>
    </r>
  </si>
  <si>
    <r>
      <rPr>
        <sz val="9"/>
        <color rgb="FF1A1A2E"/>
        <rFont val="DejaVu Sans"/>
        <family val="2"/>
      </rPr>
      <t xml:space="preserve">삼성물산㈜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한승환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</si>
  <si>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안성베네스트골프클럽 일반대중홀</t>
  </si>
  <si>
    <t xml:space="preserve">안성컨트리클럽</t>
  </si>
  <si>
    <r>
      <rPr>
        <sz val="9"/>
        <color rgb="FF1A1A2E"/>
        <rFont val="DejaVu Sans"/>
        <family val="2"/>
      </rPr>
      <t xml:space="preserve">안성시 죽산면 장계길 </t>
    </r>
    <r>
      <rPr>
        <sz val="9"/>
        <color rgb="FF1A1A2E"/>
        <rFont val="DejaVu Sans"/>
        <family val="2"/>
        <charset val="1"/>
      </rPr>
      <t xml:space="preserve">134</t>
    </r>
  </si>
  <si>
    <r>
      <rPr>
        <sz val="9"/>
        <color rgb="FF1A1A2E"/>
        <rFont val="DejaVu Sans"/>
        <family val="2"/>
      </rPr>
      <t xml:space="preserve">㈜한일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한수일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</si>
  <si>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양주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</si>
  <si>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화도읍 북한강로 </t>
    </r>
    <r>
      <rPr>
        <sz val="9"/>
        <color rgb="FF1A1A2E"/>
        <rFont val="DejaVu Sans"/>
        <family val="2"/>
        <charset val="1"/>
      </rPr>
      <t xml:space="preserve">1525-52</t>
    </r>
  </si>
  <si>
    <t xml:space="preserve">김준수</t>
  </si>
  <si>
    <r>
      <rPr>
        <b val="true"/>
        <sz val="9"/>
        <color rgb="FF1A1A2E"/>
        <rFont val="DejaVu Sans"/>
        <family val="2"/>
      </rPr>
      <t xml:space="preserve">양지파인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</si>
  <si>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양지면 남평로 </t>
    </r>
    <r>
      <rPr>
        <sz val="9"/>
        <color rgb="FF1A1A2E"/>
        <rFont val="DejaVu Sans"/>
        <family val="2"/>
        <charset val="1"/>
      </rPr>
      <t xml:space="preserve">112</t>
    </r>
  </si>
  <si>
    <t xml:space="preserve">임태주</t>
  </si>
  <si>
    <t xml:space="preserve">에덴블루 컨트리클럽</t>
  </si>
  <si>
    <r>
      <rPr>
        <sz val="9"/>
        <color rgb="FF1A1A2E"/>
        <rFont val="DejaVu Sans"/>
        <family val="2"/>
      </rPr>
      <t xml:space="preserve">안성시 죽산면 장능리 산</t>
    </r>
    <r>
      <rPr>
        <sz val="9"/>
        <color rgb="FF1A1A2E"/>
        <rFont val="DejaVu Sans"/>
        <family val="2"/>
        <charset val="1"/>
      </rPr>
      <t xml:space="preserve">160</t>
    </r>
  </si>
  <si>
    <r>
      <rPr>
        <sz val="9"/>
        <color rgb="FF1A1A2E"/>
        <rFont val="DejaVu Sans"/>
        <family val="2"/>
      </rPr>
      <t xml:space="preserve">죽산개발㈜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오승현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</si>
  <si>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에이치원클럽</t>
  </si>
  <si>
    <r>
      <rPr>
        <sz val="9"/>
        <color rgb="FF1A1A2E"/>
        <rFont val="DejaVu Sans"/>
        <family val="2"/>
      </rPr>
      <t xml:space="preserve">이천시 호법면 장자터로 </t>
    </r>
    <r>
      <rPr>
        <sz val="9"/>
        <color rgb="FF1A1A2E"/>
        <rFont val="DejaVu Sans"/>
        <family val="2"/>
        <charset val="1"/>
      </rPr>
      <t xml:space="preserve">115</t>
    </r>
  </si>
  <si>
    <r>
      <rPr>
        <sz val="9"/>
        <color rgb="FF1A1A2E"/>
        <rFont val="DejaVu Sans"/>
        <family val="2"/>
      </rPr>
      <t xml:space="preserve">호반써밋㈜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이정호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</si>
  <si>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여주</t>
  </si>
  <si>
    <r>
      <rPr>
        <sz val="9"/>
        <color rgb="FF1A1A2E"/>
        <rFont val="DejaVu Sans"/>
        <family val="2"/>
      </rPr>
      <t xml:space="preserve">여주시 월평로 </t>
    </r>
    <r>
      <rPr>
        <sz val="9"/>
        <color rgb="FF1A1A2E"/>
        <rFont val="DejaVu Sans"/>
        <family val="2"/>
        <charset val="1"/>
      </rPr>
      <t xml:space="preserve">78(</t>
    </r>
    <r>
      <rPr>
        <sz val="9"/>
        <color rgb="FF1A1A2E"/>
        <rFont val="DejaVu Sans"/>
        <family val="2"/>
      </rPr>
      <t xml:space="preserve">여주읍 월송리 </t>
    </r>
    <r>
      <rPr>
        <sz val="9"/>
        <color rgb="FF1A1A2E"/>
        <rFont val="DejaVu Sans"/>
        <family val="2"/>
        <charset val="1"/>
      </rPr>
      <t xml:space="preserve">35-10)</t>
    </r>
  </si>
  <si>
    <r>
      <rPr>
        <sz val="9"/>
        <color rgb="FF1A1A2E"/>
        <rFont val="Arial"/>
        <family val="2"/>
        <charset val="1"/>
      </rPr>
      <t xml:space="preserve">I.G.M </t>
    </r>
    <r>
      <rPr>
        <sz val="9"/>
        <color rgb="FF1A1A2E"/>
        <rFont val="DejaVu Sans"/>
        <family val="2"/>
      </rPr>
      <t xml:space="preserve">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이완재</t>
    </r>
    <r>
      <rPr>
        <sz val="9"/>
        <color rgb="FF1A1A2E"/>
        <rFont val="Arial"/>
        <family val="2"/>
        <charset val="1"/>
      </rPr>
      <t xml:space="preserve">)</t>
    </r>
  </si>
  <si>
    <t xml:space="preserve">여주썬밸리</t>
  </si>
  <si>
    <r>
      <rPr>
        <sz val="9"/>
        <color rgb="FF1A1A2E"/>
        <rFont val="DejaVu Sans"/>
        <family val="2"/>
      </rPr>
      <t xml:space="preserve">여주시 강천면 강문로 </t>
    </r>
    <r>
      <rPr>
        <sz val="9"/>
        <color rgb="FF1A1A2E"/>
        <rFont val="DejaVu Sans"/>
        <family val="2"/>
        <charset val="1"/>
      </rPr>
      <t xml:space="preserve">872(</t>
    </r>
    <r>
      <rPr>
        <sz val="9"/>
        <color rgb="FF1A1A2E"/>
        <rFont val="DejaVu Sans"/>
        <family val="2"/>
      </rPr>
      <t xml:space="preserve">강천면 부평리 산</t>
    </r>
    <r>
      <rPr>
        <sz val="9"/>
        <color rgb="FF1A1A2E"/>
        <rFont val="DejaVu Sans"/>
        <family val="2"/>
        <charset val="1"/>
      </rPr>
      <t xml:space="preserve">109-1 </t>
    </r>
    <r>
      <rPr>
        <sz val="9"/>
        <color rgb="FF1A1A2E"/>
        <rFont val="DejaVu Sans"/>
        <family val="2"/>
      </rPr>
      <t xml:space="preserve">일원 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</si>
  <si>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동광레저㈜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이창기</t>
    </r>
    <r>
      <rPr>
        <sz val="9"/>
        <color rgb="FF1A1A2E"/>
        <rFont val="DejaVu Sans"/>
        <family val="2"/>
        <charset val="1"/>
      </rPr>
      <t xml:space="preserve">)</t>
    </r>
  </si>
  <si>
    <t xml:space="preserve">올림픽 골프장</t>
  </si>
  <si>
    <r>
      <rPr>
        <sz val="9"/>
        <color rgb="FF1A1A2E"/>
        <rFont val="DejaVu Sans"/>
        <family val="2"/>
      </rPr>
      <t xml:space="preserve">고양시 덕양구 혜음로 </t>
    </r>
    <r>
      <rPr>
        <sz val="9"/>
        <color rgb="FF1A1A2E"/>
        <rFont val="DejaVu Sans"/>
        <family val="2"/>
        <charset val="1"/>
      </rPr>
      <t xml:space="preserve">301</t>
    </r>
  </si>
  <si>
    <t xml:space="preserve">이관식</t>
  </si>
  <si>
    <r>
      <rPr>
        <b val="true"/>
        <sz val="9"/>
        <color rgb="FF1A1A2E"/>
        <rFont val="DejaVu Sans"/>
        <family val="2"/>
      </rPr>
      <t xml:space="preserve">용인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</si>
  <si>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t xml:space="preserve">조의제</t>
  </si>
  <si>
    <t xml:space="preserve">https://www.lakehills.co.kr/</t>
  </si>
  <si>
    <t xml:space="preserve">031-321-0800</t>
  </si>
  <si>
    <r>
      <rPr>
        <b val="true"/>
        <sz val="9"/>
        <color rgb="FF1A1A2E"/>
        <rFont val="DejaVu Sans"/>
        <family val="2"/>
      </rPr>
      <t xml:space="preserve">웰링턴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</si>
  <si>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이천시 모가면 사실로 </t>
    </r>
    <r>
      <rPr>
        <sz val="9"/>
        <color rgb="FF1A1A2E"/>
        <rFont val="DejaVu Sans"/>
        <family val="2"/>
        <charset val="1"/>
      </rPr>
      <t xml:space="preserve">725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119-73</t>
    </r>
  </si>
  <si>
    <r>
      <rPr>
        <sz val="9"/>
        <color rgb="FF1A1A2E"/>
        <rFont val="DejaVu Sans"/>
        <family val="2"/>
      </rPr>
      <t xml:space="preserve">효성중공업㈜ 웰링턴컨트리클럽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김동우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</si>
  <si>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https://www.wellingtoncc.co.kr/</t>
  </si>
  <si>
    <t xml:space="preserve">031-531-7000</t>
  </si>
  <si>
    <t xml:space="preserve">윈체스트 골프클럽 대중</t>
  </si>
  <si>
    <r>
      <rPr>
        <sz val="9"/>
        <color rgb="FF1A1A2E"/>
        <rFont val="DejaVu Sans"/>
        <family val="2"/>
      </rPr>
      <t xml:space="preserve">안성시 서운면 오촌길 </t>
    </r>
    <r>
      <rPr>
        <sz val="9"/>
        <color rgb="FF1A1A2E"/>
        <rFont val="DejaVu Sans"/>
        <family val="2"/>
        <charset val="1"/>
      </rPr>
      <t xml:space="preserve">97-31</t>
    </r>
  </si>
  <si>
    <r>
      <rPr>
        <sz val="9"/>
        <color rgb="FF1A1A2E"/>
        <rFont val="DejaVu Sans"/>
        <family val="2"/>
      </rPr>
      <t xml:space="preserve">㈜다림개발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경지은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</si>
  <si>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은화삼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</si>
  <si>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백옥대로 </t>
    </r>
    <r>
      <rPr>
        <sz val="9"/>
        <color rgb="FF1A1A2E"/>
        <rFont val="DejaVu Sans"/>
        <family val="2"/>
        <charset val="1"/>
      </rPr>
      <t xml:space="preserve">860-38</t>
    </r>
  </si>
  <si>
    <t xml:space="preserve">공비상</t>
  </si>
  <si>
    <t xml:space="preserve">https://www.ehscc.co.kr/</t>
  </si>
  <si>
    <t xml:space="preserve">031-323-8008</t>
  </si>
  <si>
    <t xml:space="preserve">이스트밸리컨트리클럽</t>
  </si>
  <si>
    <r>
      <rPr>
        <sz val="9"/>
        <color rgb="FF1A1A2E"/>
        <rFont val="DejaVu Sans"/>
        <family val="2"/>
      </rPr>
      <t xml:space="preserve">광주시 곤지암읍 건업리 </t>
    </r>
    <r>
      <rPr>
        <sz val="9"/>
        <color rgb="FF1A1A2E"/>
        <rFont val="DejaVu Sans"/>
        <family val="2"/>
        <charset val="1"/>
      </rPr>
      <t xml:space="preserve">4-43</t>
    </r>
  </si>
  <si>
    <r>
      <rPr>
        <sz val="9"/>
        <color rgb="FF1A1A2E"/>
        <rFont val="DejaVu Sans"/>
        <family val="2"/>
      </rPr>
      <t xml:space="preserve">청남관광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노선우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</si>
  <si>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https://www.eastvalley.co.kr</t>
  </si>
  <si>
    <t xml:space="preserve">031-764-1114</t>
  </si>
  <si>
    <t xml:space="preserve">이천마이다스골프앤리조트</t>
  </si>
  <si>
    <r>
      <rPr>
        <sz val="9"/>
        <color rgb="FF1A1A2E"/>
        <rFont val="DejaVu Sans"/>
        <family val="2"/>
      </rPr>
      <t xml:space="preserve">이천시 설성면 설가로 </t>
    </r>
    <r>
      <rPr>
        <sz val="9"/>
        <color rgb="FF1A1A2E"/>
        <rFont val="DejaVu Sans"/>
        <family val="2"/>
        <charset val="1"/>
      </rPr>
      <t xml:space="preserve">602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</si>
  <si>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대교디앤에스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최득희</t>
    </r>
    <r>
      <rPr>
        <sz val="9"/>
        <color rgb="FF1A1A2E"/>
        <rFont val="Arial"/>
        <family val="2"/>
        <charset val="1"/>
      </rPr>
      <t xml:space="preserve">)</t>
    </r>
  </si>
  <si>
    <t xml:space="preserve">이포</t>
  </si>
  <si>
    <r>
      <rPr>
        <sz val="9"/>
        <color rgb="FF1A1A2E"/>
        <rFont val="DejaVu Sans"/>
        <family val="2"/>
      </rPr>
      <t xml:space="preserve">여주시 금사면 장흥로 </t>
    </r>
    <r>
      <rPr>
        <sz val="9"/>
        <color rgb="FF1A1A2E"/>
        <rFont val="DejaVu Sans"/>
        <family val="2"/>
        <charset val="1"/>
      </rPr>
      <t xml:space="preserve">416(</t>
    </r>
    <r>
      <rPr>
        <sz val="9"/>
        <color rgb="FF1A1A2E"/>
        <rFont val="DejaVu Sans"/>
        <family val="2"/>
      </rPr>
      <t xml:space="preserve">금사면 장흥리 산</t>
    </r>
    <r>
      <rPr>
        <sz val="9"/>
        <color rgb="FF1A1A2E"/>
        <rFont val="DejaVu Sans"/>
        <family val="2"/>
        <charset val="1"/>
      </rPr>
      <t xml:space="preserve">1)</t>
    </r>
  </si>
  <si>
    <r>
      <rPr>
        <sz val="9"/>
        <color rgb="FF1A1A2E"/>
        <rFont val="DejaVu Sans"/>
        <family val="2"/>
      </rPr>
      <t xml:space="preserve">보광개발㈜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김성원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</si>
  <si>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https://www.ipocc.co.kr/</t>
  </si>
  <si>
    <t xml:space="preserve">031-882-0071</t>
  </si>
  <si>
    <t xml:space="preserve">일동레이크 골프클럽</t>
  </si>
  <si>
    <r>
      <rPr>
        <sz val="9"/>
        <color rgb="FF1A1A2E"/>
        <rFont val="DejaVu Sans"/>
        <family val="2"/>
      </rPr>
      <t xml:space="preserve">포천시 일동면 화동로 </t>
    </r>
    <r>
      <rPr>
        <sz val="9"/>
        <color rgb="FF1A1A2E"/>
        <rFont val="DejaVu Sans"/>
        <family val="2"/>
        <charset val="1"/>
      </rPr>
      <t xml:space="preserve">738/</t>
    </r>
    <r>
      <rPr>
        <sz val="9"/>
        <color rgb="FF1A1A2E"/>
        <rFont val="DejaVu Sans"/>
        <family val="2"/>
      </rPr>
      <t xml:space="preserve">일동면 유동리 </t>
    </r>
    <r>
      <rPr>
        <sz val="9"/>
        <color rgb="FF1A1A2E"/>
        <rFont val="DejaVu Sans"/>
        <family val="2"/>
        <charset val="1"/>
      </rPr>
      <t xml:space="preserve">21-2</t>
    </r>
  </si>
  <si>
    <r>
      <rPr>
        <sz val="9"/>
        <color rgb="FF1A1A2E"/>
        <rFont val="DejaVu Sans"/>
        <family val="2"/>
      </rPr>
      <t xml:space="preserve">㈜농심개발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정철수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</si>
  <si>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https://www.ildonglake.com/</t>
  </si>
  <si>
    <t xml:space="preserve">031-536-0800</t>
  </si>
  <si>
    <t xml:space="preserve">일동레이크골프클럽</t>
  </si>
  <si>
    <r>
      <rPr>
        <sz val="9"/>
        <color rgb="FF1A1A2E"/>
        <rFont val="DejaVu Sans"/>
        <family val="2"/>
      </rPr>
      <t xml:space="preserve">포천시 일동면 화동로 </t>
    </r>
    <r>
      <rPr>
        <sz val="9"/>
        <color rgb="FF1A1A2E"/>
        <rFont val="DejaVu Sans"/>
        <family val="2"/>
        <charset val="1"/>
      </rPr>
      <t xml:space="preserve">738</t>
    </r>
  </si>
  <si>
    <t xml:space="preserve">일산스프링힐스 컨트리클럽</t>
  </si>
  <si>
    <r>
      <rPr>
        <sz val="9"/>
        <color rgb="FF1A1A2E"/>
        <rFont val="DejaVu Sans"/>
        <family val="2"/>
      </rPr>
      <t xml:space="preserve">고양시 일산동구 산황로 </t>
    </r>
    <r>
      <rPr>
        <sz val="9"/>
        <color rgb="FF1A1A2E"/>
        <rFont val="DejaVu Sans"/>
        <family val="2"/>
        <charset val="1"/>
      </rPr>
      <t xml:space="preserve">108</t>
    </r>
  </si>
  <si>
    <t xml:space="preserve">김명두</t>
  </si>
  <si>
    <t xml:space="preserve">자유</t>
  </si>
  <si>
    <r>
      <rPr>
        <sz val="9"/>
        <color rgb="FF1A1A2E"/>
        <rFont val="DejaVu Sans"/>
        <family val="2"/>
      </rPr>
      <t xml:space="preserve">여주시 가남읍 자유그린길 </t>
    </r>
    <r>
      <rPr>
        <sz val="9"/>
        <color rgb="FF1A1A2E"/>
        <rFont val="DejaVu Sans"/>
        <family val="2"/>
        <charset val="1"/>
      </rPr>
      <t xml:space="preserve">69(</t>
    </r>
    <r>
      <rPr>
        <sz val="9"/>
        <color rgb="FF1A1A2E"/>
        <rFont val="DejaVu Sans"/>
        <family val="2"/>
      </rPr>
      <t xml:space="preserve">가남면 삼군리 산</t>
    </r>
    <r>
      <rPr>
        <sz val="9"/>
        <color rgb="FF1A1A2E"/>
        <rFont val="DejaVu Sans"/>
        <family val="2"/>
        <charset val="1"/>
      </rPr>
      <t xml:space="preserve">44</t>
    </r>
    <r>
      <rPr>
        <sz val="9"/>
        <color rgb="FF1A1A2E"/>
        <rFont val="DejaVu Sans"/>
        <family val="2"/>
      </rPr>
      <t xml:space="preserve">외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</si>
  <si>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신세계건설㈜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윤명규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</si>
  <si>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https://jayucc.co.kr/</t>
  </si>
  <si>
    <t xml:space="preserve">031-881-6900</t>
  </si>
  <si>
    <t xml:space="preserve">자유로컨트리클럽</t>
  </si>
  <si>
    <r>
      <rPr>
        <sz val="9"/>
        <color rgb="FF1A1A2E"/>
        <rFont val="DejaVu Sans"/>
        <family val="2"/>
      </rPr>
      <t xml:space="preserve">연천군 백학면 노아로</t>
    </r>
    <r>
      <rPr>
        <sz val="9"/>
        <color rgb="FF1A1A2E"/>
        <rFont val="DejaVu Sans"/>
        <family val="2"/>
        <charset val="1"/>
      </rPr>
      <t xml:space="preserve">297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179-55</t>
    </r>
  </si>
  <si>
    <r>
      <rPr>
        <sz val="9"/>
        <color rgb="FF1A1A2E"/>
        <rFont val="DejaVu Sans"/>
        <family val="2"/>
      </rPr>
      <t xml:space="preserve">백학관광개발원㈜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김일중</t>
    </r>
    <r>
      <rPr>
        <sz val="9"/>
        <color rgb="FF1A1A2E"/>
        <rFont val="DejaVu Sans"/>
        <family val="2"/>
        <charset val="1"/>
      </rPr>
      <t xml:space="preserve">)</t>
    </r>
  </si>
  <si>
    <t xml:space="preserve">제일스포츠센타</t>
  </si>
  <si>
    <r>
      <rPr>
        <sz val="9"/>
        <color rgb="FF1A1A2E"/>
        <rFont val="DejaVu Sans"/>
        <family val="2"/>
      </rPr>
      <t xml:space="preserve">안산시 상록구 태마당로</t>
    </r>
    <r>
      <rPr>
        <sz val="9"/>
        <color rgb="FF1A1A2E"/>
        <rFont val="DejaVu Sans"/>
        <family val="2"/>
        <charset val="1"/>
      </rPr>
      <t xml:space="preserve">28(</t>
    </r>
    <r>
      <rPr>
        <sz val="9"/>
        <color rgb="FF1A1A2E"/>
        <rFont val="DejaVu Sans"/>
        <family val="2"/>
      </rPr>
      <t xml:space="preserve">부곡동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</si>
  <si>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㈜제일스포츠센타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아세미트시로</t>
    </r>
    <r>
      <rPr>
        <sz val="9"/>
        <color rgb="FF1A1A2E"/>
        <rFont val="DejaVu Sans"/>
        <family val="2"/>
        <charset val="1"/>
      </rPr>
      <t xml:space="preserve">)</t>
    </r>
  </si>
  <si>
    <t xml:space="preserve">중부컨트리클럽</t>
  </si>
  <si>
    <r>
      <rPr>
        <sz val="9"/>
        <color rgb="FF1A1A2E"/>
        <rFont val="DejaVu Sans"/>
        <family val="2"/>
      </rPr>
      <t xml:space="preserve">광주시 곤지암읍 경충대로 </t>
    </r>
    <r>
      <rPr>
        <sz val="9"/>
        <color rgb="FF1A1A2E"/>
        <rFont val="DejaVu Sans"/>
        <family val="2"/>
        <charset val="1"/>
      </rPr>
      <t xml:space="preserve">451</t>
    </r>
  </si>
  <si>
    <r>
      <rPr>
        <sz val="9"/>
        <color rgb="FF1A1A2E"/>
        <rFont val="DejaVu Sans"/>
        <family val="2"/>
      </rPr>
      <t xml:space="preserve">애경중부컨트리클럽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송병호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</si>
  <si>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지산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</si>
  <si>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원삼면 죽양대로 </t>
    </r>
    <r>
      <rPr>
        <sz val="9"/>
        <color rgb="FF1A1A2E"/>
        <rFont val="DejaVu Sans"/>
        <family val="2"/>
        <charset val="1"/>
      </rPr>
      <t xml:space="preserve">2000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60</t>
    </r>
  </si>
  <si>
    <t xml:space="preserve">이호재</t>
  </si>
  <si>
    <t xml:space="preserve">참밸리 컨트리클럽</t>
  </si>
  <si>
    <r>
      <rPr>
        <sz val="9"/>
        <color rgb="FF1A1A2E"/>
        <rFont val="DejaVu Sans"/>
        <family val="2"/>
      </rPr>
      <t xml:space="preserve">포천시 삼육사로 </t>
    </r>
    <r>
      <rPr>
        <sz val="9"/>
        <color rgb="FF1A1A2E"/>
        <rFont val="DejaVu Sans"/>
        <family val="2"/>
        <charset val="1"/>
      </rPr>
      <t xml:space="preserve">1978 / </t>
    </r>
    <r>
      <rPr>
        <sz val="9"/>
        <color rgb="FF1A1A2E"/>
        <rFont val="DejaVu Sans"/>
        <family val="2"/>
      </rPr>
      <t xml:space="preserve">설운동 </t>
    </r>
    <r>
      <rPr>
        <sz val="9"/>
        <color rgb="FF1A1A2E"/>
        <rFont val="DejaVu Sans"/>
        <family val="2"/>
        <charset val="1"/>
      </rPr>
      <t xml:space="preserve">603</t>
    </r>
    <r>
      <rPr>
        <sz val="9"/>
        <color rgb="FF1A1A2E"/>
        <rFont val="DejaVu Sans"/>
        <family val="2"/>
      </rPr>
      <t xml:space="preserve">번지 일원</t>
    </r>
  </si>
  <si>
    <r>
      <rPr>
        <sz val="9"/>
        <color rgb="FF1A1A2E"/>
        <rFont val="DejaVu Sans"/>
        <family val="2"/>
      </rPr>
      <t xml:space="preserve">㈜참빛글로벌이앤씨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이한일외 </t>
    </r>
    <r>
      <rPr>
        <sz val="9"/>
        <color rgb="FF1A1A2E"/>
        <rFont val="DejaVu Sans"/>
        <family val="2"/>
        <charset val="1"/>
      </rPr>
      <t xml:space="preserve">2)</t>
    </r>
  </si>
  <si>
    <r>
      <rPr>
        <b val="true"/>
        <sz val="9"/>
        <color rgb="FF1A1A2E"/>
        <rFont val="DejaVu Sans"/>
        <family val="2"/>
      </rPr>
      <t xml:space="preserve">청평마이다스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</si>
  <si>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설악면 다락재로 </t>
    </r>
    <r>
      <rPr>
        <sz val="9"/>
        <color rgb="FF1A1A2E"/>
        <rFont val="DejaVu Sans"/>
        <family val="2"/>
        <charset val="1"/>
      </rPr>
      <t xml:space="preserve">73-111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</si>
  <si>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대교디앤에스   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최득희</t>
    </r>
    <r>
      <rPr>
        <sz val="9"/>
        <color rgb="FF1A1A2E"/>
        <rFont val="Arial"/>
        <family val="2"/>
        <charset val="1"/>
      </rPr>
      <t xml:space="preserve">)</t>
    </r>
  </si>
  <si>
    <t xml:space="preserve">캐슬파인</t>
  </si>
  <si>
    <r>
      <rPr>
        <sz val="9"/>
        <color rgb="FF1A1A2E"/>
        <rFont val="DejaVu Sans"/>
        <family val="2"/>
      </rPr>
      <t xml:space="preserve">여주시 강천면 부평로 </t>
    </r>
    <r>
      <rPr>
        <sz val="9"/>
        <color rgb="FF1A1A2E"/>
        <rFont val="DejaVu Sans"/>
        <family val="2"/>
        <charset val="1"/>
      </rPr>
      <t xml:space="preserve">580(</t>
    </r>
    <r>
      <rPr>
        <sz val="9"/>
        <color rgb="FF1A1A2E"/>
        <rFont val="DejaVu Sans"/>
        <family val="2"/>
      </rPr>
      <t xml:space="preserve">강천면 부평리 산</t>
    </r>
    <r>
      <rPr>
        <sz val="9"/>
        <color rgb="FF1A1A2E"/>
        <rFont val="DejaVu Sans"/>
        <family val="2"/>
        <charset val="1"/>
      </rPr>
      <t xml:space="preserve">47-1)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</si>
  <si>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캐슬파인 리조트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정귀수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</si>
  <si>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코리아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</si>
  <si>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기흥단지로 </t>
    </r>
    <r>
      <rPr>
        <sz val="9"/>
        <color rgb="FF1A1A2E"/>
        <rFont val="DejaVu Sans"/>
        <family val="2"/>
        <charset val="1"/>
      </rPr>
      <t xml:space="preserve">579</t>
    </r>
  </si>
  <si>
    <t xml:space="preserve">https://www.gakorea.com/</t>
  </si>
  <si>
    <t xml:space="preserve">031-323-8200</t>
  </si>
  <si>
    <t xml:space="preserve">코리아퍼브릭</t>
  </si>
  <si>
    <r>
      <rPr>
        <sz val="9"/>
        <color rgb="FF1A1A2E"/>
        <rFont val="DejaVu Sans"/>
        <family val="2"/>
      </rPr>
      <t xml:space="preserve">용인시 기흥구 기흥단지로 </t>
    </r>
    <r>
      <rPr>
        <sz val="9"/>
        <color rgb="FF1A1A2E"/>
        <rFont val="DejaVu Sans"/>
        <family val="2"/>
        <charset val="1"/>
      </rPr>
      <t xml:space="preserve">224</t>
    </r>
  </si>
  <si>
    <t xml:space="preserve">김영만</t>
  </si>
  <si>
    <r>
      <rPr>
        <b val="true"/>
        <sz val="9"/>
        <color rgb="FF1A1A2E"/>
        <rFont val="DejaVu Sans"/>
        <family val="2"/>
      </rPr>
      <t xml:space="preserve">큐로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</si>
  <si>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광주시 곤지암읍 오항길 </t>
    </r>
    <r>
      <rPr>
        <sz val="9"/>
        <color rgb="FF1A1A2E"/>
        <rFont val="DejaVu Sans"/>
        <family val="2"/>
        <charset val="1"/>
      </rPr>
      <t xml:space="preserve">180</t>
    </r>
  </si>
  <si>
    <r>
      <rPr>
        <sz val="9"/>
        <color rgb="FF1A1A2E"/>
        <rFont val="DejaVu Sans"/>
        <family val="2"/>
      </rPr>
      <t xml:space="preserve">경기관광 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김일준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</si>
  <si>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크리스탈밸리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</si>
  <si>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가평군 상면 대보간선로 </t>
    </r>
    <r>
      <rPr>
        <sz val="9"/>
        <color rgb="FF1A1A2E"/>
        <rFont val="DejaVu Sans"/>
        <family val="2"/>
        <charset val="1"/>
      </rPr>
      <t xml:space="preserve">602-111</t>
    </r>
  </si>
  <si>
    <r>
      <rPr>
        <sz val="9"/>
        <color rgb="FF1A1A2E"/>
        <rFont val="DejaVu Sans"/>
        <family val="2"/>
      </rPr>
      <t xml:space="preserve">㈜한송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장대수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</si>
  <si>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https://www.creasvalley.com/</t>
  </si>
  <si>
    <t xml:space="preserve">031-674-9200</t>
  </si>
  <si>
    <r>
      <rPr>
        <b val="true"/>
        <sz val="9"/>
        <color rgb="FF1A1A2E"/>
        <rFont val="DejaVu Sans"/>
        <family val="2"/>
      </rPr>
      <t xml:space="preserve">타이거</t>
    </r>
    <r>
      <rPr>
        <b val="true"/>
        <sz val="9"/>
        <color rgb="FF1A1A2E"/>
        <rFont val="DejaVu Sans"/>
        <family val="2"/>
        <charset val="1"/>
      </rPr>
      <t xml:space="preserve">CC </t>
    </r>
    <r>
      <rPr>
        <b val="true"/>
        <sz val="9"/>
        <color rgb="FF1A1A2E"/>
        <rFont val="DejaVu Sans"/>
        <family val="2"/>
      </rPr>
      <t xml:space="preserve">골프장</t>
    </r>
  </si>
  <si>
    <r>
      <rPr>
        <sz val="9"/>
        <color rgb="FF1A1A2E"/>
        <rFont val="DejaVu Sans"/>
        <family val="2"/>
      </rPr>
      <t xml:space="preserve">파주시 파평면 덕천리 산</t>
    </r>
    <r>
      <rPr>
        <sz val="9"/>
        <color rgb="FF1A1A2E"/>
        <rFont val="DejaVu Sans"/>
        <family val="2"/>
        <charset val="1"/>
      </rPr>
      <t xml:space="preserve">1-4</t>
    </r>
    <r>
      <rPr>
        <sz val="9"/>
        <color rgb="FF1A1A2E"/>
        <rFont val="DejaVu Sans"/>
        <family val="2"/>
      </rPr>
      <t xml:space="preserve">번지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</si>
  <si>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타이거 레저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임계자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</si>
  <si>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태광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</si>
  <si>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흥덕</t>
    </r>
    <r>
      <rPr>
        <sz val="9"/>
        <color rgb="FF1A1A2E"/>
        <rFont val="DejaVu Sans"/>
        <family val="2"/>
        <charset val="1"/>
      </rPr>
      <t xml:space="preserve">4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77</t>
    </r>
  </si>
  <si>
    <t xml:space="preserve">전용인</t>
  </si>
  <si>
    <t xml:space="preserve">티클라우드 컨트리클럽</t>
  </si>
  <si>
    <r>
      <rPr>
        <sz val="9"/>
        <color rgb="FF1A1A2E"/>
        <rFont val="DejaVu Sans"/>
        <family val="2"/>
      </rPr>
      <t xml:space="preserve">동두천시 평화로 </t>
    </r>
    <r>
      <rPr>
        <sz val="9"/>
        <color rgb="FF1A1A2E"/>
        <rFont val="DejaVu Sans"/>
        <family val="2"/>
        <charset val="1"/>
      </rPr>
      <t xml:space="preserve">3202 (</t>
    </r>
    <r>
      <rPr>
        <sz val="9"/>
        <color rgb="FF1A1A2E"/>
        <rFont val="DejaVu Sans"/>
        <family val="2"/>
      </rPr>
      <t xml:space="preserve">하봉암동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</si>
  <si>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㈜제이레저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정길연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</si>
  <si>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파인크리크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</si>
  <si>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안성시 양성면 안성맞춤대로 </t>
    </r>
    <r>
      <rPr>
        <sz val="9"/>
        <color rgb="FF1A1A2E"/>
        <rFont val="DejaVu Sans"/>
        <family val="2"/>
        <charset val="1"/>
      </rPr>
      <t xml:space="preserve">2417-13</t>
    </r>
  </si>
  <si>
    <r>
      <rPr>
        <sz val="9"/>
        <color rgb="FF1A1A2E"/>
        <rFont val="DejaVu Sans"/>
        <family val="2"/>
      </rPr>
      <t xml:space="preserve">㈜동양레저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  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</si>
  <si>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파주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</si>
  <si>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파주시 법원읍 화합로 </t>
    </r>
    <r>
      <rPr>
        <sz val="9"/>
        <color rgb="FF1A1A2E"/>
        <rFont val="DejaVu Sans"/>
        <family val="2"/>
        <charset val="1"/>
      </rPr>
      <t xml:space="preserve">306</t>
    </r>
  </si>
  <si>
    <r>
      <rPr>
        <sz val="9"/>
        <color rgb="FF1A1A2E"/>
        <rFont val="DejaVu Sans"/>
        <family val="2"/>
      </rPr>
      <t xml:space="preserve">㈜파주컨트리클럽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윤준학</t>
    </r>
    <r>
      <rPr>
        <sz val="9"/>
        <color rgb="FF1A1A2E"/>
        <rFont val="DejaVu Sans"/>
        <family val="2"/>
        <charset val="1"/>
      </rPr>
      <t xml:space="preserve">)</t>
    </r>
  </si>
  <si>
    <t xml:space="preserve">페럼</t>
  </si>
  <si>
    <r>
      <rPr>
        <sz val="9"/>
        <color rgb="FF1A1A2E"/>
        <rFont val="DejaVu Sans"/>
        <family val="2"/>
      </rPr>
      <t xml:space="preserve">여주시 점동면 점동로 </t>
    </r>
    <r>
      <rPr>
        <sz val="9"/>
        <color rgb="FF1A1A2E"/>
        <rFont val="DejaVu Sans"/>
        <family val="2"/>
        <charset val="1"/>
      </rPr>
      <t xml:space="preserve">181(</t>
    </r>
    <r>
      <rPr>
        <sz val="9"/>
        <color rgb="FF1A1A2E"/>
        <rFont val="DejaVu Sans"/>
        <family val="2"/>
      </rPr>
      <t xml:space="preserve">점동면 사곡리 산</t>
    </r>
    <r>
      <rPr>
        <sz val="9"/>
        <color rgb="FF1A1A2E"/>
        <rFont val="DejaVu Sans"/>
        <family val="2"/>
        <charset val="1"/>
      </rPr>
      <t xml:space="preserve">16-10)</t>
    </r>
  </si>
  <si>
    <r>
      <rPr>
        <sz val="9"/>
        <color rgb="FF1A1A2E"/>
        <rFont val="DejaVu Sans"/>
        <family val="2"/>
      </rPr>
      <t xml:space="preserve">㈜페럼인프라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고문성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</si>
  <si>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https://www.ferrumclub.com/</t>
  </si>
  <si>
    <t xml:space="preserve">033-769-8000</t>
  </si>
  <si>
    <r>
      <rPr>
        <b val="true"/>
        <sz val="9"/>
        <color rgb="FF1A1A2E"/>
        <rFont val="DejaVu Sans"/>
        <family val="2"/>
      </rPr>
      <t xml:space="preserve">포레스트힐 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</si>
  <si>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포천시 화현면 명덕리 </t>
    </r>
    <r>
      <rPr>
        <sz val="9"/>
        <color rgb="FF1A1A2E"/>
        <rFont val="DejaVu Sans"/>
        <family val="2"/>
        <charset val="1"/>
      </rPr>
      <t xml:space="preserve">178-1</t>
    </r>
    <r>
      <rPr>
        <sz val="9"/>
        <color rgb="FF1A1A2E"/>
        <rFont val="DejaVu Sans"/>
        <family val="2"/>
      </rPr>
      <t xml:space="preserve">번지</t>
    </r>
  </si>
  <si>
    <r>
      <rPr>
        <sz val="9"/>
        <color rgb="FF1A1A2E"/>
        <rFont val="DejaVu Sans"/>
        <family val="2"/>
      </rPr>
      <t xml:space="preserve">㈜화현개발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홍승범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</si>
  <si>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https://www.foresthill.kr/</t>
  </si>
  <si>
    <t xml:space="preserve">031-531-4800</t>
  </si>
  <si>
    <r>
      <rPr>
        <b val="true"/>
        <sz val="9"/>
        <color rgb="FF1A1A2E"/>
        <rFont val="DejaVu Sans"/>
        <family val="2"/>
      </rPr>
      <t xml:space="preserve">포천아도니스 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</si>
  <si>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포천시 신북면 포천로 </t>
    </r>
    <r>
      <rPr>
        <sz val="9"/>
        <color rgb="FF1A1A2E"/>
        <rFont val="DejaVu Sans"/>
        <family val="2"/>
        <charset val="1"/>
      </rPr>
      <t xml:space="preserve">2499/</t>
    </r>
    <r>
      <rPr>
        <sz val="9"/>
        <color rgb="FF1A1A2E"/>
        <rFont val="DejaVu Sans"/>
        <family val="2"/>
      </rPr>
      <t xml:space="preserve">신북면 고일리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산</t>
    </r>
    <r>
      <rPr>
        <sz val="9"/>
        <color rgb="FF1A1A2E"/>
        <rFont val="DejaVu Sans"/>
        <family val="2"/>
        <charset val="1"/>
      </rPr>
      <t xml:space="preserve">) 59</t>
    </r>
  </si>
  <si>
    <r>
      <rPr>
        <sz val="9"/>
        <color rgb="FF1A1A2E"/>
        <rFont val="DejaVu Sans"/>
        <family val="2"/>
      </rPr>
      <t xml:space="preserve">㈜아도니스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정성경</t>
    </r>
    <r>
      <rPr>
        <sz val="9"/>
        <color rgb="FF1A1A2E"/>
        <rFont val="DejaVu Sans"/>
        <family val="2"/>
        <charset val="1"/>
      </rPr>
      <t xml:space="preserve">)</t>
    </r>
  </si>
  <si>
    <t xml:space="preserve">포천힐스컨트리클럽</t>
  </si>
  <si>
    <r>
      <rPr>
        <sz val="9"/>
        <color rgb="FF1A1A2E"/>
        <rFont val="DejaVu Sans"/>
        <family val="2"/>
      </rPr>
      <t xml:space="preserve">포천시 군내면 반월산성로 </t>
    </r>
    <r>
      <rPr>
        <sz val="9"/>
        <color rgb="FF1A1A2E"/>
        <rFont val="DejaVu Sans"/>
        <family val="2"/>
        <charset val="1"/>
      </rPr>
      <t xml:space="preserve">375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34</t>
    </r>
  </si>
  <si>
    <r>
      <rPr>
        <sz val="9"/>
        <color rgb="FF1A1A2E"/>
        <rFont val="DejaVu Sans"/>
        <family val="2"/>
      </rPr>
      <t xml:space="preserve">㈜한경엘앤디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정구학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</si>
  <si>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https://www.pocheonhills.co.kr/</t>
  </si>
  <si>
    <t xml:space="preserve">031-531-0001</t>
  </si>
  <si>
    <t xml:space="preserve">푸른솔 골프클럽포천</t>
  </si>
  <si>
    <r>
      <rPr>
        <sz val="9"/>
        <color rgb="FF1A1A2E"/>
        <rFont val="DejaVu Sans"/>
        <family val="2"/>
      </rPr>
      <t xml:space="preserve">포천시 가산면 금우로</t>
    </r>
    <r>
      <rPr>
        <sz val="9"/>
        <color rgb="FF1A1A2E"/>
        <rFont val="DejaVu Sans"/>
        <family val="2"/>
        <charset val="1"/>
      </rPr>
      <t xml:space="preserve">276</t>
    </r>
  </si>
  <si>
    <r>
      <rPr>
        <sz val="9"/>
        <color rgb="FF1A1A2E"/>
        <rFont val="DejaVu Sans"/>
        <family val="2"/>
      </rPr>
      <t xml:space="preserve">㈜유진로텍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조일구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</si>
  <si>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프리스틴밸리    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</si>
  <si>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가평군 설악면 유명산로 </t>
    </r>
    <r>
      <rPr>
        <sz val="9"/>
        <color rgb="FF1A1A2E"/>
        <rFont val="DejaVu Sans"/>
        <family val="2"/>
        <charset val="1"/>
      </rPr>
      <t xml:space="preserve">1234-199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</si>
  <si>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평산투자개발   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박정호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박치웅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</si>
  <si>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플라자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</si>
  <si>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남사읍 봉무로 </t>
    </r>
    <r>
      <rPr>
        <sz val="9"/>
        <color rgb="FF1A1A2E"/>
        <rFont val="DejaVu Sans"/>
        <family val="2"/>
        <charset val="1"/>
      </rPr>
      <t xml:space="preserve">153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79</t>
    </r>
  </si>
  <si>
    <t xml:space="preserve">김형조</t>
  </si>
  <si>
    <t xml:space="preserve">필로스골프클럽</t>
  </si>
  <si>
    <r>
      <rPr>
        <sz val="9"/>
        <color rgb="FF1A1A2E"/>
        <rFont val="DejaVu Sans"/>
        <family val="2"/>
      </rPr>
      <t xml:space="preserve">포천시 일동면 운악청계로 </t>
    </r>
    <r>
      <rPr>
        <sz val="9"/>
        <color rgb="FF1A1A2E"/>
        <rFont val="DejaVu Sans"/>
        <family val="2"/>
        <charset val="1"/>
      </rPr>
      <t xml:space="preserve">1507/ </t>
    </r>
    <r>
      <rPr>
        <sz val="9"/>
        <color rgb="FF1A1A2E"/>
        <rFont val="DejaVu Sans"/>
        <family val="2"/>
      </rPr>
      <t xml:space="preserve">포천시 일동면 기산리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산</t>
    </r>
    <r>
      <rPr>
        <sz val="9"/>
        <color rgb="FF1A1A2E"/>
        <rFont val="DejaVu Sans"/>
        <family val="2"/>
        <charset val="1"/>
      </rPr>
      <t xml:space="preserve">) 142-1</t>
    </r>
  </si>
  <si>
    <r>
      <rPr>
        <sz val="9"/>
        <color rgb="FF1A1A2E"/>
        <rFont val="DejaVu Sans"/>
        <family val="2"/>
      </rPr>
      <t xml:space="preserve">㈜선운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이성용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</si>
  <si>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한림광릉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</si>
  <si>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진접읍 팔야로 </t>
    </r>
    <r>
      <rPr>
        <sz val="9"/>
        <color rgb="FF1A1A2E"/>
        <rFont val="DejaVu Sans"/>
        <family val="2"/>
        <charset val="1"/>
      </rPr>
      <t xml:space="preserve">280</t>
    </r>
  </si>
  <si>
    <r>
      <rPr>
        <sz val="9"/>
        <color rgb="FF1A1A2E"/>
        <rFont val="DejaVu Sans"/>
        <family val="2"/>
      </rPr>
      <t xml:space="preserve">광릉레져개발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김진규</t>
    </r>
  </si>
  <si>
    <t xml:space="preserve">한림안성</t>
  </si>
  <si>
    <r>
      <rPr>
        <sz val="9"/>
        <color rgb="FF1A1A2E"/>
        <rFont val="DejaVu Sans"/>
        <family val="2"/>
      </rPr>
      <t xml:space="preserve">안성시 양성면 양성로 </t>
    </r>
    <r>
      <rPr>
        <sz val="9"/>
        <color rgb="FF1A1A2E"/>
        <rFont val="DejaVu Sans"/>
        <family val="2"/>
        <charset val="1"/>
      </rPr>
      <t xml:space="preserve">349-61</t>
    </r>
  </si>
  <si>
    <r>
      <rPr>
        <sz val="9"/>
        <color rgb="FF1A1A2E"/>
        <rFont val="DejaVu Sans"/>
        <family val="2"/>
      </rPr>
      <t xml:space="preserve">일송개발㈜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이병진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</si>
  <si>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한림용인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</si>
  <si>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남사읍 경기동로 </t>
    </r>
    <r>
      <rPr>
        <sz val="9"/>
        <color rgb="FF1A1A2E"/>
        <rFont val="DejaVu Sans"/>
        <family val="2"/>
        <charset val="1"/>
      </rPr>
      <t xml:space="preserve">628</t>
    </r>
  </si>
  <si>
    <t xml:space="preserve">이병진</t>
  </si>
  <si>
    <r>
      <rPr>
        <b val="true"/>
        <sz val="9"/>
        <color rgb="FF1A1A2E"/>
        <rFont val="DejaVu Sans"/>
        <family val="2"/>
      </rPr>
      <t xml:space="preserve">한성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</si>
  <si>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기흥구 구교동로 </t>
    </r>
    <r>
      <rPr>
        <sz val="9"/>
        <color rgb="FF1A1A2E"/>
        <rFont val="DejaVu Sans"/>
        <family val="2"/>
        <charset val="1"/>
      </rPr>
      <t xml:space="preserve">151</t>
    </r>
  </si>
  <si>
    <t xml:space="preserve">전영자</t>
  </si>
  <si>
    <t xml:space="preserve">한양컨트리클럽</t>
  </si>
  <si>
    <r>
      <rPr>
        <sz val="9"/>
        <color rgb="FF1A1A2E"/>
        <rFont val="DejaVu Sans"/>
        <family val="2"/>
      </rPr>
      <t xml:space="preserve">고양시 덕양구 고양대로</t>
    </r>
    <r>
      <rPr>
        <sz val="9"/>
        <color rgb="FF1A1A2E"/>
        <rFont val="DejaVu Sans"/>
        <family val="2"/>
        <charset val="1"/>
      </rPr>
      <t xml:space="preserve">1643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164</t>
    </r>
  </si>
  <si>
    <t xml:space="preserve">이승호</t>
  </si>
  <si>
    <t xml:space="preserve">https://www.hanyangcc.com</t>
  </si>
  <si>
    <t xml:space="preserve">031-786-1000</t>
  </si>
  <si>
    <r>
      <rPr>
        <b val="true"/>
        <sz val="9"/>
        <color rgb="FF1A1A2E"/>
        <rFont val="DejaVu Sans"/>
        <family val="2"/>
      </rPr>
      <t xml:space="preserve">한양컨트리클럽 대중제 </t>
    </r>
    <r>
      <rPr>
        <b val="true"/>
        <sz val="9"/>
        <color rgb="FF1A1A2E"/>
        <rFont val="DejaVu Sans"/>
        <family val="2"/>
        <charset val="1"/>
      </rPr>
      <t xml:space="preserve">9</t>
    </r>
    <r>
      <rPr>
        <b val="true"/>
        <sz val="9"/>
        <color rgb="FF1A1A2E"/>
        <rFont val="DejaVu Sans"/>
        <family val="2"/>
      </rPr>
      <t xml:space="preserve">홀 골프장</t>
    </r>
  </si>
  <si>
    <r>
      <rPr>
        <sz val="9"/>
        <color rgb="FF1A1A2E"/>
        <rFont val="DejaVu Sans"/>
        <family val="2"/>
      </rPr>
      <t xml:space="preserve">고양시 덕양구 고양대로 </t>
    </r>
    <r>
      <rPr>
        <sz val="9"/>
        <color rgb="FF1A1A2E"/>
        <rFont val="DejaVu Sans"/>
        <family val="2"/>
        <charset val="1"/>
      </rPr>
      <t xml:space="preserve">1591</t>
    </r>
  </si>
  <si>
    <r>
      <rPr>
        <sz val="9"/>
        <color rgb="FF1A1A2E"/>
        <rFont val="DejaVu Sans"/>
        <family val="2"/>
      </rPr>
      <t xml:space="preserve">홍순직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이승호</t>
    </r>
  </si>
  <si>
    <r>
      <rPr>
        <b val="true"/>
        <sz val="9"/>
        <color rgb="FF1A1A2E"/>
        <rFont val="DejaVu Sans"/>
        <family val="2"/>
      </rPr>
      <t xml:space="preserve">한원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</si>
  <si>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남사읍 전나무골길 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94</t>
    </r>
  </si>
  <si>
    <t xml:space="preserve">김인식</t>
  </si>
  <si>
    <r>
      <rPr>
        <b val="true"/>
        <sz val="9"/>
        <color rgb="FF1A1A2E"/>
        <rFont val="DejaVu Sans"/>
        <family val="2"/>
      </rPr>
      <t xml:space="preserve">해비치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</si>
  <si>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남양주시 화도읍 재재기로 </t>
    </r>
    <r>
      <rPr>
        <sz val="9"/>
        <color rgb="FF1A1A2E"/>
        <rFont val="DejaVu Sans"/>
        <family val="2"/>
        <charset val="1"/>
      </rPr>
      <t xml:space="preserve">190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160</t>
    </r>
  </si>
  <si>
    <r>
      <rPr>
        <sz val="9"/>
        <color rgb="FF1A1A2E"/>
        <rFont val="DejaVu Sans"/>
        <family val="2"/>
      </rPr>
      <t xml:space="preserve">해비치컨트리클럽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김민수</t>
    </r>
  </si>
  <si>
    <r>
      <rPr>
        <b val="true"/>
        <sz val="9"/>
        <color rgb="FF1A1A2E"/>
        <rFont val="DejaVu Sans"/>
        <family val="2"/>
      </rPr>
      <t xml:space="preserve">해솔리아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</si>
  <si>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백자로 </t>
    </r>
    <r>
      <rPr>
        <sz val="9"/>
        <color rgb="FF1A1A2E"/>
        <rFont val="DejaVu Sans"/>
        <family val="2"/>
        <charset val="1"/>
      </rPr>
      <t xml:space="preserve">297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74</t>
    </r>
  </si>
  <si>
    <t xml:space="preserve">오갑균</t>
  </si>
  <si>
    <t xml:space="preserve">해슬리나인브릿지</t>
  </si>
  <si>
    <r>
      <rPr>
        <sz val="9"/>
        <color rgb="FF1A1A2E"/>
        <rFont val="DejaVu Sans"/>
        <family val="2"/>
      </rPr>
      <t xml:space="preserve">여주시 명품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76(</t>
    </r>
    <r>
      <rPr>
        <sz val="9"/>
        <color rgb="FF1A1A2E"/>
        <rFont val="DejaVu Sans"/>
        <family val="2"/>
      </rPr>
      <t xml:space="preserve">여주읍 연라리 산</t>
    </r>
    <r>
      <rPr>
        <sz val="9"/>
        <color rgb="FF1A1A2E"/>
        <rFont val="DejaVu Sans"/>
        <family val="2"/>
        <charset val="1"/>
      </rPr>
      <t xml:space="preserve">67-1 </t>
    </r>
    <r>
      <rPr>
        <sz val="9"/>
        <color rgb="FF1A1A2E"/>
        <rFont val="DejaVu Sans"/>
        <family val="2"/>
      </rPr>
      <t xml:space="preserve">일원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</si>
  <si>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CJ</t>
    </r>
    <r>
      <rPr>
        <sz val="9"/>
        <color rgb="FF1A1A2E"/>
        <rFont val="DejaVu Sans"/>
        <family val="2"/>
      </rPr>
      <t xml:space="preserve">대한통운㈜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강신호</t>
    </r>
    <r>
      <rPr>
        <sz val="9"/>
        <color rgb="FF1A1A2E"/>
        <rFont val="Arial"/>
        <family val="2"/>
        <charset val="1"/>
      </rPr>
      <t xml:space="preserve">)</t>
    </r>
  </si>
  <si>
    <r>
      <rPr>
        <b val="true"/>
        <sz val="9"/>
        <color rgb="FF4B5563"/>
        <rFont val="DejaVu Sans"/>
        <family val="2"/>
      </rPr>
      <t xml:space="preserve">✅ 평점확보 </t>
    </r>
    <r>
      <rPr>
        <b val="true"/>
        <sz val="9"/>
        <color rgb="FF4B5563"/>
        <rFont val="DejaVu Sans"/>
        <family val="2"/>
        <charset val="1"/>
      </rPr>
      <t xml:space="preserve">(</t>
    </r>
    <r>
      <rPr>
        <b val="true"/>
        <sz val="9"/>
        <color rgb="FF4B5563"/>
        <rFont val="DejaVu Sans"/>
        <family val="2"/>
      </rPr>
      <t xml:space="preserve">시드</t>
    </r>
    <r>
      <rPr>
        <b val="true"/>
        <sz val="9"/>
        <color rgb="FF4B5563"/>
        <rFont val="DejaVu Sans"/>
        <family val="2"/>
        <charset val="1"/>
      </rPr>
      <t xml:space="preserve">)</t>
    </r>
  </si>
  <si>
    <t xml:space="preserve">http://www.haesley.com/</t>
  </si>
  <si>
    <t xml:space="preserve">031-880-1999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</si>
  <si>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kimcaddie, allthatgolf.kr, ytn_golf24 | </t>
    </r>
    <r>
      <rPr>
        <sz val="11"/>
        <color theme="1"/>
        <rFont val="DejaVu Sans"/>
        <family val="2"/>
      </rPr>
      <t xml:space="preserve">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페어웨이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그린 전홀 최고급 벤트그라스</t>
    </r>
    <r>
      <rPr>
        <sz val="11"/>
        <color theme="1"/>
        <rFont val="DejaVu Sans"/>
        <family val="2"/>
        <charset val="1"/>
      </rPr>
      <t xml:space="preserve">. '</t>
    </r>
    <r>
      <rPr>
        <sz val="11"/>
        <color theme="1"/>
        <rFont val="DejaVu Sans"/>
        <family val="2"/>
      </rPr>
      <t xml:space="preserve">잔디 관리 상태가 세심하고 직원 서비스 극찬</t>
    </r>
    <r>
      <rPr>
        <sz val="11"/>
        <color theme="1"/>
        <rFont val="DejaVu Sans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다수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프라이빗 회원제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 코스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113/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103/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94/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</si>
  <si>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</rPr>
      <t xml:space="preserve">화산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</si>
  <si>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용인시 처인구 이동읍 화산로 </t>
    </r>
    <r>
      <rPr>
        <sz val="9"/>
        <color rgb="FF1A1A2E"/>
        <rFont val="DejaVu Sans"/>
        <family val="2"/>
        <charset val="1"/>
      </rPr>
      <t xml:space="preserve">239</t>
    </r>
  </si>
  <si>
    <t xml:space="preserve">정수련</t>
  </si>
  <si>
    <t xml:space="preserve">화성골프클럽</t>
  </si>
  <si>
    <r>
      <rPr>
        <sz val="9"/>
        <color rgb="FF1A1A2E"/>
        <rFont val="DejaVu Sans"/>
        <family val="2"/>
      </rPr>
      <t xml:space="preserve">화성시 남양읍 화성로 </t>
    </r>
    <r>
      <rPr>
        <sz val="9"/>
        <color rgb="FF1A1A2E"/>
        <rFont val="DejaVu Sans"/>
        <family val="2"/>
        <charset val="1"/>
      </rPr>
      <t xml:space="preserve">1393-27</t>
    </r>
  </si>
  <si>
    <r>
      <rPr>
        <sz val="9"/>
        <color rgb="FF1A1A2E"/>
        <rFont val="DejaVu Sans"/>
        <family val="2"/>
      </rPr>
      <t xml:space="preserve">㈜리더스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홍경선</t>
    </r>
    <r>
      <rPr>
        <sz val="9"/>
        <color rgb="FF1A1A2E"/>
        <rFont val="DejaVu Sans"/>
        <family val="2"/>
        <charset val="1"/>
      </rPr>
      <t xml:space="preserve">)</t>
    </r>
  </si>
  <si>
    <t xml:space="preserve">서울</t>
  </si>
  <si>
    <r>
      <rPr>
        <b val="true"/>
        <sz val="9"/>
        <color rgb="FF1A1A2E"/>
        <rFont val="DejaVu Sans"/>
        <family val="2"/>
      </rPr>
      <t xml:space="preserve">인서울</t>
    </r>
    <r>
      <rPr>
        <b val="true"/>
        <sz val="9"/>
        <color rgb="FF1A1A2E"/>
        <rFont val="DejaVu Sans"/>
        <family val="2"/>
        <charset val="1"/>
      </rPr>
      <t xml:space="preserve">27</t>
    </r>
    <r>
      <rPr>
        <b val="true"/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</si>
  <si>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서울시 강서구 오정로</t>
    </r>
    <r>
      <rPr>
        <sz val="9"/>
        <color rgb="FF1A1A2E"/>
        <rFont val="DejaVu Sans"/>
        <family val="2"/>
        <charset val="1"/>
      </rPr>
      <t xml:space="preserve">443-198, </t>
    </r>
    <r>
      <rPr>
        <sz val="9"/>
        <color rgb="FF1A1A2E"/>
        <rFont val="DejaVu Sans"/>
        <family val="2"/>
      </rPr>
      <t xml:space="preserve">인서울</t>
    </r>
    <r>
      <rPr>
        <sz val="9"/>
        <color rgb="FF1A1A2E"/>
        <rFont val="DejaVu Sans"/>
        <family val="2"/>
        <charset val="1"/>
      </rPr>
      <t xml:space="preserve">27</t>
    </r>
    <r>
      <rPr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</si>
  <si>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인서울</t>
    </r>
    <r>
      <rPr>
        <sz val="9"/>
        <color rgb="FF1A1A2E"/>
        <rFont val="DejaVu Sans"/>
        <family val="2"/>
        <charset val="1"/>
      </rPr>
      <t xml:space="preserve">27</t>
    </r>
    <r>
      <rPr>
        <sz val="9"/>
        <color rgb="FF1A1A2E"/>
        <rFont val="DejaVu Sans"/>
        <family val="2"/>
      </rPr>
      <t xml:space="preserve">골프클럽㈜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</si>
  <si>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인천</t>
  </si>
  <si>
    <r>
      <rPr>
        <b val="true"/>
        <sz val="9"/>
        <color rgb="FF1A1A2E"/>
        <rFont val="Arial"/>
        <family val="2"/>
        <charset val="1"/>
      </rPr>
      <t xml:space="preserve">SKY72 </t>
    </r>
    <r>
      <rPr>
        <b val="true"/>
        <sz val="9"/>
        <color rgb="FF1A1A2E"/>
        <rFont val="DejaVu Sans"/>
        <family val="2"/>
      </rPr>
      <t xml:space="preserve">골프클럽</t>
    </r>
    <r>
      <rPr>
        <b val="true"/>
        <sz val="9"/>
        <color rgb="FF1A1A2E"/>
        <rFont val="Arial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바다코스</t>
    </r>
    <r>
      <rPr>
        <b val="true"/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</si>
  <si>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인천시 중구 공항동로 </t>
    </r>
    <r>
      <rPr>
        <sz val="9"/>
        <color rgb="FF1A1A2E"/>
        <rFont val="DejaVu Sans"/>
        <family val="2"/>
        <charset val="1"/>
      </rPr>
      <t xml:space="preserve">392</t>
    </r>
  </si>
  <si>
    <r>
      <rPr>
        <sz val="9"/>
        <color rgb="FF1A1A2E"/>
        <rFont val="DejaVu Sans"/>
        <family val="2"/>
      </rPr>
      <t xml:space="preserve">스카이</t>
    </r>
    <r>
      <rPr>
        <sz val="9"/>
        <color rgb="FF1A1A2E"/>
        <rFont val="DejaVu Sans"/>
        <family val="2"/>
        <charset val="1"/>
      </rPr>
      <t xml:space="preserve">72</t>
    </r>
    <r>
      <rPr>
        <sz val="9"/>
        <color rgb="FF1A1A2E"/>
        <rFont val="DejaVu Sans"/>
        <family val="2"/>
      </rPr>
      <t xml:space="preserve">㈜</t>
    </r>
  </si>
  <si>
    <r>
      <rPr>
        <b val="true"/>
        <sz val="9"/>
        <color rgb="FF1A1A2E"/>
        <rFont val="Arial"/>
        <family val="2"/>
        <charset val="1"/>
      </rPr>
      <t xml:space="preserve">SKY72 </t>
    </r>
    <r>
      <rPr>
        <b val="true"/>
        <sz val="9"/>
        <color rgb="FF1A1A2E"/>
        <rFont val="DejaVu Sans"/>
        <family val="2"/>
      </rPr>
      <t xml:space="preserve">골프클럽</t>
    </r>
    <r>
      <rPr>
        <b val="true"/>
        <sz val="9"/>
        <color rgb="FF1A1A2E"/>
        <rFont val="Arial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하늘코스</t>
    </r>
    <r>
      <rPr>
        <b val="true"/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</si>
  <si>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인천시 중구 공항동로</t>
    </r>
    <r>
      <rPr>
        <sz val="9"/>
        <color rgb="FF1A1A2E"/>
        <rFont val="DejaVu Sans"/>
        <family val="2"/>
        <charset val="1"/>
      </rPr>
      <t xml:space="preserve">135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267</t>
    </r>
  </si>
  <si>
    <t xml:space="preserve">강화 선두리 골프장</t>
  </si>
  <si>
    <r>
      <rPr>
        <sz val="9"/>
        <color rgb="FF1A1A2E"/>
        <rFont val="DejaVu Sans"/>
        <family val="2"/>
      </rPr>
      <t xml:space="preserve">인천시 강화군 해안남로 </t>
    </r>
    <r>
      <rPr>
        <sz val="9"/>
        <color rgb="FF1A1A2E"/>
        <rFont val="DejaVu Sans"/>
        <family val="2"/>
        <charset val="1"/>
      </rPr>
      <t xml:space="preserve">474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59</t>
    </r>
  </si>
  <si>
    <t xml:space="preserve">㈜강호개발</t>
  </si>
  <si>
    <t xml:space="preserve">드림파크골프장</t>
  </si>
  <si>
    <r>
      <rPr>
        <sz val="9"/>
        <color rgb="FF1A1A2E"/>
        <rFont val="DejaVu Sans"/>
        <family val="2"/>
      </rPr>
      <t xml:space="preserve">인천시 서구 거월로 </t>
    </r>
    <r>
      <rPr>
        <sz val="9"/>
        <color rgb="FF1A1A2E"/>
        <rFont val="DejaVu Sans"/>
        <family val="2"/>
        <charset val="1"/>
      </rPr>
      <t xml:space="preserve">61</t>
    </r>
  </si>
  <si>
    <t xml:space="preserve">수도권매립지관리공사</t>
  </si>
  <si>
    <t xml:space="preserve">https://www.dreamparkcc.com/</t>
  </si>
  <si>
    <t xml:space="preserve">032-560-5200</t>
  </si>
  <si>
    <t xml:space="preserve">베어즈베스트청라골프클럽</t>
  </si>
  <si>
    <r>
      <rPr>
        <sz val="9"/>
        <color rgb="FF1A1A2E"/>
        <rFont val="DejaVu Sans"/>
        <family val="2"/>
      </rPr>
      <t xml:space="preserve">인천시 서구 청라대로 </t>
    </r>
    <r>
      <rPr>
        <sz val="9"/>
        <color rgb="FF1A1A2E"/>
        <rFont val="DejaVu Sans"/>
        <family val="2"/>
        <charset val="1"/>
      </rPr>
      <t xml:space="preserve">316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45</t>
    </r>
  </si>
  <si>
    <t xml:space="preserve">㈜블루아일랜드개발</t>
  </si>
  <si>
    <t xml:space="preserve">https://www.bearsbest.co.kr/</t>
  </si>
  <si>
    <t xml:space="preserve">032-563-2000</t>
  </si>
  <si>
    <t xml:space="preserve">석모도컨트리클럽</t>
  </si>
  <si>
    <r>
      <rPr>
        <sz val="9"/>
        <color rgb="FF1A1A2E"/>
        <rFont val="DejaVu Sans"/>
        <family val="2"/>
      </rPr>
      <t xml:space="preserve">인천시 강화군 어류정길 </t>
    </r>
    <r>
      <rPr>
        <sz val="9"/>
        <color rgb="FF1A1A2E"/>
        <rFont val="DejaVu Sans"/>
        <family val="2"/>
        <charset val="1"/>
      </rPr>
      <t xml:space="preserve">177</t>
    </r>
  </si>
  <si>
    <t xml:space="preserve">해륜개발㈜</t>
  </si>
  <si>
    <t xml:space="preserve">영종오렌지골프장</t>
  </si>
  <si>
    <r>
      <rPr>
        <sz val="9"/>
        <color rgb="FF1A1A2E"/>
        <rFont val="DejaVu Sans"/>
        <family val="2"/>
      </rPr>
      <t xml:space="preserve">인천시 중구 운서동 </t>
    </r>
    <r>
      <rPr>
        <sz val="9"/>
        <color rgb="FF1A1A2E"/>
        <rFont val="DejaVu Sans"/>
        <family val="2"/>
        <charset val="1"/>
      </rPr>
      <t xml:space="preserve">2851-15</t>
    </r>
    <r>
      <rPr>
        <sz val="9"/>
        <color rgb="FF1A1A2E"/>
        <rFont val="DejaVu Sans"/>
        <family val="2"/>
      </rPr>
      <t xml:space="preserve">번지 일원</t>
    </r>
  </si>
  <si>
    <t xml:space="preserve">㈜영종오렌지</t>
  </si>
  <si>
    <t xml:space="preserve">오렌지듄스골프클럽</t>
  </si>
  <si>
    <r>
      <rPr>
        <sz val="9"/>
        <color rgb="FF1A1A2E"/>
        <rFont val="DejaVu Sans"/>
        <family val="2"/>
      </rPr>
      <t xml:space="preserve">인천시 연수구 인천신항대로 </t>
    </r>
    <r>
      <rPr>
        <sz val="9"/>
        <color rgb="FF1A1A2E"/>
        <rFont val="DejaVu Sans"/>
        <family val="2"/>
        <charset val="1"/>
      </rPr>
      <t xml:space="preserve">1120</t>
    </r>
  </si>
  <si>
    <t xml:space="preserve">㈜오렌지링스</t>
  </si>
  <si>
    <t xml:space="preserve">인천국제컨트리클럽</t>
  </si>
  <si>
    <r>
      <rPr>
        <sz val="9"/>
        <color rgb="FF1A1A2E"/>
        <rFont val="DejaVu Sans"/>
        <family val="2"/>
      </rPr>
      <t xml:space="preserve">인천시 서구 도요지로 </t>
    </r>
    <r>
      <rPr>
        <sz val="9"/>
        <color rgb="FF1A1A2E"/>
        <rFont val="DejaVu Sans"/>
        <family val="2"/>
        <charset val="1"/>
      </rPr>
      <t xml:space="preserve">37</t>
    </r>
  </si>
  <si>
    <t xml:space="preserve">㈜신태진</t>
  </si>
  <si>
    <t xml:space="preserve">인천그랜드컨트리클럽</t>
  </si>
  <si>
    <r>
      <rPr>
        <sz val="9"/>
        <color rgb="FF1A1A2E"/>
        <rFont val="DejaVu Sans"/>
        <family val="2"/>
      </rPr>
      <t xml:space="preserve">인천시 서구 원석로 </t>
    </r>
    <r>
      <rPr>
        <sz val="9"/>
        <color rgb="FF1A1A2E"/>
        <rFont val="DejaVu Sans"/>
        <family val="2"/>
        <charset val="1"/>
      </rPr>
      <t xml:space="preserve">195</t>
    </r>
  </si>
  <si>
    <t xml:space="preserve">㈜동군</t>
  </si>
  <si>
    <t xml:space="preserve">잭 니클라우스 골프클럽 코리아</t>
  </si>
  <si>
    <r>
      <rPr>
        <sz val="9"/>
        <color rgb="FF1A1A2E"/>
        <rFont val="DejaVu Sans"/>
        <family val="2"/>
      </rPr>
      <t xml:space="preserve">인천시 연수구 아카데미로 </t>
    </r>
    <r>
      <rPr>
        <sz val="9"/>
        <color rgb="FF1A1A2E"/>
        <rFont val="DejaVu Sans"/>
        <family val="2"/>
        <charset val="1"/>
      </rPr>
      <t xml:space="preserve">209</t>
    </r>
  </si>
  <si>
    <t xml:space="preserve">송도국제도시개발유한회사</t>
  </si>
  <si>
    <t xml:space="preserve">https://www.jacknicklausgolfclubkorea.com/</t>
  </si>
  <si>
    <t xml:space="preserve">032-850-8000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</si>
  <si>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allthatgolf.kr, clien_cm_golf, kimcaddie | </t>
    </r>
    <r>
      <rPr>
        <sz val="11"/>
        <color theme="1"/>
        <rFont val="DejaVu Sans"/>
        <family val="2"/>
      </rPr>
      <t xml:space="preserve">벤트그라스 티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페어웨이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그린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그린스피드 </t>
    </r>
    <r>
      <rPr>
        <sz val="11"/>
        <color theme="1"/>
        <rFont val="DejaVu Sans"/>
        <family val="2"/>
        <charset val="1"/>
      </rPr>
      <t xml:space="preserve">3.0~3.5</t>
    </r>
    <r>
      <rPr>
        <sz val="11"/>
        <color theme="1"/>
        <rFont val="DejaVu Sans"/>
        <family val="2"/>
      </rPr>
      <t xml:space="preserve">로 매우 빠름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벙커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티박스 관리 명성</t>
    </r>
    <r>
      <rPr>
        <sz val="11"/>
        <color theme="1"/>
        <rFont val="DejaVu Sans"/>
        <family val="2"/>
        <charset val="1"/>
      </rPr>
      <t xml:space="preserve">. 2025 </t>
    </r>
    <r>
      <rPr>
        <sz val="11"/>
        <color theme="1"/>
        <rFont val="DejaVu Sans"/>
        <family val="2"/>
      </rPr>
      <t xml:space="preserve">신한동해오픈 잔디 이슈로 페어웨이는 약간 감점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114/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104/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95/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83/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74 · </t>
    </r>
    <r>
      <rPr>
        <sz val="11"/>
        <color theme="1"/>
        <rFont val="DejaVu Sans"/>
        <family val="2"/>
      </rPr>
      <t xml:space="preserve">난이도등급 상급</t>
    </r>
  </si>
  <si>
    <t xml:space="preserve">강원</t>
  </si>
  <si>
    <r>
      <rPr>
        <b val="true"/>
        <sz val="9"/>
        <color rgb="FF1A1A2E"/>
        <rFont val="Arial"/>
        <family val="2"/>
        <charset val="1"/>
      </rPr>
      <t xml:space="preserve">Oak Hills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</si>
  <si>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강원도 원주시 지정면 오크밸리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58</t>
    </r>
  </si>
  <si>
    <r>
      <rPr>
        <sz val="9"/>
        <color rgb="FF1A1A2E"/>
        <rFont val="DejaVu Sans"/>
        <family val="2"/>
      </rPr>
      <t xml:space="preserve">에이치디씨리조트㈜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조영환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</si>
  <si>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남춘천컨트리클럽</t>
  </si>
  <si>
    <r>
      <rPr>
        <sz val="9"/>
        <color rgb="FF1A1A2E"/>
        <rFont val="DejaVu Sans"/>
        <family val="2"/>
      </rPr>
      <t xml:space="preserve">강원도 춘천시 신동면 오봉길 </t>
    </r>
    <r>
      <rPr>
        <sz val="9"/>
        <color rgb="FF1A1A2E"/>
        <rFont val="DejaVu Sans"/>
        <family val="2"/>
        <charset val="1"/>
      </rPr>
      <t xml:space="preserve">156</t>
    </r>
  </si>
  <si>
    <r>
      <rPr>
        <sz val="9"/>
        <color rgb="FF1A1A2E"/>
        <rFont val="DejaVu Sans"/>
        <family val="2"/>
      </rPr>
      <t xml:space="preserve">주식회사 엠디아이레저개발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이형용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</si>
  <si>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https://www.namchuncheon.co.kr/</t>
  </si>
  <si>
    <t xml:space="preserve">033-260-0600</t>
  </si>
  <si>
    <t xml:space="preserve">더플레이어스 골프클럽</t>
  </si>
  <si>
    <r>
      <rPr>
        <sz val="9"/>
        <color rgb="FF1A1A2E"/>
        <rFont val="DejaVu Sans"/>
        <family val="2"/>
      </rPr>
      <t xml:space="preserve">강원도 춘천시 동산면 새술막길 </t>
    </r>
    <r>
      <rPr>
        <sz val="9"/>
        <color rgb="FF1A1A2E"/>
        <rFont val="DejaVu Sans"/>
        <family val="2"/>
        <charset val="1"/>
      </rPr>
      <t xml:space="preserve">438</t>
    </r>
  </si>
  <si>
    <r>
      <rPr>
        <sz val="9"/>
        <color rgb="FF1A1A2E"/>
        <rFont val="DejaVu Sans"/>
        <family val="2"/>
      </rPr>
      <t xml:space="preserve">㈜더플레이어스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권성호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</si>
  <si>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https://www.theplayersgc.co.kr/</t>
  </si>
  <si>
    <t xml:space="preserve">041-850-8000</t>
  </si>
  <si>
    <t xml:space="preserve">동강시스타대중골프장</t>
  </si>
  <si>
    <r>
      <rPr>
        <sz val="9"/>
        <color rgb="FF1A1A2E"/>
        <rFont val="DejaVu Sans"/>
        <family val="2"/>
      </rPr>
      <t xml:space="preserve">강원도 영월군 영월읍 사지막길 </t>
    </r>
    <r>
      <rPr>
        <sz val="9"/>
        <color rgb="FF1A1A2E"/>
        <rFont val="DejaVu Sans"/>
        <family val="2"/>
        <charset val="1"/>
      </rPr>
      <t xml:space="preserve">160</t>
    </r>
  </si>
  <si>
    <r>
      <rPr>
        <sz val="9"/>
        <color rgb="FF1A1A2E"/>
        <rFont val="DejaVu Sans"/>
        <family val="2"/>
      </rPr>
      <t xml:space="preserve">㈜동강시스타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김오연</t>
    </r>
    <r>
      <rPr>
        <sz val="9"/>
        <color rgb="FF1A1A2E"/>
        <rFont val="DejaVu Sans"/>
        <family val="2"/>
        <charset val="1"/>
      </rPr>
      <t xml:space="preserve">)</t>
    </r>
  </si>
  <si>
    <t xml:space="preserve">동서울레스피아</t>
  </si>
  <si>
    <r>
      <rPr>
        <sz val="9"/>
        <color rgb="FF1A1A2E"/>
        <rFont val="DejaVu Sans"/>
        <family val="2"/>
      </rPr>
      <t xml:space="preserve">강원도 원주시 지정면 신평석화로 </t>
    </r>
    <r>
      <rPr>
        <sz val="9"/>
        <color rgb="FF1A1A2E"/>
        <rFont val="DejaVu Sans"/>
        <family val="2"/>
        <charset val="1"/>
      </rPr>
      <t xml:space="preserve">236</t>
    </r>
  </si>
  <si>
    <r>
      <rPr>
        <sz val="9"/>
        <color rgb="FF1A1A2E"/>
        <rFont val="DejaVu Sans"/>
        <family val="2"/>
      </rPr>
      <t xml:space="preserve">㈜동서울레스피아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김유근</t>
    </r>
    <r>
      <rPr>
        <sz val="9"/>
        <color rgb="FF1A1A2E"/>
        <rFont val="DejaVu Sans"/>
        <family val="2"/>
        <charset val="1"/>
      </rPr>
      <t xml:space="preserve">)</t>
    </r>
  </si>
  <si>
    <t xml:space="preserve">동원썬밸리컨트리클럽</t>
  </si>
  <si>
    <r>
      <rPr>
        <sz val="9"/>
        <color rgb="FF1A1A2E"/>
        <rFont val="DejaVu Sans"/>
        <family val="2"/>
      </rPr>
      <t xml:space="preserve">강원도 횡성군 서원면 서원서로</t>
    </r>
    <r>
      <rPr>
        <sz val="9"/>
        <color rgb="FF1A1A2E"/>
        <rFont val="DejaVu Sans"/>
        <family val="2"/>
        <charset val="1"/>
      </rPr>
      <t xml:space="preserve">339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90</t>
    </r>
  </si>
  <si>
    <r>
      <rPr>
        <sz val="9"/>
        <color rgb="FF1A1A2E"/>
        <rFont val="DejaVu Sans"/>
        <family val="2"/>
      </rPr>
      <t xml:space="preserve">성운개발㈜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정철희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</si>
  <si>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라데나골프클럽</t>
  </si>
  <si>
    <r>
      <rPr>
        <sz val="9"/>
        <color rgb="FF1A1A2E"/>
        <rFont val="DejaVu Sans"/>
        <family val="2"/>
      </rPr>
      <t xml:space="preserve">강원도 춘천시 신동면 칠전동길 </t>
    </r>
    <r>
      <rPr>
        <sz val="9"/>
        <color rgb="FF1A1A2E"/>
        <rFont val="DejaVu Sans"/>
        <family val="2"/>
        <charset val="1"/>
      </rPr>
      <t xml:space="preserve">72</t>
    </r>
  </si>
  <si>
    <r>
      <rPr>
        <sz val="9"/>
        <color rgb="FF1A1A2E"/>
        <rFont val="DejaVu Sans"/>
        <family val="2"/>
      </rPr>
      <t xml:space="preserve">두산큐벡스㈜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문희종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</si>
  <si>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https://www.ladena.co.kr/</t>
  </si>
  <si>
    <t xml:space="preserve">033-260-9000</t>
  </si>
  <si>
    <t xml:space="preserve">라비에벨컨트리클럽</t>
  </si>
  <si>
    <r>
      <rPr>
        <sz val="9"/>
        <color rgb="FF1A1A2E"/>
        <rFont val="DejaVu Sans"/>
        <family val="2"/>
      </rPr>
      <t xml:space="preserve">강원도 춘천시 동산면 조양리 산 </t>
    </r>
    <r>
      <rPr>
        <sz val="9"/>
        <color rgb="FF1A1A2E"/>
        <rFont val="DejaVu Sans"/>
        <family val="2"/>
        <charset val="1"/>
      </rPr>
      <t xml:space="preserve">156</t>
    </r>
    <r>
      <rPr>
        <sz val="9"/>
        <color rgb="FF1A1A2E"/>
        <rFont val="DejaVu Sans"/>
        <family val="2"/>
      </rPr>
      <t xml:space="preserve">강원도 홍천군 북방면 밭치리길 </t>
    </r>
    <r>
      <rPr>
        <sz val="9"/>
        <color rgb="FF1A1A2E"/>
        <rFont val="DejaVu Sans"/>
        <family val="2"/>
        <charset val="1"/>
      </rPr>
      <t xml:space="preserve">22-40</t>
    </r>
  </si>
  <si>
    <r>
      <rPr>
        <sz val="9"/>
        <color rgb="FF1A1A2E"/>
        <rFont val="DejaVu Sans"/>
        <family val="2"/>
      </rPr>
      <t xml:space="preserve">코오롱글로벌㈜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윤창운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그린나래㈜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이정윤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</si>
  <si>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https://www.lavieestbellecc.com/</t>
  </si>
  <si>
    <t xml:space="preserve">033-244-7001</t>
  </si>
  <si>
    <t xml:space="preserve">로드힐스골프클럽</t>
  </si>
  <si>
    <r>
      <rPr>
        <sz val="9"/>
        <color rgb="FF1A1A2E"/>
        <rFont val="DejaVu Sans"/>
        <family val="2"/>
      </rPr>
      <t xml:space="preserve">강원도 춘천시 동산면 종자리로 </t>
    </r>
    <r>
      <rPr>
        <sz val="9"/>
        <color rgb="FF1A1A2E"/>
        <rFont val="DejaVu Sans"/>
        <family val="2"/>
        <charset val="1"/>
      </rPr>
      <t xml:space="preserve">148-16</t>
    </r>
  </si>
  <si>
    <r>
      <rPr>
        <sz val="9"/>
        <color rgb="FF1A1A2E"/>
        <rFont val="DejaVu Sans"/>
        <family val="2"/>
      </rPr>
      <t xml:space="preserve">신영종합개발㈜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이정덕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</si>
  <si>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메이플비치골프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</si>
  <si>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강원도 강릉시 강동면 새목이길 </t>
    </r>
    <r>
      <rPr>
        <sz val="9"/>
        <color rgb="FF1A1A2E"/>
        <rFont val="DejaVu Sans"/>
        <family val="2"/>
        <charset val="1"/>
      </rPr>
      <t xml:space="preserve">110</t>
    </r>
  </si>
  <si>
    <r>
      <rPr>
        <sz val="9"/>
        <color rgb="FF1A1A2E"/>
        <rFont val="DejaVu Sans"/>
        <family val="2"/>
      </rPr>
      <t xml:space="preserve">원익엘앤디㈜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이재천</t>
    </r>
    <r>
      <rPr>
        <sz val="9"/>
        <color rgb="FF1A1A2E"/>
        <rFont val="DejaVu Sans"/>
        <family val="2"/>
        <charset val="1"/>
      </rPr>
      <t xml:space="preserve">)</t>
    </r>
  </si>
  <si>
    <t xml:space="preserve">베어크리크 춘천</t>
  </si>
  <si>
    <r>
      <rPr>
        <sz val="9"/>
        <color rgb="FF1A1A2E"/>
        <rFont val="DejaVu Sans"/>
        <family val="2"/>
      </rPr>
      <t xml:space="preserve">강원도 춘천시 신동면 혈동리 산</t>
    </r>
    <r>
      <rPr>
        <sz val="9"/>
        <color rgb="FF1A1A2E"/>
        <rFont val="DejaVu Sans"/>
        <family val="2"/>
        <charset val="1"/>
      </rPr>
      <t xml:space="preserve">49-1</t>
    </r>
  </si>
  <si>
    <r>
      <rPr>
        <sz val="9"/>
        <color rgb="FF1A1A2E"/>
        <rFont val="DejaVu Sans"/>
        <family val="2"/>
      </rPr>
      <t xml:space="preserve">삼보개발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류경호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</si>
  <si>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벨라스톤컨트리클럽</t>
  </si>
  <si>
    <r>
      <rPr>
        <sz val="9"/>
        <color rgb="FF1A1A2E"/>
        <rFont val="DejaVu Sans"/>
        <family val="2"/>
      </rPr>
      <t xml:space="preserve">강원도 횡성군 서원면 옥계</t>
    </r>
    <r>
      <rPr>
        <sz val="9"/>
        <color rgb="FF1A1A2E"/>
        <rFont val="DejaVu Sans"/>
        <family val="2"/>
        <charset val="1"/>
      </rPr>
      <t xml:space="preserve">9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124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</si>
  <si>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진원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원연식</t>
    </r>
    <r>
      <rPr>
        <sz val="9"/>
        <color rgb="FF1A1A2E"/>
        <rFont val="Arial"/>
        <family val="2"/>
        <charset val="1"/>
      </rPr>
      <t xml:space="preserve">)</t>
    </r>
  </si>
  <si>
    <t xml:space="preserve">블랙밸리컨트리클럽</t>
  </si>
  <si>
    <r>
      <rPr>
        <sz val="9"/>
        <color rgb="FF1A1A2E"/>
        <rFont val="DejaVu Sans"/>
        <family val="2"/>
      </rPr>
      <t xml:space="preserve">강원도 삼척시 도계읍 도상로 </t>
    </r>
    <r>
      <rPr>
        <sz val="9"/>
        <color rgb="FF1A1A2E"/>
        <rFont val="DejaVu Sans"/>
        <family val="2"/>
        <charset val="1"/>
      </rPr>
      <t xml:space="preserve">307-84</t>
    </r>
  </si>
  <si>
    <r>
      <rPr>
        <sz val="9"/>
        <color rgb="FF1A1A2E"/>
        <rFont val="DejaVu Sans"/>
        <family val="2"/>
      </rPr>
      <t xml:space="preserve">블랙밸리</t>
    </r>
    <r>
      <rPr>
        <sz val="9"/>
        <color rgb="FF1A1A2E"/>
        <rFont val="DejaVu Sans"/>
        <family val="2"/>
        <charset val="1"/>
      </rPr>
      <t xml:space="preserve">C․C</t>
    </r>
    <r>
      <rPr>
        <sz val="9"/>
        <color rgb="FF1A1A2E"/>
        <rFont val="DejaVu Sans"/>
        <family val="2"/>
      </rPr>
      <t xml:space="preserve">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최승희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</si>
  <si>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비콘힐스골프클럽</t>
  </si>
  <si>
    <r>
      <rPr>
        <sz val="9"/>
        <color rgb="FF1A1A2E"/>
        <rFont val="DejaVu Sans"/>
        <family val="2"/>
      </rPr>
      <t xml:space="preserve">강원도 홍천군 홍천읍 높은터로 </t>
    </r>
    <r>
      <rPr>
        <sz val="9"/>
        <color rgb="FF1A1A2E"/>
        <rFont val="DejaVu Sans"/>
        <family val="2"/>
        <charset val="1"/>
      </rPr>
      <t xml:space="preserve">533</t>
    </r>
  </si>
  <si>
    <r>
      <rPr>
        <sz val="9"/>
        <color rgb="FF1A1A2E"/>
        <rFont val="DejaVu Sans"/>
        <family val="2"/>
      </rPr>
      <t xml:space="preserve">우신물산㈜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박준엽</t>
    </r>
    <r>
      <rPr>
        <sz val="9"/>
        <color rgb="FF1A1A2E"/>
        <rFont val="DejaVu Sans"/>
        <family val="2"/>
        <charset val="1"/>
      </rPr>
      <t xml:space="preserve">)</t>
    </r>
  </si>
  <si>
    <t xml:space="preserve">샌드파인골프클럽</t>
  </si>
  <si>
    <r>
      <rPr>
        <sz val="9"/>
        <color rgb="FF1A1A2E"/>
        <rFont val="DejaVu Sans"/>
        <family val="2"/>
      </rPr>
      <t xml:space="preserve">강원도 강릉시 저동등길 </t>
    </r>
    <r>
      <rPr>
        <sz val="9"/>
        <color rgb="FF1A1A2E"/>
        <rFont val="DejaVu Sans"/>
        <family val="2"/>
        <charset val="1"/>
      </rPr>
      <t xml:space="preserve">53</t>
    </r>
  </si>
  <si>
    <r>
      <rPr>
        <sz val="9"/>
        <color rgb="FF1A1A2E"/>
        <rFont val="DejaVu Sans"/>
        <family val="2"/>
      </rPr>
      <t xml:space="preserve">㈜승산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허인영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</si>
  <si>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샤인데일골프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</si>
  <si>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강원도 홍천군 서면 한서로 </t>
    </r>
    <r>
      <rPr>
        <sz val="9"/>
        <color rgb="FF1A1A2E"/>
        <rFont val="DejaVu Sans"/>
        <family val="2"/>
        <charset val="1"/>
      </rPr>
      <t xml:space="preserve">247-156</t>
    </r>
  </si>
  <si>
    <r>
      <rPr>
        <sz val="9"/>
        <color rgb="FF1A1A2E"/>
        <rFont val="DejaVu Sans"/>
        <family val="2"/>
      </rPr>
      <t xml:space="preserve">세안레져산업㈜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오성배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</si>
  <si>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https://www.shinedalecc.co.kr/</t>
  </si>
  <si>
    <t xml:space="preserve">043-270-8000</t>
  </si>
  <si>
    <t xml:space="preserve">설악썬밸리컨트리클럽</t>
  </si>
  <si>
    <r>
      <rPr>
        <sz val="9"/>
        <color rgb="FF1A1A2E"/>
        <rFont val="DejaVu Sans"/>
        <family val="2"/>
      </rPr>
      <t xml:space="preserve">강원도 고성군 죽왕면 순포로 </t>
    </r>
    <r>
      <rPr>
        <sz val="9"/>
        <color rgb="FF1A1A2E"/>
        <rFont val="DejaVu Sans"/>
        <family val="2"/>
        <charset val="1"/>
      </rPr>
      <t xml:space="preserve">188</t>
    </r>
  </si>
  <si>
    <r>
      <rPr>
        <sz val="9"/>
        <color rgb="FF1A1A2E"/>
        <rFont val="DejaVu Sans"/>
        <family val="2"/>
      </rPr>
      <t xml:space="preserve">㈜동광개발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김상주</t>
    </r>
    <r>
      <rPr>
        <sz val="9"/>
        <color rgb="FF1A1A2E"/>
        <rFont val="DejaVu Sans"/>
        <family val="2"/>
        <charset val="1"/>
      </rPr>
      <t xml:space="preserve">)</t>
    </r>
  </si>
  <si>
    <t xml:space="preserve">설악프라자컨트리클럽</t>
  </si>
  <si>
    <r>
      <rPr>
        <sz val="9"/>
        <color rgb="FF1A1A2E"/>
        <rFont val="DejaVu Sans"/>
        <family val="2"/>
      </rPr>
      <t xml:space="preserve">강원도 속초시 미시령로 </t>
    </r>
    <r>
      <rPr>
        <sz val="9"/>
        <color rgb="FF1A1A2E"/>
        <rFont val="DejaVu Sans"/>
        <family val="2"/>
        <charset val="1"/>
      </rPr>
      <t xml:space="preserve">2983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56-20</t>
    </r>
  </si>
  <si>
    <r>
      <rPr>
        <sz val="9"/>
        <color rgb="FF1A1A2E"/>
        <rFont val="DejaVu Sans"/>
        <family val="2"/>
      </rPr>
      <t xml:space="preserve">한화호텔앤드리조트㈜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김형조</t>
    </r>
    <r>
      <rPr>
        <sz val="9"/>
        <color rgb="FF1A1A2E"/>
        <rFont val="DejaVu Sans"/>
        <family val="2"/>
        <charset val="1"/>
      </rPr>
      <t xml:space="preserve">)</t>
    </r>
  </si>
  <si>
    <t xml:space="preserve">설해원</t>
  </si>
  <si>
    <r>
      <rPr>
        <sz val="9"/>
        <color rgb="FF1A1A2E"/>
        <rFont val="DejaVu Sans"/>
        <family val="2"/>
      </rPr>
      <t xml:space="preserve">강원도 양양군 손양면 공항로 </t>
    </r>
    <r>
      <rPr>
        <sz val="9"/>
        <color rgb="FF1A1A2E"/>
        <rFont val="DejaVu Sans"/>
        <family val="2"/>
        <charset val="1"/>
      </rPr>
      <t xml:space="preserve">230</t>
    </r>
  </si>
  <si>
    <r>
      <rPr>
        <sz val="9"/>
        <color rgb="FF1A1A2E"/>
        <rFont val="DejaVu Sans"/>
        <family val="2"/>
      </rPr>
      <t xml:space="preserve">㈜새서울레저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권기연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</si>
  <si>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https://www.seolhaewon.com/</t>
  </si>
  <si>
    <t xml:space="preserve">1644-1940</t>
  </si>
  <si>
    <t xml:space="preserve">설해원 더 레전드 코스</t>
  </si>
  <si>
    <r>
      <rPr>
        <sz val="9"/>
        <color rgb="FF1A1A2E"/>
        <rFont val="DejaVu Sans"/>
        <family val="2"/>
      </rPr>
      <t xml:space="preserve">㈜새서울레저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안제근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</si>
  <si>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세이지우드</t>
    </r>
    <r>
      <rPr>
        <b val="true"/>
        <sz val="9"/>
        <color rgb="FF1A1A2E"/>
        <rFont val="DejaVu Sans"/>
        <family val="2"/>
        <charset val="1"/>
      </rPr>
      <t xml:space="preserve">CC</t>
    </r>
    <r>
      <rPr>
        <b val="true"/>
        <sz val="9"/>
        <color rgb="FF1A1A2E"/>
        <rFont val="DejaVu Sans"/>
        <family val="2"/>
      </rPr>
      <t xml:space="preserve">홍천</t>
    </r>
  </si>
  <si>
    <r>
      <rPr>
        <sz val="9"/>
        <color rgb="FF1A1A2E"/>
        <rFont val="DejaVu Sans"/>
        <family val="2"/>
      </rPr>
      <t xml:space="preserve">강원도 홍천군 두촌면 광석로 </t>
    </r>
    <r>
      <rPr>
        <sz val="9"/>
        <color rgb="FF1A1A2E"/>
        <rFont val="DejaVu Sans"/>
        <family val="2"/>
        <charset val="1"/>
      </rPr>
      <t xml:space="preserve">898-160</t>
    </r>
  </si>
  <si>
    <r>
      <rPr>
        <sz val="9"/>
        <color rgb="FF1A1A2E"/>
        <rFont val="DejaVu Sans"/>
        <family val="2"/>
      </rPr>
      <t xml:space="preserve">와이케이디벨롭먼트㈜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김승건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</si>
  <si>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센추리</t>
    </r>
    <r>
      <rPr>
        <b val="true"/>
        <sz val="9"/>
        <color rgb="FF1A1A2E"/>
        <rFont val="DejaVu Sans"/>
        <family val="2"/>
        <charset val="1"/>
      </rPr>
      <t xml:space="preserve">21</t>
    </r>
    <r>
      <rPr>
        <b val="true"/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</si>
  <si>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강원도 원주시 문막읍 궁말길 </t>
    </r>
    <r>
      <rPr>
        <sz val="9"/>
        <color rgb="FF1A1A2E"/>
        <rFont val="DejaVu Sans"/>
        <family val="2"/>
        <charset val="1"/>
      </rPr>
      <t xml:space="preserve">193</t>
    </r>
  </si>
  <si>
    <r>
      <rPr>
        <sz val="9"/>
        <color rgb="FF1A1A2E"/>
        <rFont val="DejaVu Sans"/>
        <family val="2"/>
      </rPr>
      <t xml:space="preserve">센추리개발㈜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이병철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</si>
  <si>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센추리</t>
    </r>
    <r>
      <rPr>
        <b val="true"/>
        <sz val="9"/>
        <color rgb="FF1A1A2E"/>
        <rFont val="DejaVu Sans"/>
        <family val="2"/>
        <charset val="1"/>
      </rPr>
      <t xml:space="preserve">21</t>
    </r>
    <r>
      <rPr>
        <b val="true"/>
        <sz val="9"/>
        <color rgb="FF1A1A2E"/>
        <rFont val="DejaVu Sans"/>
        <family val="2"/>
      </rPr>
      <t xml:space="preserve">컨트리클럽Ⅱ</t>
    </r>
  </si>
  <si>
    <r>
      <rPr>
        <b val="true"/>
        <sz val="9"/>
        <color rgb="FF1A1A2E"/>
        <rFont val="DejaVu Sans"/>
        <family val="2"/>
      </rPr>
      <t xml:space="preserve">센추리</t>
    </r>
    <r>
      <rPr>
        <b val="true"/>
        <sz val="9"/>
        <color rgb="FF1A1A2E"/>
        <rFont val="DejaVu Sans"/>
        <family val="2"/>
        <charset val="1"/>
      </rPr>
      <t xml:space="preserve">21</t>
    </r>
    <r>
      <rPr>
        <b val="true"/>
        <sz val="9"/>
        <color rgb="FF1A1A2E"/>
        <rFont val="DejaVu Sans"/>
        <family val="2"/>
      </rPr>
      <t xml:space="preserve">퍼블릭</t>
    </r>
  </si>
  <si>
    <t xml:space="preserve">소노펠리체 컨트리클럽 델피노</t>
  </si>
  <si>
    <r>
      <rPr>
        <sz val="9"/>
        <color rgb="FF1A1A2E"/>
        <rFont val="DejaVu Sans"/>
        <family val="2"/>
      </rPr>
      <t xml:space="preserve">강원도 고성군 토성면 미시령옛길 </t>
    </r>
    <r>
      <rPr>
        <sz val="9"/>
        <color rgb="FF1A1A2E"/>
        <rFont val="DejaVu Sans"/>
        <family val="2"/>
        <charset val="1"/>
      </rPr>
      <t xml:space="preserve">1153</t>
    </r>
  </si>
  <si>
    <r>
      <rPr>
        <sz val="9"/>
        <color rgb="FF1A1A2E"/>
        <rFont val="DejaVu Sans"/>
        <family val="2"/>
      </rPr>
      <t xml:space="preserve">㈜소노인터내셔널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민병소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유태완</t>
    </r>
    <r>
      <rPr>
        <sz val="9"/>
        <color rgb="FF1A1A2E"/>
        <rFont val="DejaVu Sans"/>
        <family val="2"/>
        <charset val="1"/>
      </rPr>
      <t xml:space="preserve">)</t>
    </r>
  </si>
  <si>
    <t xml:space="preserve">소노펠리체 컨트리클럽 비발디파크 마운틴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</si>
  <si>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DejaVu Sans"/>
        <family val="2"/>
        <charset val="1"/>
      </rPr>
      <t xml:space="preserve">262</t>
    </r>
  </si>
  <si>
    <t xml:space="preserve">소노펠리체 컨트리클럽 비발디파크 웨스트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</si>
  <si>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DejaVu Sans"/>
        <family val="2"/>
        <charset val="1"/>
      </rPr>
      <t xml:space="preserve">200</t>
    </r>
  </si>
  <si>
    <t xml:space="preserve">소노펠리체 컨트리클럽 비발디파크 이스트</t>
  </si>
  <si>
    <r>
      <rPr>
        <sz val="9"/>
        <color rgb="FF1A1A2E"/>
        <rFont val="DejaVu Sans"/>
        <family val="2"/>
      </rPr>
      <t xml:space="preserve">강원도 홍천군 서면 한치골길 </t>
    </r>
    <r>
      <rPr>
        <sz val="9"/>
        <color rgb="FF1A1A2E"/>
        <rFont val="DejaVu Sans"/>
        <family val="2"/>
        <charset val="1"/>
      </rPr>
      <t xml:space="preserve">541-123</t>
    </r>
  </si>
  <si>
    <t xml:space="preserve">스프링베일리조트</t>
  </si>
  <si>
    <r>
      <rPr>
        <sz val="9"/>
        <color rgb="FF1A1A2E"/>
        <rFont val="DejaVu Sans"/>
        <family val="2"/>
      </rPr>
      <t xml:space="preserve">강원도 춘천시 동면 금베이길 </t>
    </r>
    <r>
      <rPr>
        <sz val="9"/>
        <color rgb="FF1A1A2E"/>
        <rFont val="DejaVu Sans"/>
        <family val="2"/>
        <charset val="1"/>
      </rPr>
      <t xml:space="preserve">93-27</t>
    </r>
  </si>
  <si>
    <r>
      <rPr>
        <sz val="9"/>
        <color rgb="FF1A1A2E"/>
        <rFont val="DejaVu Sans"/>
        <family val="2"/>
      </rPr>
      <t xml:space="preserve">㈜춘천골프아카 데미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홍순주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</si>
  <si>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알펜시아 </t>
    </r>
    <r>
      <rPr>
        <b val="true"/>
        <sz val="9"/>
        <color rgb="FF1A1A2E"/>
        <rFont val="DejaVu Sans"/>
        <family val="2"/>
        <charset val="1"/>
      </rPr>
      <t xml:space="preserve">700</t>
    </r>
    <r>
      <rPr>
        <b val="true"/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</si>
  <si>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강원도 평창군 대관령면 솔봉로 </t>
    </r>
    <r>
      <rPr>
        <sz val="9"/>
        <color rgb="FF1A1A2E"/>
        <rFont val="DejaVu Sans"/>
        <family val="2"/>
        <charset val="1"/>
      </rPr>
      <t xml:space="preserve">325</t>
    </r>
  </si>
  <si>
    <r>
      <rPr>
        <sz val="9"/>
        <color rgb="FF1A1A2E"/>
        <rFont val="DejaVu Sans"/>
        <family val="2"/>
      </rPr>
      <t xml:space="preserve">강원도개발공사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이만희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</si>
  <si>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https://www.alpensia.com/</t>
  </si>
  <si>
    <t xml:space="preserve">033-339-0000</t>
  </si>
  <si>
    <t xml:space="preserve">알펜시아컨트리클럽</t>
  </si>
  <si>
    <t xml:space="preserve">알프스대영컨트리클럽</t>
  </si>
  <si>
    <r>
      <rPr>
        <sz val="9"/>
        <color rgb="FF1A1A2E"/>
        <rFont val="DejaVu Sans"/>
        <family val="2"/>
      </rPr>
      <t xml:space="preserve">강원도 횡성군 우천면 하우로 </t>
    </r>
    <r>
      <rPr>
        <sz val="9"/>
        <color rgb="FF1A1A2E"/>
        <rFont val="DejaVu Sans"/>
        <family val="2"/>
        <charset val="1"/>
      </rPr>
      <t xml:space="preserve">1295</t>
    </r>
  </si>
  <si>
    <r>
      <rPr>
        <sz val="9"/>
        <color rgb="FF1A1A2E"/>
        <rFont val="DejaVu Sans"/>
        <family val="2"/>
      </rPr>
      <t xml:space="preserve">삼대양레저㈜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유두열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</si>
  <si>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에스엘세레스 옥스필드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</si>
  <si>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강원도 횡성군 서원면 경강로 유현</t>
    </r>
    <r>
      <rPr>
        <sz val="9"/>
        <color rgb="FF1A1A2E"/>
        <rFont val="DejaVu Sans"/>
        <family val="2"/>
        <charset val="1"/>
      </rPr>
      <t xml:space="preserve">6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28</t>
    </r>
  </si>
  <si>
    <r>
      <rPr>
        <sz val="9"/>
        <color rgb="FF1A1A2E"/>
        <rFont val="DejaVu Sans"/>
        <family val="2"/>
      </rPr>
      <t xml:space="preserve">㈜에스엘세레스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최승현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</si>
  <si>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에콜리안정선골프장</t>
  </si>
  <si>
    <r>
      <rPr>
        <sz val="9"/>
        <color rgb="FF1A1A2E"/>
        <rFont val="DejaVu Sans"/>
        <family val="2"/>
      </rPr>
      <t xml:space="preserve">강원도 정선군 신동읍 새골길 </t>
    </r>
    <r>
      <rPr>
        <sz val="9"/>
        <color rgb="FF1A1A2E"/>
        <rFont val="DejaVu Sans"/>
        <family val="2"/>
        <charset val="1"/>
      </rPr>
      <t xml:space="preserve">112-49</t>
    </r>
  </si>
  <si>
    <r>
      <rPr>
        <sz val="9"/>
        <color rgb="FF1A1A2E"/>
        <rFont val="DejaVu Sans"/>
        <family val="2"/>
      </rPr>
      <t xml:space="preserve">정선군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국민체육진흥공단</t>
    </r>
  </si>
  <si>
    <t xml:space="preserve">엘리시안 강촌대중골프장</t>
  </si>
  <si>
    <r>
      <rPr>
        <sz val="9"/>
        <color rgb="FF1A1A2E"/>
        <rFont val="DejaVu Sans"/>
        <family val="2"/>
      </rPr>
      <t xml:space="preserve">강원도 춘천시 남산면 북한강변길 </t>
    </r>
    <r>
      <rPr>
        <sz val="9"/>
        <color rgb="FF1A1A2E"/>
        <rFont val="DejaVu Sans"/>
        <family val="2"/>
        <charset val="1"/>
      </rPr>
      <t xml:space="preserve">688</t>
    </r>
  </si>
  <si>
    <r>
      <rPr>
        <sz val="9"/>
        <color rgb="FF1A1A2E"/>
        <rFont val="DejaVu Sans"/>
        <family val="2"/>
      </rPr>
      <t xml:space="preserve">지에스건설㈜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임병용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</si>
  <si>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https://www.elysian.co.kr/gangchon/</t>
  </si>
  <si>
    <t xml:space="preserve">033-260-2000</t>
  </si>
  <si>
    <t xml:space="preserve">엘리시안 강촌컨트리클럽</t>
  </si>
  <si>
    <t xml:space="preserve">상급</t>
  </si>
  <si>
    <t xml:space="preserve">https://www.elysian.co.kr</t>
  </si>
  <si>
    <t xml:space="preserve">영랑호컨트리클럽</t>
  </si>
  <si>
    <r>
      <rPr>
        <sz val="9"/>
        <color rgb="FF1A1A2E"/>
        <rFont val="DejaVu Sans"/>
        <family val="2"/>
      </rPr>
      <t xml:space="preserve">강원도 속초시 영랑호반길 </t>
    </r>
    <r>
      <rPr>
        <sz val="9"/>
        <color rgb="FF1A1A2E"/>
        <rFont val="DejaVu Sans"/>
        <family val="2"/>
        <charset val="1"/>
      </rPr>
      <t xml:space="preserve">170</t>
    </r>
  </si>
  <si>
    <r>
      <rPr>
        <sz val="9"/>
        <color rgb="FF1A1A2E"/>
        <rFont val="DejaVu Sans"/>
        <family val="2"/>
      </rPr>
      <t xml:space="preserve">㈜신세계영랑호리조트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송태승</t>
    </r>
    <r>
      <rPr>
        <sz val="9"/>
        <color rgb="FF1A1A2E"/>
        <rFont val="DejaVu Sans"/>
        <family val="2"/>
        <charset val="1"/>
      </rPr>
      <t xml:space="preserve">)</t>
    </r>
  </si>
  <si>
    <t xml:space="preserve">오너스골프클럽</t>
  </si>
  <si>
    <r>
      <rPr>
        <sz val="9"/>
        <color rgb="FF1A1A2E"/>
        <rFont val="DejaVu Sans"/>
        <family val="2"/>
      </rPr>
      <t xml:space="preserve">강원도 춘천시 남산면 동촌로 </t>
    </r>
    <r>
      <rPr>
        <sz val="9"/>
        <color rgb="FF1A1A2E"/>
        <rFont val="DejaVu Sans"/>
        <family val="2"/>
        <charset val="1"/>
      </rPr>
      <t xml:space="preserve">667</t>
    </r>
  </si>
  <si>
    <r>
      <rPr>
        <sz val="9"/>
        <color rgb="FF1A1A2E"/>
        <rFont val="DejaVu Sans"/>
        <family val="2"/>
      </rPr>
      <t xml:space="preserve">강촌칼론골프클럽㈜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김종현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</si>
  <si>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https://www.southcape.shop/</t>
  </si>
  <si>
    <t xml:space="preserve">055-860-5000</t>
  </si>
  <si>
    <t xml:space="preserve">오크밸리 대중골프장</t>
  </si>
  <si>
    <r>
      <rPr>
        <sz val="9"/>
        <color rgb="FF1A1A2E"/>
        <rFont val="DejaVu Sans"/>
        <family val="2"/>
      </rPr>
      <t xml:space="preserve">강원도 원주시 지정면 오크밸리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66</t>
    </r>
  </si>
  <si>
    <t xml:space="preserve">https://oakvalley.co.kr/</t>
  </si>
  <si>
    <t xml:space="preserve">033-730-3000</t>
  </si>
  <si>
    <t xml:space="preserve">오크밸리회원제골프장</t>
  </si>
  <si>
    <r>
      <rPr>
        <b val="true"/>
        <sz val="9"/>
        <color rgb="FF1A1A2E"/>
        <rFont val="DejaVu Sans"/>
        <family val="2"/>
      </rPr>
      <t xml:space="preserve">오투리조트 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</si>
  <si>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강원도 태백시 서학로 </t>
    </r>
    <r>
      <rPr>
        <sz val="9"/>
        <color rgb="FF1A1A2E"/>
        <rFont val="DejaVu Sans"/>
        <family val="2"/>
        <charset val="1"/>
      </rPr>
      <t xml:space="preserve">861</t>
    </r>
  </si>
  <si>
    <r>
      <rPr>
        <sz val="9"/>
        <color rgb="FF1A1A2E"/>
        <rFont val="DejaVu Sans"/>
        <family val="2"/>
      </rPr>
      <t xml:space="preserve">㈜오투리조트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김영윤</t>
    </r>
    <r>
      <rPr>
        <sz val="9"/>
        <color rgb="FF1A1A2E"/>
        <rFont val="DejaVu Sans"/>
        <family val="2"/>
        <charset val="1"/>
      </rPr>
      <t xml:space="preserve">)</t>
    </r>
  </si>
  <si>
    <t xml:space="preserve">오투리조트 골프</t>
  </si>
  <si>
    <t xml:space="preserve">용평리조트골프클럽</t>
  </si>
  <si>
    <r>
      <rPr>
        <sz val="9"/>
        <color rgb="FF1A1A2E"/>
        <rFont val="DejaVu Sans"/>
        <family val="2"/>
      </rPr>
      <t xml:space="preserve">강원도 평창군 대관령면 올림픽로 </t>
    </r>
    <r>
      <rPr>
        <sz val="9"/>
        <color rgb="FF1A1A2E"/>
        <rFont val="DejaVu Sans"/>
        <family val="2"/>
        <charset val="1"/>
      </rPr>
      <t xml:space="preserve">715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</si>
  <si>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에이치제이매그놀리아 용평호텔앤리조트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신달순</t>
    </r>
    <r>
      <rPr>
        <sz val="9"/>
        <color rgb="FF1A1A2E"/>
        <rFont val="Arial"/>
        <family val="2"/>
        <charset val="1"/>
      </rPr>
      <t xml:space="preserve">)</t>
    </r>
  </si>
  <si>
    <t xml:space="preserve">용평리조트대중골프장</t>
  </si>
  <si>
    <t xml:space="preserve">용평버치힐골프클럽</t>
  </si>
  <si>
    <t xml:space="preserve">https://www.yongpyong.co.kr/</t>
  </si>
  <si>
    <t xml:space="preserve">033-335-5757</t>
  </si>
  <si>
    <t xml:space="preserve">웰리힐리컨트리클럽</t>
  </si>
  <si>
    <r>
      <rPr>
        <sz val="9"/>
        <color rgb="FF1A1A2E"/>
        <rFont val="DejaVu Sans"/>
        <family val="2"/>
      </rPr>
      <t xml:space="preserve">강원도 횡성군 둔내면 고원로 </t>
    </r>
    <r>
      <rPr>
        <sz val="9"/>
        <color rgb="FF1A1A2E"/>
        <rFont val="DejaVu Sans"/>
        <family val="2"/>
        <charset val="1"/>
      </rPr>
      <t xml:space="preserve">451</t>
    </r>
  </si>
  <si>
    <r>
      <rPr>
        <sz val="9"/>
        <color rgb="FF1A1A2E"/>
        <rFont val="DejaVu Sans"/>
        <family val="2"/>
      </rPr>
      <t xml:space="preserve">신안종합리조트㈜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민영민</t>
    </r>
    <r>
      <rPr>
        <sz val="9"/>
        <color rgb="FF1A1A2E"/>
        <rFont val="DejaVu Sans"/>
        <family val="2"/>
        <charset val="1"/>
      </rPr>
      <t xml:space="preserve">)</t>
    </r>
  </si>
  <si>
    <t xml:space="preserve">웰리힐리퍼블릭골프장</t>
  </si>
  <si>
    <t xml:space="preserve">인터불고원주골프클럽</t>
  </si>
  <si>
    <r>
      <rPr>
        <sz val="9"/>
        <color rgb="FF1A1A2E"/>
        <rFont val="DejaVu Sans"/>
        <family val="2"/>
      </rPr>
      <t xml:space="preserve">강원도 원주시 동부순환로 </t>
    </r>
    <r>
      <rPr>
        <sz val="9"/>
        <color rgb="FF1A1A2E"/>
        <rFont val="DejaVu Sans"/>
        <family val="2"/>
        <charset val="1"/>
      </rPr>
      <t xml:space="preserve">200</t>
    </r>
  </si>
  <si>
    <r>
      <rPr>
        <sz val="9"/>
        <color rgb="FF1A1A2E"/>
        <rFont val="DejaVu Sans"/>
        <family val="2"/>
      </rPr>
      <t xml:space="preserve">㈜호텔인터불고 원주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김삼남</t>
    </r>
    <r>
      <rPr>
        <sz val="9"/>
        <color rgb="FF1A1A2E"/>
        <rFont val="DejaVu Sans"/>
        <family val="2"/>
        <charset val="1"/>
      </rPr>
      <t xml:space="preserve">)</t>
    </r>
  </si>
  <si>
    <t xml:space="preserve">제이드팰리스 골프클럽</t>
  </si>
  <si>
    <r>
      <rPr>
        <sz val="9"/>
        <color rgb="FF1A1A2E"/>
        <rFont val="DejaVu Sans"/>
        <family val="2"/>
      </rPr>
      <t xml:space="preserve">강원도 춘천시 남산면 경춘로 </t>
    </r>
    <r>
      <rPr>
        <sz val="9"/>
        <color rgb="FF1A1A2E"/>
        <rFont val="DejaVu Sans"/>
        <family val="2"/>
        <charset val="1"/>
      </rPr>
      <t xml:space="preserve">212-30</t>
    </r>
  </si>
  <si>
    <r>
      <rPr>
        <sz val="9"/>
        <color rgb="FF1A1A2E"/>
        <rFont val="DejaVu Sans"/>
        <family val="2"/>
      </rPr>
      <t xml:space="preserve">한화호텔앤드리조트㈜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김형조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</si>
  <si>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클럽모우골프 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라이프스타일</t>
    </r>
  </si>
  <si>
    <r>
      <rPr>
        <sz val="9"/>
        <color rgb="FF1A1A2E"/>
        <rFont val="DejaVu Sans"/>
        <family val="2"/>
      </rPr>
      <t xml:space="preserve">강원도 홍천군 서면 장락동길</t>
    </r>
    <r>
      <rPr>
        <sz val="9"/>
        <color rgb="FF1A1A2E"/>
        <rFont val="DejaVu Sans"/>
        <family val="2"/>
        <charset val="1"/>
      </rPr>
      <t xml:space="preserve">66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51</t>
    </r>
  </si>
  <si>
    <r>
      <rPr>
        <sz val="9"/>
        <color rgb="FF1A1A2E"/>
        <rFont val="DejaVu Sans"/>
        <family val="2"/>
      </rPr>
      <t xml:space="preserve">㈜와이에이치레저개발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박윤하</t>
    </r>
    <r>
      <rPr>
        <sz val="9"/>
        <color rgb="FF1A1A2E"/>
        <rFont val="DejaVu Sans"/>
        <family val="2"/>
        <charset val="1"/>
      </rPr>
      <t xml:space="preserve">)</t>
    </r>
  </si>
  <si>
    <t xml:space="preserve">파가니카컨트리클럽</t>
  </si>
  <si>
    <r>
      <rPr>
        <sz val="9"/>
        <color rgb="FF1A1A2E"/>
        <rFont val="DejaVu Sans"/>
        <family val="2"/>
      </rPr>
      <t xml:space="preserve">강원도 춘천시 남면 소주고개로 </t>
    </r>
    <r>
      <rPr>
        <sz val="9"/>
        <color rgb="FF1A1A2E"/>
        <rFont val="DejaVu Sans"/>
        <family val="2"/>
        <charset val="1"/>
      </rPr>
      <t xml:space="preserve">145-10</t>
    </r>
  </si>
  <si>
    <r>
      <rPr>
        <sz val="9"/>
        <color rgb="FF1A1A2E"/>
        <rFont val="DejaVu Sans"/>
        <family val="2"/>
      </rPr>
      <t xml:space="preserve">㈜레저플러스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조태석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</si>
  <si>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https://www.paganica.co.kr/</t>
  </si>
  <si>
    <t xml:space="preserve">033-434-7000</t>
  </si>
  <si>
    <t xml:space="preserve">파인리즈컨트리클럽</t>
  </si>
  <si>
    <r>
      <rPr>
        <sz val="9"/>
        <color rgb="FF1A1A2E"/>
        <rFont val="DejaVu Sans"/>
        <family val="2"/>
      </rPr>
      <t xml:space="preserve">강원도 고성군 토성면 잼버리동로 </t>
    </r>
    <r>
      <rPr>
        <sz val="9"/>
        <color rgb="FF1A1A2E"/>
        <rFont val="DejaVu Sans"/>
        <family val="2"/>
        <charset val="1"/>
      </rPr>
      <t xml:space="preserve">267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</si>
  <si>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에이치제이매그놀리아 용평파인리즈골프앤리조트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신달순</t>
    </r>
    <r>
      <rPr>
        <sz val="9"/>
        <color rgb="FF1A1A2E"/>
        <rFont val="Arial"/>
        <family val="2"/>
        <charset val="1"/>
      </rPr>
      <t xml:space="preserve">)</t>
    </r>
  </si>
  <si>
    <t xml:space="preserve">파인밸리컨트리클럽</t>
  </si>
  <si>
    <r>
      <rPr>
        <sz val="9"/>
        <color rgb="FF1A1A2E"/>
        <rFont val="DejaVu Sans"/>
        <family val="2"/>
      </rPr>
      <t xml:space="preserve">강원도 삼척시 근덕면 미근로 </t>
    </r>
    <r>
      <rPr>
        <sz val="9"/>
        <color rgb="FF1A1A2E"/>
        <rFont val="DejaVu Sans"/>
        <family val="2"/>
        <charset val="1"/>
      </rPr>
      <t xml:space="preserve">1629</t>
    </r>
  </si>
  <si>
    <r>
      <rPr>
        <sz val="9"/>
        <color rgb="FF1A1A2E"/>
        <rFont val="DejaVu Sans"/>
        <family val="2"/>
      </rPr>
      <t xml:space="preserve">㈜동양레저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강선</t>
    </r>
    <r>
      <rPr>
        <sz val="9"/>
        <color rgb="FF1A1A2E"/>
        <rFont val="DejaVu Sans"/>
        <family val="2"/>
        <charset val="1"/>
      </rPr>
      <t xml:space="preserve">)</t>
    </r>
  </si>
  <si>
    <t xml:space="preserve">파크밸리골프클럽</t>
  </si>
  <si>
    <r>
      <rPr>
        <sz val="9"/>
        <color rgb="FF1A1A2E"/>
        <rFont val="DejaVu Sans"/>
        <family val="2"/>
      </rPr>
      <t xml:space="preserve">강원도 원주시 소초면 바우실길 </t>
    </r>
    <r>
      <rPr>
        <sz val="9"/>
        <color rgb="FF1A1A2E"/>
        <rFont val="DejaVu Sans"/>
        <family val="2"/>
        <charset val="1"/>
      </rPr>
      <t xml:space="preserve">281</t>
    </r>
  </si>
  <si>
    <r>
      <rPr>
        <sz val="9"/>
        <color rgb="FF1A1A2E"/>
        <rFont val="DejaVu Sans"/>
        <family val="2"/>
      </rPr>
      <t xml:space="preserve">강원레저개발㈜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설경원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</si>
  <si>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하이원컨트리클럽</t>
  </si>
  <si>
    <r>
      <rPr>
        <sz val="9"/>
        <color rgb="FF1A1A2E"/>
        <rFont val="DejaVu Sans"/>
        <family val="2"/>
      </rPr>
      <t xml:space="preserve">강원도 정선군 고한읍 하이원길 </t>
    </r>
    <r>
      <rPr>
        <sz val="9"/>
        <color rgb="FF1A1A2E"/>
        <rFont val="DejaVu Sans"/>
        <family val="2"/>
        <charset val="1"/>
      </rPr>
      <t xml:space="preserve">265</t>
    </r>
  </si>
  <si>
    <r>
      <rPr>
        <sz val="9"/>
        <color rgb="FF1A1A2E"/>
        <rFont val="DejaVu Sans"/>
        <family val="2"/>
      </rPr>
      <t xml:space="preserve">㈜강원랜드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이삼걸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</si>
  <si>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https://www.high1.com/</t>
  </si>
  <si>
    <t xml:space="preserve">1588-7789</t>
  </si>
  <si>
    <t xml:space="preserve">한탄강컨트리클럽</t>
  </si>
  <si>
    <r>
      <rPr>
        <sz val="9"/>
        <color rgb="FF1A1A2E"/>
        <rFont val="DejaVu Sans"/>
        <family val="2"/>
      </rPr>
      <t xml:space="preserve">강원도 철원군 갈말읍 순담길 </t>
    </r>
    <r>
      <rPr>
        <sz val="9"/>
        <color rgb="FF1A1A2E"/>
        <rFont val="DejaVu Sans"/>
        <family val="2"/>
        <charset val="1"/>
      </rPr>
      <t xml:space="preserve">59</t>
    </r>
  </si>
  <si>
    <r>
      <rPr>
        <sz val="9"/>
        <color rgb="FF1A1A2E"/>
        <rFont val="DejaVu Sans"/>
        <family val="2"/>
      </rPr>
      <t xml:space="preserve">㈜귀뚜라미랜드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이의병</t>
    </r>
    <r>
      <rPr>
        <sz val="9"/>
        <color rgb="FF1A1A2E"/>
        <rFont val="DejaVu Sans"/>
        <family val="2"/>
        <charset val="1"/>
      </rPr>
      <t xml:space="preserve">)</t>
    </r>
  </si>
  <si>
    <t xml:space="preserve">휘닉스 컨트리클럽</t>
  </si>
  <si>
    <r>
      <rPr>
        <sz val="9"/>
        <color rgb="FF1A1A2E"/>
        <rFont val="DejaVu Sans"/>
        <family val="2"/>
      </rPr>
      <t xml:space="preserve">강원도 평창군 봉평면 태기로 </t>
    </r>
    <r>
      <rPr>
        <sz val="9"/>
        <color rgb="FF1A1A2E"/>
        <rFont val="DejaVu Sans"/>
        <family val="2"/>
        <charset val="1"/>
      </rPr>
      <t xml:space="preserve">227-84</t>
    </r>
  </si>
  <si>
    <r>
      <rPr>
        <sz val="9"/>
        <color rgb="FF1A1A2E"/>
        <rFont val="DejaVu Sans"/>
        <family val="2"/>
      </rPr>
      <t xml:space="preserve">휘닉스중앙 주식회사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이윤규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</si>
  <si>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휘슬링락컨트리클럽</t>
  </si>
  <si>
    <r>
      <rPr>
        <sz val="9"/>
        <color rgb="FF1A1A2E"/>
        <rFont val="DejaVu Sans"/>
        <family val="2"/>
      </rPr>
      <t xml:space="preserve">강원도 춘천시 남산면 동촌로 </t>
    </r>
    <r>
      <rPr>
        <sz val="9"/>
        <color rgb="FF1A1A2E"/>
        <rFont val="DejaVu Sans"/>
        <family val="2"/>
        <charset val="1"/>
      </rPr>
      <t xml:space="preserve">501</t>
    </r>
  </si>
  <si>
    <r>
      <rPr>
        <sz val="9"/>
        <color rgb="FF1A1A2E"/>
        <rFont val="DejaVu Sans"/>
        <family val="2"/>
      </rPr>
      <t xml:space="preserve">㈜티시스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최창성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</si>
  <si>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https://www.whistlingrockcc.com/</t>
  </si>
  <si>
    <t xml:space="preserve">033-269-2101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</si>
  <si>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letsgrip, trip.com, theleader | 2017 </t>
    </r>
    <r>
      <rPr>
        <sz val="11"/>
        <color theme="1"/>
        <rFont val="DejaVu Sans"/>
        <family val="2"/>
      </rPr>
      <t xml:space="preserve">골프매거진 대한민국 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테드 로빈슨 주니어 설계 </t>
    </r>
    <r>
      <rPr>
        <sz val="11"/>
        <color theme="1"/>
        <rFont val="DejaVu Sans"/>
        <family val="2"/>
        <charset val="1"/>
      </rPr>
      <t xml:space="preserve">27</t>
    </r>
    <r>
      <rPr>
        <sz val="11"/>
        <color theme="1"/>
        <rFont val="DejaVu Sans"/>
        <family val="2"/>
      </rPr>
      <t xml:space="preserve">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그린스피드 </t>
    </r>
    <r>
      <rPr>
        <sz val="11"/>
        <color theme="1"/>
        <rFont val="DejaVu Sans"/>
        <family val="2"/>
        <charset val="1"/>
      </rPr>
      <t xml:space="preserve">2.8m, 2</t>
    </r>
    <r>
      <rPr>
        <sz val="11"/>
        <color theme="1"/>
        <rFont val="DejaVu Sans"/>
        <family val="2"/>
      </rPr>
      <t xml:space="preserve">단 언듈레이션 많음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벙커 모래 고급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티박스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페어웨이 유지 우수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페어웨이가 러프와 구분 약하단 일부 후기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116/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106/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96/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84/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75 · </t>
    </r>
    <r>
      <rPr>
        <sz val="11"/>
        <color theme="1"/>
        <rFont val="DejaVu Sans"/>
        <family val="2"/>
      </rPr>
      <t xml:space="preserve">난이도등급 최상급</t>
    </r>
  </si>
  <si>
    <t xml:space="preserve">힐드로사이컨트리클럽</t>
  </si>
  <si>
    <r>
      <rPr>
        <sz val="9"/>
        <color rgb="FF1A1A2E"/>
        <rFont val="DejaVu Sans"/>
        <family val="2"/>
      </rPr>
      <t xml:space="preserve">강원도 홍천군 남면 한서로 </t>
    </r>
    <r>
      <rPr>
        <sz val="9"/>
        <color rgb="FF1A1A2E"/>
        <rFont val="DejaVu Sans"/>
        <family val="2"/>
        <charset val="1"/>
      </rPr>
      <t xml:space="preserve">2840</t>
    </r>
  </si>
  <si>
    <r>
      <rPr>
        <sz val="9"/>
        <color rgb="FF1A1A2E"/>
        <rFont val="DejaVu Sans"/>
        <family val="2"/>
      </rPr>
      <t xml:space="preserve">㈜이지아이아이앤디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황인택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</si>
  <si>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https://www.hilldeloci.co.kr/</t>
  </si>
  <si>
    <t xml:space="preserve">033-439-0000</t>
  </si>
  <si>
    <t xml:space="preserve">충남</t>
  </si>
  <si>
    <r>
      <rPr>
        <b val="true"/>
        <sz val="9"/>
        <color rgb="FF1A1A2E"/>
        <rFont val="DejaVu Sans"/>
        <family val="2"/>
      </rPr>
      <t xml:space="preserve">㈜호텔롯데 스카이힐 부여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</si>
  <si>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부여군 규암면 백제문로 </t>
    </r>
    <r>
      <rPr>
        <sz val="9"/>
        <color rgb="FF1A1A2E"/>
        <rFont val="DejaVu Sans"/>
        <family val="2"/>
        <charset val="1"/>
      </rPr>
      <t xml:space="preserve">470</t>
    </r>
  </si>
  <si>
    <t xml:space="preserve">㈜호텔롯데</t>
  </si>
  <si>
    <t xml:space="preserve">계룡산골프장</t>
  </si>
  <si>
    <r>
      <rPr>
        <sz val="9"/>
        <color rgb="FF1A1A2E"/>
        <rFont val="DejaVu Sans"/>
        <family val="2"/>
      </rPr>
      <t xml:space="preserve">공주시 계룡면 아랫난댕이길 </t>
    </r>
    <r>
      <rPr>
        <sz val="9"/>
        <color rgb="FF1A1A2E"/>
        <rFont val="DejaVu Sans"/>
        <family val="2"/>
        <charset val="1"/>
      </rPr>
      <t xml:space="preserve">17(</t>
    </r>
    <r>
      <rPr>
        <sz val="9"/>
        <color rgb="FF1A1A2E"/>
        <rFont val="DejaVu Sans"/>
        <family val="2"/>
      </rPr>
      <t xml:space="preserve">내흥리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</si>
  <si>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골드리버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</si>
  <si>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공주시 의당면 신정말길 </t>
    </r>
    <r>
      <rPr>
        <sz val="9"/>
        <color rgb="FF1A1A2E"/>
        <rFont val="DejaVu Sans"/>
        <family val="2"/>
        <charset val="1"/>
      </rPr>
      <t xml:space="preserve">67-133(</t>
    </r>
    <r>
      <rPr>
        <sz val="9"/>
        <color rgb="FF1A1A2E"/>
        <rFont val="DejaVu Sans"/>
        <family val="2"/>
      </rPr>
      <t xml:space="preserve">청룡리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</si>
  <si>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㈜웅진</t>
  </si>
  <si>
    <r>
      <rPr>
        <b val="true"/>
        <sz val="9"/>
        <color rgb="FF1A1A2E"/>
        <rFont val="DejaVu Sans"/>
        <family val="2"/>
      </rPr>
      <t xml:space="preserve">골든베이골프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</si>
  <si>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태안군 근흥면 정선포로 </t>
    </r>
    <r>
      <rPr>
        <sz val="9"/>
        <color rgb="FF1A1A2E"/>
        <rFont val="DejaVu Sans"/>
        <family val="2"/>
        <charset val="1"/>
      </rPr>
      <t xml:space="preserve">217</t>
    </r>
  </si>
  <si>
    <t xml:space="preserve">㈜셀럽골프앤리조트</t>
  </si>
  <si>
    <t xml:space="preserve">골프존카운티 천안</t>
  </si>
  <si>
    <r>
      <rPr>
        <sz val="9"/>
        <color rgb="FF1A1A2E"/>
        <rFont val="DejaVu Sans"/>
        <family val="2"/>
      </rPr>
      <t xml:space="preserve">천안시 동남구 병천면 매성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103</t>
    </r>
  </si>
  <si>
    <t xml:space="preserve">㈜지씨천안</t>
  </si>
  <si>
    <t xml:space="preserve">https://www.golfzoncounty.com</t>
  </si>
  <si>
    <t xml:space="preserve">뉴데이컨트리클럽</t>
  </si>
  <si>
    <r>
      <rPr>
        <sz val="9"/>
        <color rgb="FF1A1A2E"/>
        <rFont val="DejaVu Sans"/>
        <family val="2"/>
      </rPr>
      <t xml:space="preserve">천안시 동남구 북면 납안</t>
    </r>
    <r>
      <rPr>
        <sz val="9"/>
        <color rgb="FF1A1A2E"/>
        <rFont val="DejaVu Sans"/>
        <family val="2"/>
        <charset val="1"/>
      </rPr>
      <t xml:space="preserve">5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74</t>
    </r>
  </si>
  <si>
    <t xml:space="preserve">㈜마론</t>
  </si>
  <si>
    <t xml:space="preserve">더힐 컨트리클럽</t>
  </si>
  <si>
    <r>
      <rPr>
        <sz val="9"/>
        <color rgb="FF1A1A2E"/>
        <rFont val="DejaVu Sans"/>
        <family val="2"/>
      </rPr>
      <t xml:space="preserve">논산시 상월면 선비로 </t>
    </r>
    <r>
      <rPr>
        <sz val="9"/>
        <color rgb="FF1A1A2E"/>
        <rFont val="DejaVu Sans"/>
        <family val="2"/>
        <charset val="1"/>
      </rPr>
      <t xml:space="preserve">1079</t>
    </r>
  </si>
  <si>
    <t xml:space="preserve">㈜일상</t>
  </si>
  <si>
    <t xml:space="preserve">도고컨트리구락부</t>
  </si>
  <si>
    <r>
      <rPr>
        <sz val="9"/>
        <color rgb="FF1A1A2E"/>
        <rFont val="DejaVu Sans"/>
        <family val="2"/>
      </rPr>
      <t xml:space="preserve">아산시 선장면 삼봉산길 </t>
    </r>
    <r>
      <rPr>
        <sz val="9"/>
        <color rgb="FF1A1A2E"/>
        <rFont val="DejaVu Sans"/>
        <family val="2"/>
        <charset val="1"/>
      </rPr>
      <t xml:space="preserve">188</t>
    </r>
  </si>
  <si>
    <t xml:space="preserve">㈜도고칸추리크럽</t>
  </si>
  <si>
    <r>
      <rPr>
        <b val="true"/>
        <sz val="9"/>
        <color rgb="FF1A1A2E"/>
        <rFont val="DejaVu Sans"/>
        <family val="2"/>
      </rPr>
      <t xml:space="preserve">로얄링스</t>
    </r>
    <r>
      <rPr>
        <b val="true"/>
        <sz val="9"/>
        <color rgb="FF1A1A2E"/>
        <rFont val="DejaVu Sans"/>
        <family val="2"/>
        <charset val="1"/>
      </rPr>
      <t xml:space="preserve">1</t>
    </r>
  </si>
  <si>
    <r>
      <rPr>
        <sz val="9"/>
        <color rgb="FF1A1A2E"/>
        <rFont val="DejaVu Sans"/>
        <family val="2"/>
      </rPr>
      <t xml:space="preserve">태안군 태안읍 반곡길 </t>
    </r>
    <r>
      <rPr>
        <sz val="9"/>
        <color rgb="FF1A1A2E"/>
        <rFont val="DejaVu Sans"/>
        <family val="2"/>
        <charset val="1"/>
      </rPr>
      <t xml:space="preserve">284</t>
    </r>
  </si>
  <si>
    <t xml:space="preserve">로얄링스㈜</t>
  </si>
  <si>
    <r>
      <rPr>
        <b val="true"/>
        <sz val="9"/>
        <color rgb="FF1A1A2E"/>
        <rFont val="DejaVu Sans"/>
        <family val="2"/>
      </rPr>
      <t xml:space="preserve">로얄링스</t>
    </r>
    <r>
      <rPr>
        <b val="true"/>
        <sz val="9"/>
        <color rgb="FF1A1A2E"/>
        <rFont val="DejaVu Sans"/>
        <family val="2"/>
        <charset val="1"/>
      </rPr>
      <t xml:space="preserve">2</t>
    </r>
  </si>
  <si>
    <t xml:space="preserve">백제컨트리클럽</t>
  </si>
  <si>
    <r>
      <rPr>
        <sz val="9"/>
        <color rgb="FF1A1A2E"/>
        <rFont val="DejaVu Sans"/>
        <family val="2"/>
      </rPr>
      <t xml:space="preserve">부여군 은산면 충절로 </t>
    </r>
    <r>
      <rPr>
        <sz val="9"/>
        <color rgb="FF1A1A2E"/>
        <rFont val="DejaVu Sans"/>
        <family val="2"/>
        <charset val="1"/>
      </rPr>
      <t xml:space="preserve">3734-82</t>
    </r>
  </si>
  <si>
    <t xml:space="preserve">백제컨트리클럽㈜</t>
  </si>
  <si>
    <r>
      <rPr>
        <b val="true"/>
        <sz val="9"/>
        <color rgb="FF1A1A2E"/>
        <rFont val="DejaVu Sans"/>
        <family val="2"/>
      </rPr>
      <t xml:space="preserve">보령베이스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</si>
  <si>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보령시 옥마벚길 </t>
    </r>
    <r>
      <rPr>
        <sz val="9"/>
        <color rgb="FF1A1A2E"/>
        <rFont val="DejaVu Sans"/>
        <family val="2"/>
        <charset val="1"/>
      </rPr>
      <t xml:space="preserve">10</t>
    </r>
  </si>
  <si>
    <t xml:space="preserve">㈜대천리조트</t>
  </si>
  <si>
    <t xml:space="preserve">서산수 골프앤리조트</t>
  </si>
  <si>
    <r>
      <rPr>
        <sz val="9"/>
        <color rgb="FF1A1A2E"/>
        <rFont val="DejaVu Sans"/>
        <family val="2"/>
      </rPr>
      <t xml:space="preserve">서산시 대산읍 삼길포</t>
    </r>
    <r>
      <rPr>
        <sz val="9"/>
        <color rgb="FF1A1A2E"/>
        <rFont val="DejaVu Sans"/>
        <family val="2"/>
        <charset val="1"/>
      </rPr>
      <t xml:space="preserve">7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8</t>
    </r>
  </si>
  <si>
    <t xml:space="preserve">서산수골프앤리조트</t>
  </si>
  <si>
    <r>
      <rPr>
        <b val="true"/>
        <sz val="9"/>
        <color rgb="FF1A1A2E"/>
        <rFont val="DejaVu Sans"/>
        <family val="2"/>
      </rPr>
      <t xml:space="preserve">솔라고</t>
    </r>
    <r>
      <rPr>
        <b val="true"/>
        <sz val="9"/>
        <color rgb="FF1A1A2E"/>
        <rFont val="DejaVu Sans"/>
        <family val="2"/>
        <charset val="1"/>
      </rPr>
      <t xml:space="preserve">CC1</t>
    </r>
  </si>
  <si>
    <r>
      <rPr>
        <sz val="9"/>
        <color rgb="FF1A1A2E"/>
        <rFont val="DejaVu Sans"/>
        <family val="2"/>
      </rPr>
      <t xml:space="preserve">태안군 태안읍 소곳이길 </t>
    </r>
    <r>
      <rPr>
        <sz val="9"/>
        <color rgb="FF1A1A2E"/>
        <rFont val="DejaVu Sans"/>
        <family val="2"/>
        <charset val="1"/>
      </rPr>
      <t xml:space="preserve">92-234</t>
    </r>
  </si>
  <si>
    <t xml:space="preserve">㈜현대도시개발 일진레저㈜</t>
  </si>
  <si>
    <r>
      <rPr>
        <b val="true"/>
        <sz val="9"/>
        <color rgb="FF1A1A2E"/>
        <rFont val="DejaVu Sans"/>
        <family val="2"/>
      </rPr>
      <t xml:space="preserve">솔라고</t>
    </r>
    <r>
      <rPr>
        <b val="true"/>
        <sz val="9"/>
        <color rgb="FF1A1A2E"/>
        <rFont val="DejaVu Sans"/>
        <family val="2"/>
        <charset val="1"/>
      </rPr>
      <t xml:space="preserve">CC2</t>
    </r>
  </si>
  <si>
    <t xml:space="preserve">스톤비치컨트리클럽</t>
  </si>
  <si>
    <r>
      <rPr>
        <sz val="9"/>
        <color rgb="FF1A1A2E"/>
        <rFont val="DejaVu Sans"/>
        <family val="2"/>
      </rPr>
      <t xml:space="preserve">태안군 근흥면 갈음이길 </t>
    </r>
    <r>
      <rPr>
        <sz val="9"/>
        <color rgb="FF1A1A2E"/>
        <rFont val="DejaVu Sans"/>
        <family val="2"/>
        <charset val="1"/>
      </rPr>
      <t xml:space="preserve">88</t>
    </r>
  </si>
  <si>
    <t xml:space="preserve">㈜스톤비치</t>
  </si>
  <si>
    <r>
      <rPr>
        <b val="true"/>
        <sz val="9"/>
        <color rgb="FF1A1A2E"/>
        <rFont val="DejaVu Sans"/>
        <family val="2"/>
      </rPr>
      <t xml:space="preserve">아리스타 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</si>
  <si>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연무읍 황화정리 산</t>
    </r>
    <r>
      <rPr>
        <sz val="9"/>
        <color rgb="FF1A1A2E"/>
        <rFont val="DejaVu Sans"/>
        <family val="2"/>
        <charset val="1"/>
      </rPr>
      <t xml:space="preserve">100</t>
    </r>
  </si>
  <si>
    <t xml:space="preserve">대양레져산업개발㈜</t>
  </si>
  <si>
    <t xml:space="preserve">에딘버러 컨트리클럽</t>
  </si>
  <si>
    <r>
      <rPr>
        <sz val="9"/>
        <color rgb="FF1A1A2E"/>
        <rFont val="DejaVu Sans"/>
        <family val="2"/>
      </rPr>
      <t xml:space="preserve">금산군 진산면 살구정길 </t>
    </r>
    <r>
      <rPr>
        <sz val="9"/>
        <color rgb="FF1A1A2E"/>
        <rFont val="DejaVu Sans"/>
        <family val="2"/>
        <charset val="1"/>
      </rPr>
      <t xml:space="preserve">167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</si>
  <si>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부토</t>
    </r>
  </si>
  <si>
    <t xml:space="preserve">에스앤 골프리조트</t>
  </si>
  <si>
    <r>
      <rPr>
        <sz val="9"/>
        <color rgb="FF1A1A2E"/>
        <rFont val="DejaVu Sans"/>
        <family val="2"/>
      </rPr>
      <t xml:space="preserve">보령시 남포면 양항리 </t>
    </r>
    <r>
      <rPr>
        <sz val="9"/>
        <color rgb="FF1A1A2E"/>
        <rFont val="DejaVu Sans"/>
        <family val="2"/>
        <charset val="1"/>
      </rPr>
      <t xml:space="preserve">650-2</t>
    </r>
  </si>
  <si>
    <t xml:space="preserve">㈜에스앤골프리조트</t>
  </si>
  <si>
    <r>
      <rPr>
        <b val="true"/>
        <sz val="9"/>
        <color rgb="FF1A1A2E"/>
        <rFont val="DejaVu Sans"/>
        <family val="2"/>
      </rPr>
      <t xml:space="preserve">에스지아름다운골프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</si>
  <si>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아산시 영인면 영인산로 </t>
    </r>
    <r>
      <rPr>
        <sz val="9"/>
        <color rgb="FF1A1A2E"/>
        <rFont val="DejaVu Sans"/>
        <family val="2"/>
        <charset val="1"/>
      </rPr>
      <t xml:space="preserve">440</t>
    </r>
  </si>
  <si>
    <t xml:space="preserve">㈜단톡</t>
  </si>
  <si>
    <t xml:space="preserve">우정힐스 컨트리클럽</t>
  </si>
  <si>
    <r>
      <rPr>
        <sz val="9"/>
        <color rgb="FF1A1A2E"/>
        <rFont val="DejaVu Sans"/>
        <family val="2"/>
      </rPr>
      <t xml:space="preserve">천안시 동남구 목천읍 충정로 </t>
    </r>
    <r>
      <rPr>
        <sz val="9"/>
        <color rgb="FF1A1A2E"/>
        <rFont val="DejaVu Sans"/>
        <family val="2"/>
        <charset val="1"/>
      </rPr>
      <t xml:space="preserve">1048-68</t>
    </r>
  </si>
  <si>
    <t xml:space="preserve">그린나래㈜</t>
  </si>
  <si>
    <t xml:space="preserve">https://www.woojunghills.com/</t>
  </si>
  <si>
    <t xml:space="preserve">041-520-5000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</si>
  <si>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(8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allthatgolf.kr, daum_news, dealbada_forum | </t>
    </r>
    <r>
      <rPr>
        <sz val="11"/>
        <color theme="1"/>
        <rFont val="DejaVu Sans"/>
        <family val="2"/>
      </rPr>
      <t xml:space="preserve">한국오픈 개최 챔피언십 코스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평시 그린스피드 </t>
    </r>
    <r>
      <rPr>
        <sz val="11"/>
        <color theme="1"/>
        <rFont val="DejaVu Sans"/>
        <family val="2"/>
        <charset val="1"/>
      </rPr>
      <t xml:space="preserve">3.2m, </t>
    </r>
    <r>
      <rPr>
        <sz val="11"/>
        <color theme="1"/>
        <rFont val="DejaVu Sans"/>
        <family val="2"/>
      </rPr>
      <t xml:space="preserve">대회시 </t>
    </r>
    <r>
      <rPr>
        <sz val="11"/>
        <color theme="1"/>
        <rFont val="DejaVu Sans"/>
        <family val="2"/>
        <charset val="1"/>
      </rPr>
      <t xml:space="preserve">4.3m. </t>
    </r>
    <r>
      <rPr>
        <sz val="11"/>
        <color theme="1"/>
        <rFont val="DejaVu Sans"/>
        <family val="2"/>
      </rPr>
      <t xml:space="preserve">페어웨이 중지 빽빽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남성 캐디 비율 높음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경기과 진행 재촉 사례로 페이스는 다소 빠른 진행 강제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113/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103/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94/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</si>
  <si>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t xml:space="preserve">천안상록골프장</t>
  </si>
  <si>
    <r>
      <rPr>
        <sz val="9"/>
        <color rgb="FF1A1A2E"/>
        <rFont val="DejaVu Sans"/>
        <family val="2"/>
      </rPr>
      <t xml:space="preserve">천안시 동남구 수신면 수신로 </t>
    </r>
    <r>
      <rPr>
        <sz val="9"/>
        <color rgb="FF1A1A2E"/>
        <rFont val="DejaVu Sans"/>
        <family val="2"/>
        <charset val="1"/>
      </rPr>
      <t xml:space="preserve">576</t>
    </r>
  </si>
  <si>
    <t xml:space="preserve">공무원연금관리공단</t>
  </si>
  <si>
    <t xml:space="preserve">파나시아 골프클럽</t>
  </si>
  <si>
    <r>
      <rPr>
        <sz val="9"/>
        <color rgb="FF1A1A2E"/>
        <rFont val="DejaVu Sans"/>
        <family val="2"/>
      </rPr>
      <t xml:space="preserve">당진시 신평면 계명길 </t>
    </r>
    <r>
      <rPr>
        <sz val="9"/>
        <color rgb="FF1A1A2E"/>
        <rFont val="DejaVu Sans"/>
        <family val="2"/>
        <charset val="1"/>
      </rPr>
      <t xml:space="preserve">33</t>
    </r>
  </si>
  <si>
    <t xml:space="preserve">만진집단㈜</t>
  </si>
  <si>
    <t xml:space="preserve">파인스톤 컨트리클럽</t>
  </si>
  <si>
    <r>
      <rPr>
        <sz val="9"/>
        <color rgb="FF1A1A2E"/>
        <rFont val="DejaVu Sans"/>
        <family val="2"/>
      </rPr>
      <t xml:space="preserve">당진시 송산면 무수들길 </t>
    </r>
    <r>
      <rPr>
        <sz val="9"/>
        <color rgb="FF1A1A2E"/>
        <rFont val="DejaVu Sans"/>
        <family val="2"/>
        <charset val="1"/>
      </rPr>
      <t xml:space="preserve">90</t>
    </r>
  </si>
  <si>
    <t xml:space="preserve">㈜동양관광레저</t>
  </si>
  <si>
    <t xml:space="preserve">프린세스 골프클럽</t>
  </si>
  <si>
    <r>
      <rPr>
        <sz val="9"/>
        <color rgb="FF1A1A2E"/>
        <rFont val="DejaVu Sans"/>
        <family val="2"/>
      </rPr>
      <t xml:space="preserve">공주시 정안면 방자들길 </t>
    </r>
    <r>
      <rPr>
        <sz val="9"/>
        <color rgb="FF1A1A2E"/>
        <rFont val="DejaVu Sans"/>
        <family val="2"/>
        <charset val="1"/>
      </rPr>
      <t xml:space="preserve">81-50(</t>
    </r>
    <r>
      <rPr>
        <sz val="9"/>
        <color rgb="FF1A1A2E"/>
        <rFont val="DejaVu Sans"/>
        <family val="2"/>
      </rPr>
      <t xml:space="preserve">인풍리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</si>
  <si>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공주개발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</si>
  <si>
    <t xml:space="preserve">충북</t>
  </si>
  <si>
    <r>
      <rPr>
        <b val="true"/>
        <sz val="9"/>
        <color rgb="FF1A1A2E"/>
        <rFont val="DejaVu Sans"/>
        <family val="2"/>
      </rPr>
      <t xml:space="preserve">감곡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</si>
  <si>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음성군 감곡면 문촌리 산</t>
    </r>
    <r>
      <rPr>
        <sz val="9"/>
        <color rgb="FF1A1A2E"/>
        <rFont val="DejaVu Sans"/>
        <family val="2"/>
        <charset val="1"/>
      </rPr>
      <t xml:space="preserve">81-6</t>
    </r>
  </si>
  <si>
    <t xml:space="preserve">캠토㈜심천보</t>
  </si>
  <si>
    <t xml:space="preserve">골드나인</t>
  </si>
  <si>
    <r>
      <rPr>
        <sz val="9"/>
        <color rgb="FF1A1A2E"/>
        <rFont val="DejaVu Sans"/>
        <family val="2"/>
      </rPr>
      <t xml:space="preserve">청주시 청원구 낭성면 산성로 </t>
    </r>
    <r>
      <rPr>
        <sz val="9"/>
        <color rgb="FF1A1A2E"/>
        <rFont val="DejaVu Sans"/>
        <family val="2"/>
        <charset val="1"/>
      </rPr>
      <t xml:space="preserve">1520-17</t>
    </r>
  </si>
  <si>
    <t xml:space="preserve">호정개발㈜정용희</t>
  </si>
  <si>
    <t xml:space="preserve">골프존카운티 진천</t>
  </si>
  <si>
    <r>
      <rPr>
        <sz val="9"/>
        <color rgb="FF1A1A2E"/>
        <rFont val="DejaVu Sans"/>
        <family val="2"/>
      </rPr>
      <t xml:space="preserve">진천군 진천읍 송강로 </t>
    </r>
    <r>
      <rPr>
        <sz val="9"/>
        <color rgb="FF1A1A2E"/>
        <rFont val="DejaVu Sans"/>
        <family val="2"/>
        <charset val="1"/>
      </rPr>
      <t xml:space="preserve">783-51</t>
    </r>
  </si>
  <si>
    <t xml:space="preserve">㈜지씨진천서상현</t>
  </si>
  <si>
    <t xml:space="preserve">골프존카운티화랑</t>
  </si>
  <si>
    <r>
      <rPr>
        <sz val="9"/>
        <color rgb="FF1A1A2E"/>
        <rFont val="DejaVu Sans"/>
        <family val="2"/>
      </rPr>
      <t xml:space="preserve">진천군 문백면 농다리로 </t>
    </r>
    <r>
      <rPr>
        <sz val="9"/>
        <color rgb="FF1A1A2E"/>
        <rFont val="DejaVu Sans"/>
        <family val="2"/>
        <charset val="1"/>
      </rPr>
      <t xml:space="preserve">809</t>
    </r>
  </si>
  <si>
    <t xml:space="preserve">골프존카운티㈜서상현</t>
  </si>
  <si>
    <t xml:space="preserve">그랜드</t>
  </si>
  <si>
    <r>
      <rPr>
        <sz val="9"/>
        <color rgb="FF1A1A2E"/>
        <rFont val="DejaVu Sans"/>
        <family val="2"/>
      </rPr>
      <t xml:space="preserve">청주시 청원군 오창읍 꽃화산길 </t>
    </r>
    <r>
      <rPr>
        <sz val="9"/>
        <color rgb="FF1A1A2E"/>
        <rFont val="DejaVu Sans"/>
        <family val="2"/>
        <charset val="1"/>
      </rPr>
      <t xml:space="preserve">14</t>
    </r>
  </si>
  <si>
    <t xml:space="preserve">청주개발㈜임재풍</t>
  </si>
  <si>
    <t xml:space="preserve">대영베이스</t>
  </si>
  <si>
    <r>
      <rPr>
        <sz val="9"/>
        <color rgb="FF1A1A2E"/>
        <rFont val="DejaVu Sans"/>
        <family val="2"/>
      </rPr>
      <t xml:space="preserve">충주시 대소원면 성종두담길 </t>
    </r>
    <r>
      <rPr>
        <sz val="9"/>
        <color rgb="FF1A1A2E"/>
        <rFont val="DejaVu Sans"/>
        <family val="2"/>
        <charset val="1"/>
      </rPr>
      <t xml:space="preserve">113</t>
    </r>
  </si>
  <si>
    <t xml:space="preserve">㈜대영베이스권혁희</t>
  </si>
  <si>
    <t xml:space="preserve">대영힐스</t>
  </si>
  <si>
    <r>
      <rPr>
        <sz val="9"/>
        <color rgb="FF1A1A2E"/>
        <rFont val="DejaVu Sans"/>
        <family val="2"/>
      </rPr>
      <t xml:space="preserve">충주시 대소원면 성종두담길 </t>
    </r>
    <r>
      <rPr>
        <sz val="9"/>
        <color rgb="FF1A1A2E"/>
        <rFont val="DejaVu Sans"/>
        <family val="2"/>
        <charset val="1"/>
      </rPr>
      <t xml:space="preserve">114</t>
    </r>
  </si>
  <si>
    <t xml:space="preserve">대호단양</t>
  </si>
  <si>
    <r>
      <rPr>
        <sz val="9"/>
        <color rgb="FF1A1A2E"/>
        <rFont val="DejaVu Sans"/>
        <family val="2"/>
      </rPr>
      <t xml:space="preserve">단양군 매포읍 고양</t>
    </r>
    <r>
      <rPr>
        <sz val="9"/>
        <color rgb="FF1A1A2E"/>
        <rFont val="DejaVu Sans"/>
        <family val="2"/>
        <charset val="1"/>
      </rPr>
      <t xml:space="preserve">5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43</t>
    </r>
  </si>
  <si>
    <t xml:space="preserve">㈜대호아이알황호연</t>
  </si>
  <si>
    <t xml:space="preserve">동촌</t>
  </si>
  <si>
    <r>
      <rPr>
        <sz val="9"/>
        <color rgb="FF1A1A2E"/>
        <rFont val="DejaVu Sans"/>
        <family val="2"/>
      </rPr>
      <t xml:space="preserve">충주시 노은면 감노로 </t>
    </r>
    <r>
      <rPr>
        <sz val="9"/>
        <color rgb="FF1A1A2E"/>
        <rFont val="DejaVu Sans"/>
        <family val="2"/>
        <charset val="1"/>
      </rPr>
      <t xml:space="preserve">1327</t>
    </r>
  </si>
  <si>
    <t xml:space="preserve">문성레저개발㈜이완희</t>
  </si>
  <si>
    <t xml:space="preserve">떼제베</t>
  </si>
  <si>
    <r>
      <rPr>
        <sz val="9"/>
        <color rgb="FF1A1A2E"/>
        <rFont val="DejaVu Sans"/>
        <family val="2"/>
      </rPr>
      <t xml:space="preserve">청주시 흥덕구 옥산면 동림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149</t>
    </r>
  </si>
  <si>
    <t xml:space="preserve">㈜떼제베운영최영범</t>
  </si>
  <si>
    <t xml:space="preserve">레인보우힐스</t>
  </si>
  <si>
    <r>
      <rPr>
        <sz val="9"/>
        <color rgb="FF1A1A2E"/>
        <rFont val="DejaVu Sans"/>
        <family val="2"/>
      </rPr>
      <t xml:space="preserve">음성군 생극면 차생로 </t>
    </r>
    <r>
      <rPr>
        <sz val="9"/>
        <color rgb="FF1A1A2E"/>
        <rFont val="DejaVu Sans"/>
        <family val="2"/>
        <charset val="1"/>
      </rPr>
      <t xml:space="preserve">168</t>
    </r>
  </si>
  <si>
    <t xml:space="preserve">㈜디비월드최경진</t>
  </si>
  <si>
    <t xml:space="preserve">https://www.rainbowhills.co.kr/</t>
  </si>
  <si>
    <t xml:space="preserve">043-883-8000</t>
  </si>
  <si>
    <t xml:space="preserve">로얄포레</t>
  </si>
  <si>
    <r>
      <rPr>
        <sz val="9"/>
        <color rgb="FF1A1A2E"/>
        <rFont val="DejaVu Sans"/>
        <family val="2"/>
      </rPr>
      <t xml:space="preserve">충주시 신니면 화치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35</t>
    </r>
  </si>
  <si>
    <r>
      <rPr>
        <sz val="9"/>
        <color rgb="FF1A1A2E"/>
        <rFont val="DejaVu Sans"/>
        <family val="2"/>
      </rPr>
      <t xml:space="preserve">㈜신니개발김상현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최동호</t>
    </r>
  </si>
  <si>
    <t xml:space="preserve">블랙스톤</t>
  </si>
  <si>
    <r>
      <rPr>
        <sz val="9"/>
        <color rgb="FF1A1A2E"/>
        <rFont val="DejaVu Sans"/>
        <family val="2"/>
      </rPr>
      <t xml:space="preserve">증평군 도안면 벼루재길 </t>
    </r>
    <r>
      <rPr>
        <sz val="9"/>
        <color rgb="FF1A1A2E"/>
        <rFont val="DejaVu Sans"/>
        <family val="2"/>
        <charset val="1"/>
      </rPr>
      <t xml:space="preserve">334</t>
    </r>
  </si>
  <si>
    <t xml:space="preserve">㈜블랙스톤에듀팜원성역</t>
  </si>
  <si>
    <t xml:space="preserve">https://www.blackstoneresort.com/jj/</t>
  </si>
  <si>
    <t xml:space="preserve">064-793-8000</t>
  </si>
  <si>
    <r>
      <rPr>
        <b val="true"/>
        <sz val="9"/>
        <color rgb="FF1A1A2E"/>
        <rFont val="DejaVu Sans"/>
        <family val="2"/>
      </rPr>
      <t xml:space="preserve">세레니티</t>
    </r>
    <r>
      <rPr>
        <b val="true"/>
        <sz val="9"/>
        <color rgb="FF1A1A2E"/>
        <rFont val="DejaVu Sans"/>
        <family val="2"/>
        <charset val="1"/>
      </rPr>
      <t xml:space="preserve">cc(</t>
    </r>
    <r>
      <rPr>
        <b val="true"/>
        <sz val="9"/>
        <color rgb="FF1A1A2E"/>
        <rFont val="DejaVu Sans"/>
        <family val="2"/>
      </rPr>
      <t xml:space="preserve">구</t>
    </r>
    <r>
      <rPr>
        <b val="true"/>
        <sz val="9"/>
        <color rgb="FF1A1A2E"/>
        <rFont val="DejaVu Sans"/>
        <family val="2"/>
        <charset val="1"/>
      </rPr>
      <t xml:space="preserve">, </t>
    </r>
    <r>
      <rPr>
        <b val="true"/>
        <sz val="9"/>
        <color rgb="FF1A1A2E"/>
        <rFont val="DejaVu Sans"/>
        <family val="2"/>
      </rPr>
      <t xml:space="preserve">실크리버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</si>
  <si>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청주시 서원구 남이면 문곡구절골길 </t>
    </r>
    <r>
      <rPr>
        <sz val="9"/>
        <color rgb="FF1A1A2E"/>
        <rFont val="DejaVu Sans"/>
        <family val="2"/>
        <charset val="1"/>
      </rPr>
      <t xml:space="preserve">235</t>
    </r>
  </si>
  <si>
    <t xml:space="preserve">㈜다음홀딩스김주영</t>
  </si>
  <si>
    <t xml:space="preserve">세일</t>
  </si>
  <si>
    <r>
      <rPr>
        <sz val="9"/>
        <color rgb="FF1A1A2E"/>
        <rFont val="DejaVu Sans"/>
        <family val="2"/>
      </rPr>
      <t xml:space="preserve">충주시 신니면 동락길 </t>
    </r>
    <r>
      <rPr>
        <sz val="9"/>
        <color rgb="FF1A1A2E"/>
        <rFont val="DejaVu Sans"/>
        <family val="2"/>
        <charset val="1"/>
      </rPr>
      <t xml:space="preserve">207</t>
    </r>
  </si>
  <si>
    <t xml:space="preserve">세일개발㈜권민수</t>
  </si>
  <si>
    <t xml:space="preserve">센테리움</t>
  </si>
  <si>
    <r>
      <rPr>
        <sz val="9"/>
        <color rgb="FF1A1A2E"/>
        <rFont val="DejaVu Sans"/>
        <family val="2"/>
      </rPr>
      <t xml:space="preserve">충주시 노은면 솔고개로 </t>
    </r>
    <r>
      <rPr>
        <sz val="9"/>
        <color rgb="FF1A1A2E"/>
        <rFont val="DejaVu Sans"/>
        <family val="2"/>
        <charset val="1"/>
      </rPr>
      <t xml:space="preserve">750</t>
    </r>
  </si>
  <si>
    <t xml:space="preserve">금강센테리움㈜최상순</t>
  </si>
  <si>
    <r>
      <rPr>
        <b val="true"/>
        <sz val="9"/>
        <color rgb="FF1A1A2E"/>
        <rFont val="DejaVu Sans"/>
        <family val="2"/>
      </rPr>
      <t xml:space="preserve">스타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</si>
  <si>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충주시 앙성면 상대촌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198</t>
    </r>
  </si>
  <si>
    <t xml:space="preserve">㈜나인포인트 김환웅</t>
  </si>
  <si>
    <t xml:space="preserve">시그너스</t>
  </si>
  <si>
    <r>
      <rPr>
        <sz val="9"/>
        <color rgb="FF1A1A2E"/>
        <rFont val="DejaVu Sans"/>
        <family val="2"/>
      </rPr>
      <t xml:space="preserve">충주시 앙성면 중방곡길 </t>
    </r>
    <r>
      <rPr>
        <sz val="9"/>
        <color rgb="FF1A1A2E"/>
        <rFont val="DejaVu Sans"/>
        <family val="2"/>
        <charset val="1"/>
      </rPr>
      <t xml:space="preserve">57-44</t>
    </r>
  </si>
  <si>
    <r>
      <rPr>
        <sz val="9"/>
        <color rgb="FF1A1A2E"/>
        <rFont val="DejaVu Sans"/>
        <family val="2"/>
      </rPr>
      <t xml:space="preserve">㈜시그너스</t>
    </r>
    <r>
      <rPr>
        <sz val="9"/>
        <color rgb="FF1A1A2E"/>
        <rFont val="DejaVu Sans"/>
        <family val="2"/>
        <charset val="1"/>
      </rPr>
      <t xml:space="preserve">CC</t>
    </r>
    <r>
      <rPr>
        <sz val="9"/>
        <color rgb="FF1A1A2E"/>
        <rFont val="DejaVu Sans"/>
        <family val="2"/>
      </rPr>
      <t xml:space="preserve">김영란 강석무</t>
    </r>
  </si>
  <si>
    <t xml:space="preserve">썬밸리</t>
  </si>
  <si>
    <r>
      <rPr>
        <sz val="9"/>
        <color rgb="FF1A1A2E"/>
        <rFont val="DejaVu Sans"/>
        <family val="2"/>
      </rPr>
      <t xml:space="preserve">음성군 삼성면 법말길 </t>
    </r>
    <r>
      <rPr>
        <sz val="9"/>
        <color rgb="FF1A1A2E"/>
        <rFont val="DejaVu Sans"/>
        <family val="2"/>
        <charset val="1"/>
      </rPr>
      <t xml:space="preserve">49</t>
    </r>
  </si>
  <si>
    <t xml:space="preserve">㈜연흥개발이신근</t>
  </si>
  <si>
    <r>
      <rPr>
        <b val="true"/>
        <sz val="9"/>
        <color rgb="FF1A1A2E"/>
        <rFont val="DejaVu Sans"/>
        <family val="2"/>
      </rPr>
      <t xml:space="preserve">아난티 중앙골프클럽</t>
    </r>
    <r>
      <rPr>
        <b val="true"/>
        <sz val="9"/>
        <color rgb="FF1A1A2E"/>
        <rFont val="DejaVu Sans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구</t>
    </r>
    <r>
      <rPr>
        <b val="true"/>
        <sz val="9"/>
        <color rgb="FF1A1A2E"/>
        <rFont val="DejaVu Sans"/>
        <family val="2"/>
        <charset val="1"/>
      </rPr>
      <t xml:space="preserve">,</t>
    </r>
    <r>
      <rPr>
        <b val="true"/>
        <sz val="9"/>
        <color rgb="FF1A1A2E"/>
        <rFont val="DejaVu Sans"/>
        <family val="2"/>
      </rPr>
      <t xml:space="preserve">디에머슨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</si>
  <si>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진천군 백곡면 배티로 </t>
    </r>
    <r>
      <rPr>
        <sz val="9"/>
        <color rgb="FF1A1A2E"/>
        <rFont val="DejaVu Sans"/>
        <family val="2"/>
        <charset val="1"/>
      </rPr>
      <t xml:space="preserve">818-105</t>
    </r>
  </si>
  <si>
    <r>
      <rPr>
        <sz val="9"/>
        <color rgb="FF1A1A2E"/>
        <rFont val="DejaVu Sans"/>
        <family val="2"/>
      </rPr>
      <t xml:space="preserve">중앙관광개발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준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이만규</t>
    </r>
  </si>
  <si>
    <r>
      <rPr>
        <b val="true"/>
        <sz val="9"/>
        <color rgb="FF1A1A2E"/>
        <rFont val="DejaVu Sans"/>
        <family val="2"/>
      </rPr>
      <t xml:space="preserve">아름다운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</si>
  <si>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진천군 백곡면 소토골길 </t>
    </r>
    <r>
      <rPr>
        <sz val="9"/>
        <color rgb="FF1A1A2E"/>
        <rFont val="DejaVu Sans"/>
        <family val="2"/>
        <charset val="1"/>
      </rPr>
      <t xml:space="preserve">61</t>
    </r>
  </si>
  <si>
    <t xml:space="preserve">㈜아름다은정현숙</t>
  </si>
  <si>
    <t xml:space="preserve">에스엘세레스임페리얼레이크</t>
  </si>
  <si>
    <r>
      <rPr>
        <sz val="9"/>
        <color rgb="FF1A1A2E"/>
        <rFont val="DejaVu Sans"/>
        <family val="2"/>
      </rPr>
      <t xml:space="preserve">충주시 금가면 다래울길 </t>
    </r>
    <r>
      <rPr>
        <sz val="9"/>
        <color rgb="FF1A1A2E"/>
        <rFont val="DejaVu Sans"/>
        <family val="2"/>
        <charset val="1"/>
      </rPr>
      <t xml:space="preserve">52</t>
    </r>
  </si>
  <si>
    <t xml:space="preserve">㈜에스엘레스안중기</t>
  </si>
  <si>
    <t xml:space="preserve">https://www.imperialcc.co.kr/</t>
  </si>
  <si>
    <t xml:space="preserve">043-850-1000</t>
  </si>
  <si>
    <t xml:space="preserve">에콜리안제천</t>
  </si>
  <si>
    <r>
      <rPr>
        <sz val="9"/>
        <color rgb="FF1A1A2E"/>
        <rFont val="DejaVu Sans"/>
        <family val="2"/>
      </rPr>
      <t xml:space="preserve">제천시 고암동 송학 주천로 </t>
    </r>
    <r>
      <rPr>
        <sz val="9"/>
        <color rgb="FF1A1A2E"/>
        <rFont val="DejaVu Sans"/>
        <family val="2"/>
        <charset val="1"/>
      </rPr>
      <t xml:space="preserve">102</t>
    </r>
  </si>
  <si>
    <t xml:space="preserve">국민체육진흥공단조재기</t>
  </si>
  <si>
    <t xml:space="preserve">영동일라이트컨트리클럽</t>
  </si>
  <si>
    <r>
      <rPr>
        <sz val="9"/>
        <color rgb="FF1A1A2E"/>
        <rFont val="DejaVu Sans"/>
        <family val="2"/>
      </rPr>
      <t xml:space="preserve">영동군 영동읍 매천리 산</t>
    </r>
    <r>
      <rPr>
        <sz val="9"/>
        <color rgb="FF1A1A2E"/>
        <rFont val="DejaVu Sans"/>
        <family val="2"/>
        <charset val="1"/>
      </rPr>
      <t xml:space="preserve">35-1</t>
    </r>
  </si>
  <si>
    <t xml:space="preserve">레인보우㈜전문수</t>
  </si>
  <si>
    <t xml:space="preserve">오창에딘버러</t>
  </si>
  <si>
    <r>
      <rPr>
        <sz val="9"/>
        <color rgb="FF1A1A2E"/>
        <rFont val="DejaVu Sans"/>
        <family val="2"/>
      </rPr>
      <t xml:space="preserve">청주시 청원구 오창읍 두릉유리로 </t>
    </r>
    <r>
      <rPr>
        <sz val="9"/>
        <color rgb="FF1A1A2E"/>
        <rFont val="DejaVu Sans"/>
        <family val="2"/>
        <charset val="1"/>
      </rPr>
      <t xml:space="preserve">846</t>
    </r>
  </si>
  <si>
    <r>
      <rPr>
        <sz val="9"/>
        <color rgb="FF1A1A2E"/>
        <rFont val="DejaVu Sans"/>
        <family val="2"/>
      </rPr>
      <t xml:space="preserve">운하리조트㈜오형근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이창옥</t>
    </r>
  </si>
  <si>
    <t xml:space="preserve">올데이골프앤리조트</t>
  </si>
  <si>
    <r>
      <rPr>
        <sz val="9"/>
        <color rgb="FF1A1A2E"/>
        <rFont val="DejaVu Sans"/>
        <family val="2"/>
      </rPr>
      <t xml:space="preserve">충주시 앙성면 조천리 </t>
    </r>
    <r>
      <rPr>
        <sz val="9"/>
        <color rgb="FF1A1A2E"/>
        <rFont val="DejaVu Sans"/>
        <family val="2"/>
        <charset val="1"/>
      </rPr>
      <t xml:space="preserve">350</t>
    </r>
  </si>
  <si>
    <t xml:space="preserve">㈜에스엘세레스안중기</t>
  </si>
  <si>
    <t xml:space="preserve">이븐데일</t>
  </si>
  <si>
    <r>
      <rPr>
        <sz val="9"/>
        <color rgb="FF1A1A2E"/>
        <rFont val="DejaVu Sans"/>
        <family val="2"/>
      </rPr>
      <t xml:space="preserve">청주시 상당구 미원면 대신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</si>
  <si>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경원실업홍승우</t>
    </r>
  </si>
  <si>
    <t xml:space="preserve">일레븐</t>
  </si>
  <si>
    <r>
      <rPr>
        <sz val="9"/>
        <color rgb="FF1A1A2E"/>
        <rFont val="DejaVu Sans"/>
        <family val="2"/>
      </rPr>
      <t xml:space="preserve">충주시 앙성면 본평리 산 </t>
    </r>
    <r>
      <rPr>
        <sz val="9"/>
        <color rgb="FF1A1A2E"/>
        <rFont val="DejaVu Sans"/>
        <family val="2"/>
        <charset val="1"/>
      </rPr>
      <t xml:space="preserve">43-1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</si>
  <si>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일레븐건설송창의</t>
    </r>
  </si>
  <si>
    <t xml:space="preserve">젠스필드</t>
  </si>
  <si>
    <r>
      <rPr>
        <sz val="9"/>
        <color rgb="FF1A1A2E"/>
        <rFont val="DejaVu Sans"/>
        <family val="2"/>
      </rPr>
      <t xml:space="preserve">음성군 삼성면 덕호로 </t>
    </r>
    <r>
      <rPr>
        <sz val="9"/>
        <color rgb="FF1A1A2E"/>
        <rFont val="DejaVu Sans"/>
        <family val="2"/>
        <charset val="1"/>
      </rPr>
      <t xml:space="preserve">382</t>
    </r>
  </si>
  <si>
    <t xml:space="preserve">㈜신라레져이상균</t>
  </si>
  <si>
    <t xml:space="preserve">중원</t>
  </si>
  <si>
    <r>
      <rPr>
        <sz val="9"/>
        <color rgb="FF1A1A2E"/>
        <rFont val="DejaVu Sans"/>
        <family val="2"/>
      </rPr>
      <t xml:space="preserve">충주시 산척면 인등로 </t>
    </r>
    <r>
      <rPr>
        <sz val="9"/>
        <color rgb="FF1A1A2E"/>
        <rFont val="DejaVu Sans"/>
        <family val="2"/>
        <charset val="1"/>
      </rPr>
      <t xml:space="preserve">392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</si>
  <si>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중원골프크럽이용규</t>
    </r>
  </si>
  <si>
    <t xml:space="preserve">진양밸리</t>
  </si>
  <si>
    <r>
      <rPr>
        <sz val="9"/>
        <color rgb="FF1A1A2E"/>
        <rFont val="DejaVu Sans"/>
        <family val="2"/>
      </rPr>
      <t xml:space="preserve">음성군 삼성면 금일로 </t>
    </r>
    <r>
      <rPr>
        <sz val="9"/>
        <color rgb="FF1A1A2E"/>
        <rFont val="DejaVu Sans"/>
        <family val="2"/>
        <charset val="1"/>
      </rPr>
      <t xml:space="preserve">1195</t>
    </r>
  </si>
  <si>
    <t xml:space="preserve">진양개발㈜이종현</t>
  </si>
  <si>
    <t xml:space="preserve">천룡</t>
  </si>
  <si>
    <r>
      <rPr>
        <sz val="9"/>
        <color rgb="FF1A1A2E"/>
        <rFont val="DejaVu Sans"/>
        <family val="2"/>
      </rPr>
      <t xml:space="preserve">진천군 이월면 진안로 </t>
    </r>
    <r>
      <rPr>
        <sz val="9"/>
        <color rgb="FF1A1A2E"/>
        <rFont val="DejaVu Sans"/>
        <family val="2"/>
        <charset val="1"/>
      </rPr>
      <t xml:space="preserve">347-123</t>
    </r>
  </si>
  <si>
    <t xml:space="preserve">천룡종합개발㈜윤진동</t>
  </si>
  <si>
    <t xml:space="preserve">https://www.crcc.co.kr/</t>
  </si>
  <si>
    <t xml:space="preserve">043-536-1001</t>
  </si>
  <si>
    <r>
      <rPr>
        <sz val="9"/>
        <color rgb="FF1A1A2E"/>
        <rFont val="DejaVu Sans"/>
        <family val="2"/>
      </rPr>
      <t xml:space="preserve">진천군 이월면 진안로 </t>
    </r>
    <r>
      <rPr>
        <sz val="9"/>
        <color rgb="FF1A1A2E"/>
        <rFont val="DejaVu Sans"/>
        <family val="2"/>
        <charset val="1"/>
      </rPr>
      <t xml:space="preserve">425</t>
    </r>
  </si>
  <si>
    <t xml:space="preserve">코스카</t>
  </si>
  <si>
    <r>
      <rPr>
        <sz val="9"/>
        <color rgb="FF1A1A2E"/>
        <rFont val="DejaVu Sans"/>
        <family val="2"/>
      </rPr>
      <t xml:space="preserve">음성군 음성읍 동음로 </t>
    </r>
    <r>
      <rPr>
        <sz val="9"/>
        <color rgb="FF1A1A2E"/>
        <rFont val="DejaVu Sans"/>
        <family val="2"/>
        <charset val="1"/>
      </rPr>
      <t xml:space="preserve">318</t>
    </r>
  </si>
  <si>
    <t xml:space="preserve">항석개발㈜이종광</t>
  </si>
  <si>
    <t xml:space="preserve">클럽디보은</t>
  </si>
  <si>
    <r>
      <rPr>
        <sz val="9"/>
        <color rgb="FF1A1A2E"/>
        <rFont val="DejaVu Sans"/>
        <family val="2"/>
      </rPr>
      <t xml:space="preserve">보은군 보은읍 장속중초로 </t>
    </r>
    <r>
      <rPr>
        <sz val="9"/>
        <color rgb="FF1A1A2E"/>
        <rFont val="DejaVu Sans"/>
        <family val="2"/>
        <charset val="1"/>
      </rPr>
      <t xml:space="preserve">386</t>
    </r>
  </si>
  <si>
    <t xml:space="preserve">㈜이도 최정훈</t>
  </si>
  <si>
    <t xml:space="preserve">클럽디속리산</t>
  </si>
  <si>
    <r>
      <rPr>
        <sz val="9"/>
        <color rgb="FF1A1A2E"/>
        <rFont val="DejaVu Sans"/>
        <family val="2"/>
      </rPr>
      <t xml:space="preserve">보은군 탄부면 평각상장로 </t>
    </r>
    <r>
      <rPr>
        <sz val="9"/>
        <color rgb="FF1A1A2E"/>
        <rFont val="DejaVu Sans"/>
        <family val="2"/>
        <charset val="1"/>
      </rPr>
      <t xml:space="preserve">230</t>
    </r>
  </si>
  <si>
    <t xml:space="preserve">킹스데일</t>
  </si>
  <si>
    <r>
      <rPr>
        <sz val="9"/>
        <color rgb="FF1A1A2E"/>
        <rFont val="DejaVu Sans"/>
        <family val="2"/>
      </rPr>
      <t xml:space="preserve">충주시 주덕면 기업도시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</t>
    </r>
  </si>
  <si>
    <t xml:space="preserve">킹스데일㈜</t>
  </si>
  <si>
    <t xml:space="preserve">킹즈락</t>
  </si>
  <si>
    <r>
      <rPr>
        <sz val="9"/>
        <color rgb="FF1A1A2E"/>
        <rFont val="DejaVu Sans"/>
        <family val="2"/>
      </rPr>
      <t xml:space="preserve">제천시 천남동 내토로</t>
    </r>
    <r>
      <rPr>
        <sz val="9"/>
        <color rgb="FF1A1A2E"/>
        <rFont val="DejaVu Sans"/>
        <family val="2"/>
        <charset val="1"/>
      </rPr>
      <t xml:space="preserve">7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136</t>
    </r>
  </si>
  <si>
    <t xml:space="preserve">㈜이엔엘정성훈</t>
  </si>
  <si>
    <t xml:space="preserve">대전</t>
  </si>
  <si>
    <r>
      <rPr>
        <b val="true"/>
        <sz val="9"/>
        <color rgb="FF1A1A2E"/>
        <rFont val="DejaVu Sans"/>
        <family val="2"/>
      </rPr>
      <t xml:space="preserve">금실대덕밸리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</si>
  <si>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대전 유성구 테크노중앙로 </t>
    </r>
    <r>
      <rPr>
        <sz val="9"/>
        <color rgb="FF1A1A2E"/>
        <rFont val="DejaVu Sans"/>
        <family val="2"/>
        <charset val="1"/>
      </rPr>
      <t xml:space="preserve">210(</t>
    </r>
    <r>
      <rPr>
        <sz val="9"/>
        <color rgb="FF1A1A2E"/>
        <rFont val="DejaVu Sans"/>
        <family val="2"/>
      </rPr>
      <t xml:space="preserve">용산동 </t>
    </r>
    <r>
      <rPr>
        <sz val="9"/>
        <color rgb="FF1A1A2E"/>
        <rFont val="DejaVu Sans"/>
        <family val="2"/>
        <charset val="1"/>
      </rPr>
      <t xml:space="preserve">676</t>
    </r>
    <r>
      <rPr>
        <sz val="9"/>
        <color rgb="FF1A1A2E"/>
        <rFont val="DejaVu Sans"/>
        <family val="2"/>
      </rPr>
      <t xml:space="preserve">번지</t>
    </r>
    <r>
      <rPr>
        <sz val="9"/>
        <color rgb="FF1A1A2E"/>
        <rFont val="DejaVu Sans"/>
        <family val="2"/>
        <charset val="1"/>
      </rPr>
      <t xml:space="preserve">)</t>
    </r>
  </si>
  <si>
    <t xml:space="preserve">정영숙</t>
  </si>
  <si>
    <t xml:space="preserve">대덕복지센터</t>
  </si>
  <si>
    <r>
      <rPr>
        <sz val="9"/>
        <color rgb="FF1A1A2E"/>
        <rFont val="DejaVu Sans"/>
        <family val="2"/>
      </rPr>
      <t xml:space="preserve">대전 유성구 유성대로 </t>
    </r>
    <r>
      <rPr>
        <sz val="9"/>
        <color rgb="FF1A1A2E"/>
        <rFont val="DejaVu Sans"/>
        <family val="2"/>
        <charset val="1"/>
      </rPr>
      <t xml:space="preserve">1689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69(</t>
    </r>
    <r>
      <rPr>
        <sz val="9"/>
        <color rgb="FF1A1A2E"/>
        <rFont val="DejaVu Sans"/>
        <family val="2"/>
      </rPr>
      <t xml:space="preserve">전민동 </t>
    </r>
    <r>
      <rPr>
        <sz val="9"/>
        <color rgb="FF1A1A2E"/>
        <rFont val="DejaVu Sans"/>
        <family val="2"/>
        <charset val="1"/>
      </rPr>
      <t xml:space="preserve">463</t>
    </r>
    <r>
      <rPr>
        <sz val="9"/>
        <color rgb="FF1A1A2E"/>
        <rFont val="DejaVu Sans"/>
        <family val="2"/>
      </rPr>
      <t xml:space="preserve">번지</t>
    </r>
    <r>
      <rPr>
        <sz val="9"/>
        <color rgb="FF1A1A2E"/>
        <rFont val="DejaVu Sans"/>
        <family val="2"/>
        <charset val="1"/>
      </rPr>
      <t xml:space="preserve">)</t>
    </r>
  </si>
  <si>
    <t xml:space="preserve">배재웅</t>
  </si>
  <si>
    <t xml:space="preserve">유성컨트리클럽</t>
  </si>
  <si>
    <r>
      <rPr>
        <sz val="9"/>
        <color rgb="FF1A1A2E"/>
        <rFont val="DejaVu Sans"/>
        <family val="2"/>
      </rPr>
      <t xml:space="preserve">대전 유성구 현충원로 </t>
    </r>
    <r>
      <rPr>
        <sz val="9"/>
        <color rgb="FF1A1A2E"/>
        <rFont val="DejaVu Sans"/>
        <family val="2"/>
        <charset val="1"/>
      </rPr>
      <t xml:space="preserve">200(</t>
    </r>
    <r>
      <rPr>
        <sz val="9"/>
        <color rgb="FF1A1A2E"/>
        <rFont val="DejaVu Sans"/>
        <family val="2"/>
      </rPr>
      <t xml:space="preserve">덕명동 </t>
    </r>
    <r>
      <rPr>
        <sz val="9"/>
        <color rgb="FF1A1A2E"/>
        <rFont val="DejaVu Sans"/>
        <family val="2"/>
        <charset val="1"/>
      </rPr>
      <t xml:space="preserve">215-7</t>
    </r>
    <r>
      <rPr>
        <sz val="9"/>
        <color rgb="FF1A1A2E"/>
        <rFont val="DejaVu Sans"/>
        <family val="2"/>
      </rPr>
      <t xml:space="preserve">번지</t>
    </r>
    <r>
      <rPr>
        <sz val="9"/>
        <color rgb="FF1A1A2E"/>
        <rFont val="DejaVu Sans"/>
        <family val="2"/>
        <charset val="1"/>
      </rPr>
      <t xml:space="preserve">)</t>
    </r>
  </si>
  <si>
    <t xml:space="preserve">강현모강은모</t>
  </si>
  <si>
    <t xml:space="preserve">초급</t>
  </si>
  <si>
    <t xml:space="preserve">https://www.yusungcc.co.kr</t>
  </si>
  <si>
    <t xml:space="preserve">세종</t>
  </si>
  <si>
    <t xml:space="preserve">건설공제조합세종필드골프클럽</t>
  </si>
  <si>
    <r>
      <rPr>
        <sz val="9"/>
        <color rgb="FF1A1A2E"/>
        <rFont val="DejaVu Sans"/>
        <family val="2"/>
      </rPr>
      <t xml:space="preserve">세종시 정안세종로  </t>
    </r>
    <r>
      <rPr>
        <sz val="9"/>
        <color rgb="FF1A1A2E"/>
        <rFont val="DejaVu Sans"/>
        <family val="2"/>
        <charset val="1"/>
      </rPr>
      <t xml:space="preserve">1569</t>
    </r>
  </si>
  <si>
    <t xml:space="preserve">건설공제조합</t>
  </si>
  <si>
    <t xml:space="preserve">https://www.sejongcc.com/</t>
  </si>
  <si>
    <t xml:space="preserve">044-864-1000</t>
  </si>
  <si>
    <r>
      <rPr>
        <b val="true"/>
        <sz val="9"/>
        <color rgb="FF1A1A2E"/>
        <rFont val="DejaVu Sans"/>
        <family val="2"/>
      </rPr>
      <t xml:space="preserve">세종레이캐슬골프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</si>
  <si>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세종시 전의면 의당전의로 </t>
    </r>
    <r>
      <rPr>
        <sz val="9"/>
        <color rgb="FF1A1A2E"/>
        <rFont val="DejaVu Sans"/>
        <family val="2"/>
        <charset val="1"/>
      </rPr>
      <t xml:space="preserve">252</t>
    </r>
  </si>
  <si>
    <t xml:space="preserve">㈜자광홀딩스</t>
  </si>
  <si>
    <t xml:space="preserve">세종에머슨컨트리클럽</t>
  </si>
  <si>
    <r>
      <rPr>
        <sz val="9"/>
        <color rgb="FF1A1A2E"/>
        <rFont val="DejaVu Sans"/>
        <family val="2"/>
      </rPr>
      <t xml:space="preserve">세종시 전의면 운주산로 </t>
    </r>
    <r>
      <rPr>
        <sz val="9"/>
        <color rgb="FF1A1A2E"/>
        <rFont val="DejaVu Sans"/>
        <family val="2"/>
        <charset val="1"/>
      </rPr>
      <t xml:space="preserve">1510</t>
    </r>
  </si>
  <si>
    <t xml:space="preserve">세종에머슨㈜</t>
  </si>
  <si>
    <t xml:space="preserve">전북</t>
  </si>
  <si>
    <r>
      <rPr>
        <b val="true"/>
        <sz val="9"/>
        <color rgb="FF1A1A2E"/>
        <rFont val="Arial"/>
        <family val="2"/>
        <charset val="1"/>
      </rPr>
      <t xml:space="preserve">CLUBD </t>
    </r>
    <r>
      <rPr>
        <b val="true"/>
        <sz val="9"/>
        <color rgb="FF1A1A2E"/>
        <rFont val="DejaVu Sans"/>
        <family val="2"/>
      </rPr>
      <t xml:space="preserve">금강</t>
    </r>
  </si>
  <si>
    <r>
      <rPr>
        <sz val="9"/>
        <color rgb="FF1A1A2E"/>
        <rFont val="DejaVu Sans"/>
        <family val="2"/>
      </rPr>
      <t xml:space="preserve">전라북도 익산시 웅포면 강변로 </t>
    </r>
    <r>
      <rPr>
        <sz val="9"/>
        <color rgb="FF1A1A2E"/>
        <rFont val="DejaVu Sans"/>
        <family val="2"/>
        <charset val="1"/>
      </rPr>
      <t xml:space="preserve">130</t>
    </r>
  </si>
  <si>
    <r>
      <rPr>
        <sz val="9"/>
        <color rgb="FF1A1A2E"/>
        <rFont val="DejaVu Sans"/>
        <family val="2"/>
      </rPr>
      <t xml:space="preserve">㈜이도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최정훈</t>
    </r>
    <r>
      <rPr>
        <sz val="9"/>
        <color rgb="FF1A1A2E"/>
        <rFont val="DejaVu Sans"/>
        <family val="2"/>
        <charset val="1"/>
      </rPr>
      <t xml:space="preserve">)</t>
    </r>
  </si>
  <si>
    <t xml:space="preserve">OKCC</t>
  </si>
  <si>
    <r>
      <rPr>
        <sz val="9"/>
        <color rgb="FF1A1A2E"/>
        <rFont val="DejaVu Sans"/>
        <family val="2"/>
      </rPr>
      <t xml:space="preserve">전라북도 완주군 소양면 화심리 </t>
    </r>
    <r>
      <rPr>
        <sz val="9"/>
        <color rgb="FF1A1A2E"/>
        <rFont val="DejaVu Sans"/>
        <family val="2"/>
        <charset val="1"/>
      </rPr>
      <t xml:space="preserve">300</t>
    </r>
  </si>
  <si>
    <r>
      <rPr>
        <sz val="9"/>
        <color rgb="FF1A1A2E"/>
        <rFont val="DejaVu Sans"/>
        <family val="2"/>
      </rPr>
      <t xml:space="preserve">㈜오케이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문무양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</si>
  <si>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고창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</si>
  <si>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고창군 심원면 애향갯벌로 </t>
    </r>
    <r>
      <rPr>
        <sz val="9"/>
        <color rgb="FF1A1A2E"/>
        <rFont val="DejaVu Sans"/>
        <family val="2"/>
        <charset val="1"/>
      </rPr>
      <t xml:space="preserve">70</t>
    </r>
  </si>
  <si>
    <r>
      <rPr>
        <sz val="9"/>
        <color rgb="FF1A1A2E"/>
        <rFont val="DejaVu Sans"/>
        <family val="2"/>
      </rPr>
      <t xml:space="preserve">동호레저㈜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김선미</t>
    </r>
    <r>
      <rPr>
        <sz val="9"/>
        <color rgb="FF1A1A2E"/>
        <rFont val="DejaVu Sans"/>
        <family val="2"/>
        <charset val="1"/>
      </rPr>
      <t xml:space="preserve">)</t>
    </r>
  </si>
  <si>
    <t xml:space="preserve">골프존 카운티 드래곤</t>
  </si>
  <si>
    <r>
      <rPr>
        <sz val="9"/>
        <color rgb="FF1A1A2E"/>
        <rFont val="DejaVu Sans"/>
        <family val="2"/>
      </rPr>
      <t xml:space="preserve">전라북도 남원시 대산면 대사로 </t>
    </r>
    <r>
      <rPr>
        <sz val="9"/>
        <color rgb="FF1A1A2E"/>
        <rFont val="DejaVu Sans"/>
        <family val="2"/>
        <charset val="1"/>
      </rPr>
      <t xml:space="preserve">498</t>
    </r>
  </si>
  <si>
    <r>
      <rPr>
        <sz val="9"/>
        <color rgb="FF1A1A2E"/>
        <rFont val="DejaVu Sans"/>
        <family val="2"/>
      </rPr>
      <t xml:space="preserve">신한레저㈜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박남식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</si>
  <si>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골프존카운티무주</t>
  </si>
  <si>
    <r>
      <rPr>
        <sz val="9"/>
        <color rgb="FF1A1A2E"/>
        <rFont val="DejaVu Sans"/>
        <family val="2"/>
      </rPr>
      <t xml:space="preserve">전라북도 무주군 안성면 장무로 </t>
    </r>
    <r>
      <rPr>
        <sz val="9"/>
        <color rgb="FF1A1A2E"/>
        <rFont val="DejaVu Sans"/>
        <family val="2"/>
        <charset val="1"/>
      </rPr>
      <t xml:space="preserve">1537-21</t>
    </r>
  </si>
  <si>
    <r>
      <rPr>
        <sz val="9"/>
        <color rgb="FF1A1A2E"/>
        <rFont val="DejaVu Sans"/>
        <family val="2"/>
      </rPr>
      <t xml:space="preserve">㈜케이제이클럽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유현식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㈜골프존카운티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서상현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</si>
  <si>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골프존카운티선운</t>
  </si>
  <si>
    <r>
      <rPr>
        <sz val="9"/>
        <color rgb="FF1A1A2E"/>
        <rFont val="DejaVu Sans"/>
        <family val="2"/>
      </rPr>
      <t xml:space="preserve">전라북도 고창군 아산면 운곡로 </t>
    </r>
    <r>
      <rPr>
        <sz val="9"/>
        <color rgb="FF1A1A2E"/>
        <rFont val="DejaVu Sans"/>
        <family val="2"/>
        <charset val="1"/>
      </rPr>
      <t xml:space="preserve">418</t>
    </r>
  </si>
  <si>
    <r>
      <rPr>
        <b val="true"/>
        <sz val="9"/>
        <color rgb="FF1A1A2E"/>
        <rFont val="DejaVu Sans"/>
        <family val="2"/>
      </rPr>
      <t xml:space="preserve">군산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</si>
  <si>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군산시 옥서면 남산군로 </t>
    </r>
    <r>
      <rPr>
        <sz val="9"/>
        <color rgb="FF1A1A2E"/>
        <rFont val="DejaVu Sans"/>
        <family val="2"/>
        <charset val="1"/>
      </rPr>
      <t xml:space="preserve">1685</t>
    </r>
  </si>
  <si>
    <r>
      <rPr>
        <sz val="9"/>
        <color rgb="FF1A1A2E"/>
        <rFont val="DejaVu Sans"/>
        <family val="2"/>
      </rPr>
      <t xml:space="preserve">군산레저산업㈜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박성주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</si>
  <si>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김제스파힐스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</si>
  <si>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김제시 온천길 </t>
    </r>
    <r>
      <rPr>
        <sz val="9"/>
        <color rgb="FF1A1A2E"/>
        <rFont val="DejaVu Sans"/>
        <family val="2"/>
        <charset val="1"/>
      </rPr>
      <t xml:space="preserve">37</t>
    </r>
  </si>
  <si>
    <r>
      <rPr>
        <sz val="9"/>
        <color rgb="FF1A1A2E"/>
        <rFont val="DejaVu Sans"/>
        <family val="2"/>
      </rPr>
      <t xml:space="preserve">㈜티엠지개발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김현하</t>
    </r>
    <r>
      <rPr>
        <sz val="9"/>
        <color rgb="FF1A1A2E"/>
        <rFont val="DejaVu Sans"/>
        <family val="2"/>
        <charset val="1"/>
      </rPr>
      <t xml:space="preserve">)</t>
    </r>
  </si>
  <si>
    <t xml:space="preserve">남원상록골프장</t>
  </si>
  <si>
    <r>
      <rPr>
        <sz val="9"/>
        <color rgb="FF1A1A2E"/>
        <rFont val="DejaVu Sans"/>
        <family val="2"/>
      </rPr>
      <t xml:space="preserve">전라북도 남원시 대산면 월계길 </t>
    </r>
    <r>
      <rPr>
        <sz val="9"/>
        <color rgb="FF1A1A2E"/>
        <rFont val="DejaVu Sans"/>
        <family val="2"/>
        <charset val="1"/>
      </rPr>
      <t xml:space="preserve">11</t>
    </r>
  </si>
  <si>
    <t xml:space="preserve">공무원연금공단</t>
  </si>
  <si>
    <r>
      <rPr>
        <b val="true"/>
        <sz val="9"/>
        <color rgb="FF1A1A2E"/>
        <rFont val="DejaVu Sans"/>
        <family val="2"/>
      </rPr>
      <t xml:space="preserve">내장산골프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</si>
  <si>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전라북도 정읍시 첨단과학로 </t>
    </r>
    <r>
      <rPr>
        <sz val="9"/>
        <color rgb="FF1A1A2E"/>
        <rFont val="DejaVu Sans"/>
        <family val="2"/>
        <charset val="1"/>
      </rPr>
      <t xml:space="preserve">476</t>
    </r>
  </si>
  <si>
    <r>
      <rPr>
        <sz val="9"/>
        <color rgb="FF1A1A2E"/>
        <rFont val="DejaVu Sans"/>
        <family val="2"/>
      </rPr>
      <t xml:space="preserve">㈜대일내장산 컨트리클럽         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김호석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김은정</t>
    </r>
    <r>
      <rPr>
        <sz val="9"/>
        <color rgb="FF1A1A2E"/>
        <rFont val="DejaVu Sans"/>
        <family val="2"/>
        <charset val="1"/>
      </rPr>
      <t xml:space="preserve">)</t>
    </r>
  </si>
  <si>
    <t xml:space="preserve">더나인골프클럽</t>
  </si>
  <si>
    <r>
      <rPr>
        <sz val="9"/>
        <color rgb="FF1A1A2E"/>
        <rFont val="DejaVu Sans"/>
        <family val="2"/>
      </rPr>
      <t xml:space="preserve">전라북도 김제시 금구면 대화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8-75</t>
    </r>
  </si>
  <si>
    <r>
      <rPr>
        <sz val="9"/>
        <color rgb="FF1A1A2E"/>
        <rFont val="DejaVu Sans"/>
        <family val="2"/>
      </rPr>
      <t xml:space="preserve">부흥산업개발㈜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김병철</t>
    </r>
    <r>
      <rPr>
        <sz val="9"/>
        <color rgb="FF1A1A2E"/>
        <rFont val="DejaVu Sans"/>
        <family val="2"/>
        <charset val="1"/>
      </rPr>
      <t xml:space="preserve">)</t>
    </r>
  </si>
  <si>
    <t xml:space="preserve">디케이레저</t>
  </si>
  <si>
    <r>
      <rPr>
        <sz val="9"/>
        <color rgb="FF1A1A2E"/>
        <rFont val="DejaVu Sans"/>
        <family val="2"/>
      </rPr>
      <t xml:space="preserve">전라북도 순창군 순창읍 금산로 </t>
    </r>
    <r>
      <rPr>
        <sz val="9"/>
        <color rgb="FF1A1A2E"/>
        <rFont val="DejaVu Sans"/>
        <family val="2"/>
        <charset val="1"/>
      </rPr>
      <t xml:space="preserve">152</t>
    </r>
  </si>
  <si>
    <r>
      <rPr>
        <sz val="9"/>
        <color rgb="FF1A1A2E"/>
        <rFont val="DejaVu Sans"/>
        <family val="2"/>
      </rPr>
      <t xml:space="preserve">㈜순창씨씨</t>
    </r>
    <r>
      <rPr>
        <sz val="9"/>
        <color rgb="FF1A1A2E"/>
        <rFont val="DejaVu Sans"/>
        <family val="2"/>
        <charset val="1"/>
      </rPr>
      <t xml:space="preserve">(CC)(</t>
    </r>
    <r>
      <rPr>
        <sz val="9"/>
        <color rgb="FF1A1A2E"/>
        <rFont val="DejaVu Sans"/>
        <family val="2"/>
      </rPr>
      <t xml:space="preserve">김대식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</si>
  <si>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무주덕유산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</si>
  <si>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무주군 설천면 만선로 </t>
    </r>
    <r>
      <rPr>
        <sz val="9"/>
        <color rgb="FF1A1A2E"/>
        <rFont val="DejaVu Sans"/>
        <family val="2"/>
        <charset val="1"/>
      </rPr>
      <t xml:space="preserve">185</t>
    </r>
  </si>
  <si>
    <r>
      <rPr>
        <sz val="9"/>
        <color rgb="FF1A1A2E"/>
        <rFont val="DejaVu Sans"/>
        <family val="2"/>
      </rPr>
      <t xml:space="preserve">㈜무주덕유산리조트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이중근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이종혁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</si>
  <si>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https://www.golfzoncounty.com/</t>
  </si>
  <si>
    <t xml:space="preserve">063-322-9000</t>
  </si>
  <si>
    <r>
      <rPr>
        <b val="true"/>
        <sz val="9"/>
        <color rgb="FF1A1A2E"/>
        <rFont val="DejaVu Sans"/>
        <family val="2"/>
      </rPr>
      <t xml:space="preserve">석정힐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</si>
  <si>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고창군 고창읍 석정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192</t>
    </r>
  </si>
  <si>
    <r>
      <rPr>
        <sz val="9"/>
        <color rgb="FF1A1A2E"/>
        <rFont val="DejaVu Sans"/>
        <family val="2"/>
      </rPr>
      <t xml:space="preserve">석정레저㈜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김혜성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</si>
  <si>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써미트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</si>
  <si>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진안군 부귀면 부귀로 </t>
    </r>
    <r>
      <rPr>
        <sz val="9"/>
        <color rgb="FF1A1A2E"/>
        <rFont val="DejaVu Sans"/>
        <family val="2"/>
        <charset val="1"/>
      </rPr>
      <t xml:space="preserve">72-161</t>
    </r>
  </si>
  <si>
    <r>
      <rPr>
        <sz val="9"/>
        <color rgb="FF1A1A2E"/>
        <rFont val="DejaVu Sans"/>
        <family val="2"/>
      </rPr>
      <t xml:space="preserve">㈜써미트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정순례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</si>
  <si>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아네스빌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</si>
  <si>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김제시 황산면 높은메길 </t>
    </r>
    <r>
      <rPr>
        <sz val="9"/>
        <color rgb="FF1A1A2E"/>
        <rFont val="DejaVu Sans"/>
        <family val="2"/>
        <charset val="1"/>
      </rPr>
      <t xml:space="preserve">160-39</t>
    </r>
  </si>
  <si>
    <r>
      <rPr>
        <sz val="9"/>
        <color rgb="FF1A1A2E"/>
        <rFont val="DejaVu Sans"/>
        <family val="2"/>
      </rPr>
      <t xml:space="preserve">유한책인회사벽원레저개발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이우복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</si>
  <si>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에스페란사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</si>
  <si>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전라북도 김제시 금구면 낙산로 </t>
    </r>
    <r>
      <rPr>
        <sz val="9"/>
        <color rgb="FF1A1A2E"/>
        <rFont val="DejaVu Sans"/>
        <family val="2"/>
        <charset val="1"/>
      </rPr>
      <t xml:space="preserve">120</t>
    </r>
  </si>
  <si>
    <r>
      <rPr>
        <sz val="9"/>
        <color rgb="FF1A1A2E"/>
        <rFont val="DejaVu Sans"/>
        <family val="2"/>
      </rPr>
      <t xml:space="preserve">에스페란사</t>
    </r>
    <r>
      <rPr>
        <sz val="9"/>
        <color rgb="FF1A1A2E"/>
        <rFont val="DejaVu Sans"/>
        <family val="2"/>
        <charset val="1"/>
      </rPr>
      <t xml:space="preserve">GC(</t>
    </r>
    <r>
      <rPr>
        <sz val="9"/>
        <color rgb="FF1A1A2E"/>
        <rFont val="DejaVu Sans"/>
        <family val="2"/>
      </rPr>
      <t xml:space="preserve">정양기외</t>
    </r>
    <r>
      <rPr>
        <sz val="9"/>
        <color rgb="FF1A1A2E"/>
        <rFont val="DejaVu Sans"/>
        <family val="2"/>
        <charset val="1"/>
      </rPr>
      <t xml:space="preserve">2)</t>
    </r>
  </si>
  <si>
    <t xml:space="preserve">웅포컨트리클럽</t>
  </si>
  <si>
    <r>
      <rPr>
        <sz val="9"/>
        <color rgb="FF1A1A2E"/>
        <rFont val="DejaVu Sans"/>
        <family val="2"/>
      </rPr>
      <t xml:space="preserve">㈜베어포트리조트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박재형</t>
    </r>
    <r>
      <rPr>
        <sz val="9"/>
        <color rgb="FF1A1A2E"/>
        <rFont val="DejaVu Sans"/>
        <family val="2"/>
        <charset val="1"/>
      </rPr>
      <t xml:space="preserve">)</t>
    </r>
  </si>
  <si>
    <t xml:space="preserve">익산컨트리클럽</t>
  </si>
  <si>
    <r>
      <rPr>
        <sz val="9"/>
        <color rgb="FF1A1A2E"/>
        <rFont val="DejaVu Sans"/>
        <family val="2"/>
      </rPr>
      <t xml:space="preserve">전라북도 익산시 무왕로</t>
    </r>
    <r>
      <rPr>
        <sz val="9"/>
        <color rgb="FF1A1A2E"/>
        <rFont val="DejaVu Sans"/>
        <family val="2"/>
        <charset val="1"/>
      </rPr>
      <t xml:space="preserve">38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111</t>
    </r>
  </si>
  <si>
    <r>
      <rPr>
        <sz val="9"/>
        <color rgb="FF1A1A2E"/>
        <rFont val="DejaVu Sans"/>
        <family val="2"/>
      </rPr>
      <t xml:space="preserve">익산관광개발㈜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안정현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</si>
  <si>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장수골프리조트</t>
  </si>
  <si>
    <r>
      <rPr>
        <sz val="9"/>
        <color rgb="FF1A1A2E"/>
        <rFont val="DejaVu Sans"/>
        <family val="2"/>
      </rPr>
      <t xml:space="preserve">전라북도 장수군 계남면 장안산로 </t>
    </r>
    <r>
      <rPr>
        <sz val="9"/>
        <color rgb="FF1A1A2E"/>
        <rFont val="DejaVu Sans"/>
        <family val="2"/>
        <charset val="1"/>
      </rPr>
      <t xml:space="preserve">303</t>
    </r>
  </si>
  <si>
    <r>
      <rPr>
        <sz val="9"/>
        <color rgb="FF1A1A2E"/>
        <rFont val="DejaVu Sans"/>
        <family val="2"/>
      </rPr>
      <t xml:space="preserve">장수레저㈜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박평섭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</si>
  <si>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전주샹그릴라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</si>
  <si>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임실군 신덕면 수지로 </t>
    </r>
    <r>
      <rPr>
        <sz val="9"/>
        <color rgb="FF1A1A2E"/>
        <rFont val="DejaVu Sans"/>
        <family val="2"/>
        <charset val="1"/>
      </rPr>
      <t xml:space="preserve">559-90</t>
    </r>
  </si>
  <si>
    <r>
      <rPr>
        <sz val="9"/>
        <color rgb="FF1A1A2E"/>
        <rFont val="DejaVu Sans"/>
        <family val="2"/>
      </rPr>
      <t xml:space="preserve">광산관광개발㈜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최영범</t>
    </r>
    <r>
      <rPr>
        <sz val="9"/>
        <color rgb="FF1A1A2E"/>
        <rFont val="DejaVu Sans"/>
        <family val="2"/>
        <charset val="1"/>
      </rPr>
      <t xml:space="preserve">)</t>
    </r>
  </si>
  <si>
    <t xml:space="preserve">전주월드컵골프장</t>
  </si>
  <si>
    <r>
      <rPr>
        <sz val="9"/>
        <color rgb="FF1A1A2E"/>
        <rFont val="DejaVu Sans"/>
        <family val="2"/>
      </rPr>
      <t xml:space="preserve">전라북도 전주시 덕진구 온고을로 </t>
    </r>
    <r>
      <rPr>
        <sz val="9"/>
        <color rgb="FF1A1A2E"/>
        <rFont val="DejaVu Sans"/>
        <family val="2"/>
        <charset val="1"/>
      </rPr>
      <t xml:space="preserve">672</t>
    </r>
  </si>
  <si>
    <r>
      <rPr>
        <sz val="9"/>
        <color rgb="FF1A1A2E"/>
        <rFont val="DejaVu Sans"/>
        <family val="2"/>
      </rPr>
      <t xml:space="preserve">전주시장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전주시설공단</t>
    </r>
    <r>
      <rPr>
        <sz val="9"/>
        <color rgb="FF1A1A2E"/>
        <rFont val="DejaVu Sans"/>
        <family val="2"/>
        <charset val="1"/>
      </rPr>
      <t xml:space="preserve">)</t>
    </r>
  </si>
  <si>
    <t xml:space="preserve">케이밸리컨트리클럽</t>
  </si>
  <si>
    <r>
      <rPr>
        <sz val="9"/>
        <color rgb="FF1A1A2E"/>
        <rFont val="DejaVu Sans"/>
        <family val="2"/>
      </rPr>
      <t xml:space="preserve">전라북도 완주군 운주면 산북리 </t>
    </r>
    <r>
      <rPr>
        <sz val="9"/>
        <color rgb="FF1A1A2E"/>
        <rFont val="DejaVu Sans"/>
        <family val="2"/>
        <charset val="1"/>
      </rPr>
      <t xml:space="preserve">65-4</t>
    </r>
  </si>
  <si>
    <r>
      <rPr>
        <sz val="9"/>
        <color rgb="FF1A1A2E"/>
        <rFont val="DejaVu Sans"/>
        <family val="2"/>
      </rPr>
      <t xml:space="preserve">스마트시티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김한주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미래로골프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송호범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</si>
  <si>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태인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</si>
  <si>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전라북도 정읍시 태인면 상증길 </t>
    </r>
    <r>
      <rPr>
        <sz val="9"/>
        <color rgb="FF1A1A2E"/>
        <rFont val="DejaVu Sans"/>
        <family val="2"/>
        <charset val="1"/>
      </rPr>
      <t xml:space="preserve">28</t>
    </r>
  </si>
  <si>
    <r>
      <rPr>
        <sz val="9"/>
        <color rgb="FF1A1A2E"/>
        <rFont val="DejaVu Sans"/>
        <family val="2"/>
      </rPr>
      <t xml:space="preserve">우진관광개발㈜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고환승</t>
    </r>
    <r>
      <rPr>
        <sz val="9"/>
        <color rgb="FF1A1A2E"/>
        <rFont val="DejaVu Sans"/>
        <family val="2"/>
        <charset val="1"/>
      </rPr>
      <t xml:space="preserve">)</t>
    </r>
  </si>
  <si>
    <t xml:space="preserve">전남</t>
  </si>
  <si>
    <r>
      <rPr>
        <b val="true"/>
        <sz val="9"/>
        <color rgb="FF1A1A2E"/>
        <rFont val="Arial"/>
        <family val="2"/>
        <charset val="1"/>
      </rPr>
      <t xml:space="preserve">JNJ</t>
    </r>
    <r>
      <rPr>
        <b val="true"/>
        <sz val="9"/>
        <color rgb="FF1A1A2E"/>
        <rFont val="DejaVu Sans"/>
        <family val="2"/>
      </rPr>
      <t xml:space="preserve">골프리조트</t>
    </r>
  </si>
  <si>
    <r>
      <rPr>
        <sz val="9"/>
        <color rgb="FF1A1A2E"/>
        <rFont val="DejaVu Sans"/>
        <family val="2"/>
      </rPr>
      <t xml:space="preserve">장흥군 장평면 제산기동로 </t>
    </r>
    <r>
      <rPr>
        <sz val="9"/>
        <color rgb="FF1A1A2E"/>
        <rFont val="DejaVu Sans"/>
        <family val="2"/>
        <charset val="1"/>
      </rPr>
      <t xml:space="preserve">326</t>
    </r>
  </si>
  <si>
    <r>
      <rPr>
        <sz val="9"/>
        <color rgb="FF1A1A2E"/>
        <rFont val="DejaVu Sans"/>
        <family val="2"/>
      </rPr>
      <t xml:space="preserve">정남진골프리조트㈜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고동현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</si>
  <si>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골드레이크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</si>
  <si>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남평읍 나주호로 </t>
    </r>
    <r>
      <rPr>
        <sz val="9"/>
        <color rgb="FF1A1A2E"/>
        <rFont val="DejaVu Sans"/>
        <family val="2"/>
        <charset val="1"/>
      </rPr>
      <t xml:space="preserve">442-129</t>
    </r>
  </si>
  <si>
    <r>
      <rPr>
        <sz val="9"/>
        <color rgb="FF1A1A2E"/>
        <rFont val="DejaVu Sans"/>
        <family val="2"/>
      </rPr>
      <t xml:space="preserve">나주관광개발㈜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임대형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</si>
  <si>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https://www.goldlake.co.kr/</t>
  </si>
  <si>
    <t xml:space="preserve">031-333-3001</t>
  </si>
  <si>
    <t xml:space="preserve">골프존카운티 순천</t>
  </si>
  <si>
    <r>
      <rPr>
        <sz val="9"/>
        <color rgb="FF1A1A2E"/>
        <rFont val="DejaVu Sans"/>
        <family val="2"/>
      </rPr>
      <t xml:space="preserve">순천시 주암면 행정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77</t>
    </r>
  </si>
  <si>
    <r>
      <rPr>
        <sz val="9"/>
        <color rgb="FF1A1A2E"/>
        <rFont val="DejaVu Sans"/>
        <family val="2"/>
      </rPr>
      <t xml:space="preserve">㈜레이크힐스순천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서상현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</si>
  <si>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광주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</si>
  <si>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곡성군 옥과면 입면로 </t>
    </r>
    <r>
      <rPr>
        <sz val="9"/>
        <color rgb="FF1A1A2E"/>
        <rFont val="DejaVu Sans"/>
        <family val="2"/>
        <charset val="1"/>
      </rPr>
      <t xml:space="preserve">455</t>
    </r>
  </si>
  <si>
    <r>
      <rPr>
        <sz val="9"/>
        <color rgb="FF1A1A2E"/>
        <rFont val="DejaVu Sans"/>
        <family val="2"/>
      </rPr>
      <t xml:space="preserve">광주관광개발㈜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고혁주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류연진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</si>
  <si>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나주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</si>
  <si>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공산면 상방신포길 </t>
    </r>
    <r>
      <rPr>
        <sz val="9"/>
        <color rgb="FF1A1A2E"/>
        <rFont val="DejaVu Sans"/>
        <family val="2"/>
        <charset val="1"/>
      </rPr>
      <t xml:space="preserve">154-32</t>
    </r>
  </si>
  <si>
    <r>
      <rPr>
        <sz val="9"/>
        <color rgb="FF1A1A2E"/>
        <rFont val="DejaVu Sans"/>
        <family val="2"/>
      </rPr>
      <t xml:space="preserve">㈜나주컨트리클럽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김천종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</si>
  <si>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나주힐스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</si>
  <si>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공산면 삼방신포길 </t>
    </r>
    <r>
      <rPr>
        <sz val="9"/>
        <color rgb="FF1A1A2E"/>
        <rFont val="DejaVu Sans"/>
        <family val="2"/>
        <charset val="1"/>
      </rPr>
      <t xml:space="preserve">160-27</t>
    </r>
  </si>
  <si>
    <r>
      <rPr>
        <sz val="9"/>
        <color rgb="FF1A1A2E"/>
        <rFont val="DejaVu Sans"/>
        <family val="2"/>
      </rPr>
      <t xml:space="preserve">나주수목원㈜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김태식</t>
    </r>
    <r>
      <rPr>
        <sz val="9"/>
        <color rgb="FF1A1A2E"/>
        <rFont val="DejaVu Sans"/>
        <family val="2"/>
        <charset val="1"/>
      </rPr>
      <t xml:space="preserve">)</t>
    </r>
  </si>
  <si>
    <t xml:space="preserve">다산베아채 골프앤리조트</t>
  </si>
  <si>
    <r>
      <rPr>
        <sz val="9"/>
        <color rgb="FF1A1A2E"/>
        <rFont val="DejaVu Sans"/>
        <family val="2"/>
      </rPr>
      <t xml:space="preserve">강진군 도암면 학장리 </t>
    </r>
    <r>
      <rPr>
        <sz val="9"/>
        <color rgb="FF1A1A2E"/>
        <rFont val="DejaVu Sans"/>
        <family val="2"/>
        <charset val="1"/>
      </rPr>
      <t xml:space="preserve">87-1</t>
    </r>
  </si>
  <si>
    <r>
      <rPr>
        <sz val="9"/>
        <color rgb="FF1A1A2E"/>
        <rFont val="DejaVu Sans"/>
        <family val="2"/>
      </rPr>
      <t xml:space="preserve">다산배아채컨트리클럽㈜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이애자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</si>
  <si>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담양레이나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</si>
  <si>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담양군 금성면 깊은실길 </t>
    </r>
    <r>
      <rPr>
        <sz val="9"/>
        <color rgb="FF1A1A2E"/>
        <rFont val="DejaVu Sans"/>
        <family val="2"/>
        <charset val="1"/>
      </rPr>
      <t xml:space="preserve">169</t>
    </r>
  </si>
  <si>
    <r>
      <rPr>
        <sz val="9"/>
        <color rgb="FF1A1A2E"/>
        <rFont val="DejaVu Sans"/>
        <family val="2"/>
      </rPr>
      <t xml:space="preserve">에이취에이취레저㈜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차성만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</si>
  <si>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디오션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</si>
  <si>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여수시 화양면 장수 암포로 </t>
    </r>
    <r>
      <rPr>
        <sz val="9"/>
        <color rgb="FF1A1A2E"/>
        <rFont val="DejaVu Sans"/>
        <family val="2"/>
        <charset val="1"/>
      </rPr>
      <t xml:space="preserve">142</t>
    </r>
  </si>
  <si>
    <r>
      <rPr>
        <sz val="9"/>
        <color rgb="FF1A1A2E"/>
        <rFont val="DejaVu Sans"/>
        <family val="2"/>
      </rPr>
      <t xml:space="preserve">일상해양산업㈜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김종관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</si>
  <si>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무등산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</si>
  <si>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화순읍 오성로 </t>
    </r>
    <r>
      <rPr>
        <sz val="9"/>
        <color rgb="FF1A1A2E"/>
        <rFont val="DejaVu Sans"/>
        <family val="2"/>
        <charset val="1"/>
      </rPr>
      <t xml:space="preserve">292-90</t>
    </r>
  </si>
  <si>
    <r>
      <rPr>
        <sz val="9"/>
        <color rgb="FF1A1A2E"/>
        <rFont val="DejaVu Sans"/>
        <family val="2"/>
      </rPr>
      <t xml:space="preserve">동광레저개발㈜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박만주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</si>
  <si>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무안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</si>
  <si>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무안군 청계면 서호로 </t>
    </r>
    <r>
      <rPr>
        <sz val="9"/>
        <color rgb="FF1A1A2E"/>
        <rFont val="DejaVu Sans"/>
        <family val="2"/>
        <charset val="1"/>
      </rPr>
      <t xml:space="preserve">162</t>
    </r>
  </si>
  <si>
    <r>
      <rPr>
        <sz val="9"/>
        <color rgb="FF1A1A2E"/>
        <rFont val="DejaVu Sans"/>
        <family val="2"/>
      </rPr>
      <t xml:space="preserve">남화산업㈜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최재훈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최영곤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</si>
  <si>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백양우리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</si>
  <si>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장성군 북이면 봉암로 </t>
    </r>
    <r>
      <rPr>
        <sz val="9"/>
        <color rgb="FF1A1A2E"/>
        <rFont val="DejaVu Sans"/>
        <family val="2"/>
        <charset val="1"/>
      </rPr>
      <t xml:space="preserve">1574</t>
    </r>
  </si>
  <si>
    <r>
      <rPr>
        <sz val="9"/>
        <color rgb="FF1A1A2E"/>
        <rFont val="DejaVu Sans"/>
        <family val="2"/>
      </rPr>
      <t xml:space="preserve">덕승개발㈜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김승룡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</si>
  <si>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보성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</si>
  <si>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보성군 조성면 조성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338</t>
    </r>
  </si>
  <si>
    <r>
      <rPr>
        <sz val="9"/>
        <color rgb="FF1A1A2E"/>
        <rFont val="DejaVu Sans"/>
        <family val="2"/>
      </rPr>
      <t xml:space="preserve">㈜와이엔텍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김태영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</si>
  <si>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보성에덴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</si>
  <si>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보성군 보성읍 원봉리 </t>
    </r>
    <r>
      <rPr>
        <sz val="9"/>
        <color rgb="FF1A1A2E"/>
        <rFont val="DejaVu Sans"/>
        <family val="2"/>
        <charset val="1"/>
      </rPr>
      <t xml:space="preserve">498</t>
    </r>
  </si>
  <si>
    <r>
      <rPr>
        <sz val="9"/>
        <color rgb="FF1A1A2E"/>
        <rFont val="DejaVu Sans"/>
        <family val="2"/>
      </rPr>
      <t xml:space="preserve">안형상 외 </t>
    </r>
    <r>
      <rPr>
        <sz val="9"/>
        <color rgb="FF1A1A2E"/>
        <rFont val="DejaVu Sans"/>
        <family val="2"/>
        <charset val="1"/>
      </rPr>
      <t xml:space="preserve">2</t>
    </r>
  </si>
  <si>
    <r>
      <rPr>
        <b val="true"/>
        <sz val="9"/>
        <color rgb="FF1A1A2E"/>
        <rFont val="DejaVu Sans"/>
        <family val="2"/>
      </rPr>
      <t xml:space="preserve">사우스링스영암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</si>
  <si>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영암군 삼호읍 에프원로 </t>
    </r>
    <r>
      <rPr>
        <sz val="9"/>
        <color rgb="FF1A1A2E"/>
        <rFont val="DejaVu Sans"/>
        <family val="2"/>
        <charset val="1"/>
      </rPr>
      <t xml:space="preserve">121-1</t>
    </r>
  </si>
  <si>
    <r>
      <rPr>
        <sz val="9"/>
        <color rgb="FF1A1A2E"/>
        <rFont val="DejaVu Sans"/>
        <family val="2"/>
      </rPr>
      <t xml:space="preserve">썬카운티㈜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한길수</t>
    </r>
    <r>
      <rPr>
        <sz val="9"/>
        <color rgb="FF1A1A2E"/>
        <rFont val="DejaVu Sans"/>
        <family val="2"/>
        <charset val="1"/>
      </rPr>
      <t xml:space="preserve">)</t>
    </r>
  </si>
  <si>
    <t xml:space="preserve">세이지우드여수경도</t>
  </si>
  <si>
    <r>
      <rPr>
        <sz val="9"/>
        <color rgb="FF1A1A2E"/>
        <rFont val="DejaVu Sans"/>
        <family val="2"/>
      </rPr>
      <t xml:space="preserve">여수시 대경도길 </t>
    </r>
    <r>
      <rPr>
        <sz val="9"/>
        <color rgb="FF1A1A2E"/>
        <rFont val="DejaVu Sans"/>
        <family val="2"/>
        <charset val="1"/>
      </rPr>
      <t xml:space="preserve">33</t>
    </r>
  </si>
  <si>
    <r>
      <rPr>
        <b val="true"/>
        <sz val="9"/>
        <color rgb="FF1A1A2E"/>
        <rFont val="DejaVu Sans"/>
        <family val="2"/>
      </rPr>
      <t xml:space="preserve">솔라시도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</si>
  <si>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해남군 산이면 산이로 </t>
    </r>
    <r>
      <rPr>
        <sz val="9"/>
        <color rgb="FF1A1A2E"/>
        <rFont val="DejaVu Sans"/>
        <family val="2"/>
        <charset val="1"/>
      </rPr>
      <t xml:space="preserve">2247</t>
    </r>
  </si>
  <si>
    <r>
      <rPr>
        <sz val="9"/>
        <color rgb="FF1A1A2E"/>
        <rFont val="DejaVu Sans"/>
        <family val="2"/>
      </rPr>
      <t xml:space="preserve">피앤지에이개발㈜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이양규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</si>
  <si>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순천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</si>
  <si>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별량면 동화사길 </t>
    </r>
    <r>
      <rPr>
        <sz val="9"/>
        <color rgb="FF1A1A2E"/>
        <rFont val="DejaVu Sans"/>
        <family val="2"/>
        <charset val="1"/>
      </rPr>
      <t xml:space="preserve">85</t>
    </r>
  </si>
  <si>
    <r>
      <rPr>
        <sz val="9"/>
        <color rgb="FF1A1A2E"/>
        <rFont val="DejaVu Sans"/>
        <family val="2"/>
      </rPr>
      <t xml:space="preserve">죽산기업㈜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임종욱</t>
    </r>
    <r>
      <rPr>
        <sz val="9"/>
        <color rgb="FF1A1A2E"/>
        <rFont val="DejaVu Sans"/>
        <family val="2"/>
        <charset val="1"/>
      </rPr>
      <t xml:space="preserve">)</t>
    </r>
  </si>
  <si>
    <t xml:space="preserve">061-749-5000</t>
  </si>
  <si>
    <r>
      <rPr>
        <b val="true"/>
        <sz val="9"/>
        <color rgb="FF1A1A2E"/>
        <rFont val="DejaVu Sans"/>
        <family val="2"/>
      </rPr>
      <t xml:space="preserve">순천부영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</si>
  <si>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해룡면 신대로 </t>
    </r>
    <r>
      <rPr>
        <sz val="9"/>
        <color rgb="FF1A1A2E"/>
        <rFont val="DejaVu Sans"/>
        <family val="2"/>
        <charset val="1"/>
      </rPr>
      <t xml:space="preserve">188</t>
    </r>
  </si>
  <si>
    <r>
      <rPr>
        <sz val="9"/>
        <color rgb="FF1A1A2E"/>
        <rFont val="DejaVu Sans"/>
        <family val="2"/>
      </rPr>
      <t xml:space="preserve">㈜부영주택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최양환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</si>
  <si>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승주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</si>
  <si>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상사면 오실길 </t>
    </r>
    <r>
      <rPr>
        <sz val="9"/>
        <color rgb="FF1A1A2E"/>
        <rFont val="DejaVu Sans"/>
        <family val="2"/>
        <charset val="1"/>
      </rPr>
      <t xml:space="preserve">333</t>
    </r>
  </si>
  <si>
    <r>
      <rPr>
        <sz val="9"/>
        <color rgb="FF1A1A2E"/>
        <rFont val="DejaVu Sans"/>
        <family val="2"/>
      </rPr>
      <t xml:space="preserve">㈜포스코오앤엠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김정수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</si>
  <si>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아크로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</si>
  <si>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영암군 금정면 안적동길 </t>
    </r>
    <r>
      <rPr>
        <sz val="9"/>
        <color rgb="FF1A1A2E"/>
        <rFont val="DejaVu Sans"/>
        <family val="2"/>
        <charset val="1"/>
      </rPr>
      <t xml:space="preserve">403</t>
    </r>
  </si>
  <si>
    <r>
      <rPr>
        <sz val="9"/>
        <color rgb="FF1A1A2E"/>
        <rFont val="DejaVu Sans"/>
        <family val="2"/>
      </rPr>
      <t xml:space="preserve">영암관광개발㈜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박현재</t>
    </r>
    <r>
      <rPr>
        <sz val="9"/>
        <color rgb="FF1A1A2E"/>
        <rFont val="DejaVu Sans"/>
        <family val="2"/>
        <charset val="1"/>
      </rPr>
      <t xml:space="preserve">)</t>
    </r>
  </si>
  <si>
    <t xml:space="preserve">에콜리안영광골프장</t>
  </si>
  <si>
    <r>
      <rPr>
        <sz val="9"/>
        <color rgb="FF1A1A2E"/>
        <rFont val="DejaVu Sans"/>
        <family val="2"/>
      </rPr>
      <t xml:space="preserve">영광군 영광읍 월현로 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40</t>
    </r>
  </si>
  <si>
    <r>
      <rPr>
        <sz val="9"/>
        <color rgb="FF1A1A2E"/>
        <rFont val="DejaVu Sans"/>
        <family val="2"/>
      </rPr>
      <t xml:space="preserve">영광군수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국민체육진흥공단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</si>
  <si>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여수시티파크골프</t>
    </r>
    <r>
      <rPr>
        <b val="true"/>
        <sz val="9"/>
        <color rgb="FF1A1A2E"/>
        <rFont val="DejaVu Sans"/>
        <family val="2"/>
        <charset val="1"/>
      </rPr>
      <t xml:space="preserve">&amp;</t>
    </r>
    <r>
      <rPr>
        <b val="true"/>
        <sz val="9"/>
        <color rgb="FF1A1A2E"/>
        <rFont val="DejaVu Sans"/>
        <family val="2"/>
      </rPr>
      <t xml:space="preserve">호텔</t>
    </r>
  </si>
  <si>
    <r>
      <rPr>
        <sz val="9"/>
        <color rgb="FF1A1A2E"/>
        <rFont val="DejaVu Sans"/>
        <family val="2"/>
      </rPr>
      <t xml:space="preserve">여수시 좌수영로 </t>
    </r>
    <r>
      <rPr>
        <sz val="9"/>
        <color rgb="FF1A1A2E"/>
        <rFont val="DejaVu Sans"/>
        <family val="2"/>
        <charset val="1"/>
      </rPr>
      <t xml:space="preserve">641</t>
    </r>
  </si>
  <si>
    <r>
      <rPr>
        <sz val="9"/>
        <color rgb="FF1A1A2E"/>
        <rFont val="DejaVu Sans"/>
        <family val="2"/>
      </rPr>
      <t xml:space="preserve">여수관광레저㈜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김영한</t>
    </r>
    <r>
      <rPr>
        <sz val="9"/>
        <color rgb="FF1A1A2E"/>
        <rFont val="DejaVu Sans"/>
        <family val="2"/>
        <charset val="1"/>
      </rPr>
      <t xml:space="preserve">)</t>
    </r>
  </si>
  <si>
    <t xml:space="preserve">오시아노골프클럽</t>
  </si>
  <si>
    <r>
      <rPr>
        <sz val="9"/>
        <color rgb="FF1A1A2E"/>
        <rFont val="DejaVu Sans"/>
        <family val="2"/>
      </rPr>
      <t xml:space="preserve">해남군 화원면 시아로 </t>
    </r>
    <r>
      <rPr>
        <sz val="9"/>
        <color rgb="FF1A1A2E"/>
        <rFont val="DejaVu Sans"/>
        <family val="2"/>
        <charset val="1"/>
      </rPr>
      <t xml:space="preserve">224</t>
    </r>
  </si>
  <si>
    <r>
      <rPr>
        <sz val="9"/>
        <color rgb="FF1A1A2E"/>
        <rFont val="DejaVu Sans"/>
        <family val="2"/>
      </rPr>
      <t xml:space="preserve">한국관광공사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안영배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</si>
  <si>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옥과기안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</si>
  <si>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곡성군 옥과면 입면로 </t>
    </r>
    <r>
      <rPr>
        <sz val="9"/>
        <color rgb="FF1A1A2E"/>
        <rFont val="DejaVu Sans"/>
        <family val="2"/>
        <charset val="1"/>
      </rPr>
      <t xml:space="preserve">197</t>
    </r>
  </si>
  <si>
    <r>
      <rPr>
        <sz val="9"/>
        <color rgb="FF1A1A2E"/>
        <rFont val="DejaVu Sans"/>
        <family val="2"/>
      </rPr>
      <t xml:space="preserve">경주김씨성균생원공파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기안레저㈜위탁운영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</si>
  <si>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웨스트오션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</si>
  <si>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영광군 백수읍 해안로 </t>
    </r>
    <r>
      <rPr>
        <sz val="9"/>
        <color rgb="FF1A1A2E"/>
        <rFont val="DejaVu Sans"/>
        <family val="2"/>
        <charset val="1"/>
      </rPr>
      <t xml:space="preserve">1362-70</t>
    </r>
  </si>
  <si>
    <r>
      <rPr>
        <sz val="9"/>
        <color rgb="FF1A1A2E"/>
        <rFont val="DejaVu Sans"/>
        <family val="2"/>
      </rPr>
      <t xml:space="preserve">대호관광개발㈜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윤오중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</si>
  <si>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조아밸리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</si>
  <si>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도곡면 고인돌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450</t>
    </r>
  </si>
  <si>
    <r>
      <rPr>
        <sz val="9"/>
        <color rgb="FF1A1A2E"/>
        <rFont val="DejaVu Sans"/>
        <family val="2"/>
      </rPr>
      <t xml:space="preserve">조아개발㈜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조우석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</si>
  <si>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죽향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</si>
  <si>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담양군 창평면 창평로 </t>
    </r>
    <r>
      <rPr>
        <sz val="9"/>
        <color rgb="FF1A1A2E"/>
        <rFont val="DejaVu Sans"/>
        <family val="2"/>
        <charset val="1"/>
      </rPr>
      <t xml:space="preserve">159</t>
    </r>
  </si>
  <si>
    <r>
      <rPr>
        <sz val="9"/>
        <color rgb="FF1A1A2E"/>
        <rFont val="DejaVu Sans"/>
        <family val="2"/>
      </rPr>
      <t xml:space="preserve">㈜죽향산업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한정수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</si>
  <si>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창평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</si>
  <si>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담양군 창평면 오산길 </t>
    </r>
    <r>
      <rPr>
        <sz val="9"/>
        <color rgb="FF1A1A2E"/>
        <rFont val="DejaVu Sans"/>
        <family val="2"/>
        <charset val="1"/>
      </rPr>
      <t xml:space="preserve">100</t>
    </r>
  </si>
  <si>
    <r>
      <rPr>
        <sz val="9"/>
        <color rgb="FF1A1A2E"/>
        <rFont val="DejaVu Sans"/>
        <family val="2"/>
      </rPr>
      <t xml:space="preserve">㈜담양골프랜드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김형준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</si>
  <si>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클린밸리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</si>
  <si>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무안군 청계면 동암길 </t>
    </r>
    <r>
      <rPr>
        <sz val="9"/>
        <color rgb="FF1A1A2E"/>
        <rFont val="DejaVu Sans"/>
        <family val="2"/>
        <charset val="1"/>
      </rPr>
      <t xml:space="preserve">2-200</t>
    </r>
  </si>
  <si>
    <r>
      <rPr>
        <sz val="9"/>
        <color rgb="FF1A1A2E"/>
        <rFont val="DejaVu Sans"/>
        <family val="2"/>
      </rPr>
      <t xml:space="preserve">㈜영산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조영희</t>
    </r>
    <r>
      <rPr>
        <sz val="9"/>
        <color rgb="FF1A1A2E"/>
        <rFont val="DejaVu Sans"/>
        <family val="2"/>
        <charset val="1"/>
      </rPr>
      <t xml:space="preserve">)</t>
    </r>
  </si>
  <si>
    <t xml:space="preserve">파인비치골프링크스</t>
  </si>
  <si>
    <r>
      <rPr>
        <sz val="9"/>
        <color rgb="FF1A1A2E"/>
        <rFont val="DejaVu Sans"/>
        <family val="2"/>
      </rPr>
      <t xml:space="preserve">파인비치㈜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이화영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</si>
  <si>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https://www.pinebeachcc.co.kr/</t>
  </si>
  <si>
    <t xml:space="preserve">061-530-5200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</si>
  <si>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0.60): kimcaddie, pinebeachcc.co.kr, sedaily | </t>
    </r>
    <r>
      <rPr>
        <sz val="11"/>
        <color theme="1"/>
        <rFont val="DejaVu Sans"/>
        <family val="2"/>
      </rPr>
      <t xml:space="preserve">리아스식 해안 따라 배치된 시닉 링크스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최근 금잔디로 페어웨이 재단장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여름 컨디션 안정</t>
    </r>
    <r>
      <rPr>
        <sz val="11"/>
        <color theme="1"/>
        <rFont val="DejaVu Sans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캐디피 </t>
    </r>
    <r>
      <rPr>
        <sz val="11"/>
        <color theme="1"/>
        <rFont val="DejaVu Sans"/>
        <family val="2"/>
        <charset val="1"/>
      </rPr>
      <t xml:space="preserve">15</t>
    </r>
    <r>
      <rPr>
        <sz val="11"/>
        <color theme="1"/>
        <rFont val="DejaVu Sans"/>
        <family val="2"/>
      </rPr>
      <t xml:space="preserve">만원</t>
    </r>
    <r>
      <rPr>
        <sz val="11"/>
        <color theme="1"/>
        <rFont val="DejaVu Sans"/>
        <family val="2"/>
        <charset val="1"/>
      </rPr>
      <t xml:space="preserve">, 18</t>
    </r>
    <r>
      <rPr>
        <sz val="11"/>
        <color theme="1"/>
        <rFont val="DejaVu Sans"/>
        <family val="2"/>
      </rPr>
      <t xml:space="preserve">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구체 평점 근거는 제한적이어서 전반적 명문 수준 반영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112/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102/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94/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74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</si>
  <si>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</rPr>
      <t xml:space="preserve">파인힐스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</si>
  <si>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순천시 주암면 송광사길 </t>
    </r>
    <r>
      <rPr>
        <sz val="9"/>
        <color rgb="FF1A1A2E"/>
        <rFont val="DejaVu Sans"/>
        <family val="2"/>
        <charset val="1"/>
      </rPr>
      <t xml:space="preserve">99</t>
    </r>
  </si>
  <si>
    <r>
      <rPr>
        <sz val="9"/>
        <color rgb="FF1A1A2E"/>
        <rFont val="DejaVu Sans"/>
        <family val="2"/>
      </rPr>
      <t xml:space="preserve">㈜파인힐스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이화영</t>
    </r>
    <r>
      <rPr>
        <sz val="9"/>
        <color rgb="FF1A1A2E"/>
        <rFont val="DejaVu Sans"/>
        <family val="2"/>
        <charset val="1"/>
      </rPr>
      <t xml:space="preserve">)</t>
    </r>
  </si>
  <si>
    <t xml:space="preserve">푸른솔골프클럽</t>
  </si>
  <si>
    <r>
      <rPr>
        <sz val="9"/>
        <color rgb="FF1A1A2E"/>
        <rFont val="DejaVu Sans"/>
        <family val="2"/>
      </rPr>
      <t xml:space="preserve">장성군 동화면 임정로 </t>
    </r>
    <r>
      <rPr>
        <sz val="9"/>
        <color rgb="FF1A1A2E"/>
        <rFont val="DejaVu Sans"/>
        <family val="2"/>
        <charset val="1"/>
      </rPr>
      <t xml:space="preserve">155</t>
    </r>
  </si>
  <si>
    <r>
      <rPr>
        <sz val="9"/>
        <color rgb="FF1A1A2E"/>
        <rFont val="DejaVu Sans"/>
        <family val="2"/>
      </rPr>
      <t xml:space="preserve">동화기업㈜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유순태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</si>
  <si>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함평엘리체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</si>
  <si>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함평군 학교면 서당매길 </t>
    </r>
    <r>
      <rPr>
        <sz val="9"/>
        <color rgb="FF1A1A2E"/>
        <rFont val="DejaVu Sans"/>
        <family val="2"/>
        <charset val="1"/>
      </rPr>
      <t xml:space="preserve">242</t>
    </r>
  </si>
  <si>
    <r>
      <rPr>
        <sz val="9"/>
        <color rgb="FF1A1A2E"/>
        <rFont val="DejaVu Sans"/>
        <family val="2"/>
      </rPr>
      <t xml:space="preserve">함평엘리체컨트리클럽㈜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류채봉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</si>
  <si>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함평천지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</si>
  <si>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함평군 함평읍 함장로 </t>
    </r>
    <r>
      <rPr>
        <sz val="9"/>
        <color rgb="FF1A1A2E"/>
        <rFont val="DejaVu Sans"/>
        <family val="2"/>
        <charset val="1"/>
      </rPr>
      <t xml:space="preserve">889-11</t>
    </r>
  </si>
  <si>
    <r>
      <rPr>
        <sz val="9"/>
        <color rgb="FF1A1A2E"/>
        <rFont val="DejaVu Sans"/>
        <family val="2"/>
      </rPr>
      <t xml:space="preserve">㈜지민산업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정유신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김유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</si>
  <si>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해피니스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</si>
  <si>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나주시 다도면 다도로 </t>
    </r>
    <r>
      <rPr>
        <sz val="9"/>
        <color rgb="FF1A1A2E"/>
        <rFont val="DejaVu Sans"/>
        <family val="2"/>
        <charset val="1"/>
      </rPr>
      <t xml:space="preserve">171-60</t>
    </r>
  </si>
  <si>
    <r>
      <rPr>
        <sz val="9"/>
        <color rgb="FF1A1A2E"/>
        <rFont val="DejaVu Sans"/>
        <family val="2"/>
      </rPr>
      <t xml:space="preserve">해피니스컨트리클럽㈜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차재진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</si>
  <si>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화순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</si>
  <si>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도곡면 천태로 </t>
    </r>
    <r>
      <rPr>
        <sz val="9"/>
        <color rgb="FF1A1A2E"/>
        <rFont val="DejaVu Sans"/>
        <family val="2"/>
        <charset val="1"/>
      </rPr>
      <t xml:space="preserve">1000-151</t>
    </r>
  </si>
  <si>
    <r>
      <rPr>
        <sz val="9"/>
        <color rgb="FF1A1A2E"/>
        <rFont val="DejaVu Sans"/>
        <family val="2"/>
      </rPr>
      <t xml:space="preserve">㈜화순</t>
    </r>
    <r>
      <rPr>
        <sz val="9"/>
        <color rgb="FF1A1A2E"/>
        <rFont val="DejaVu Sans"/>
        <family val="2"/>
        <charset val="1"/>
      </rPr>
      <t xml:space="preserve">CC(</t>
    </r>
    <r>
      <rPr>
        <sz val="9"/>
        <color rgb="FF1A1A2E"/>
        <rFont val="DejaVu Sans"/>
        <family val="2"/>
      </rPr>
      <t xml:space="preserve">최창식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</si>
  <si>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화순엘리체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</si>
  <si>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화순군 춘양면 장곡길 </t>
    </r>
    <r>
      <rPr>
        <sz val="9"/>
        <color rgb="FF1A1A2E"/>
        <rFont val="DejaVu Sans"/>
        <family val="2"/>
        <charset val="1"/>
      </rPr>
      <t xml:space="preserve">55</t>
    </r>
  </si>
  <si>
    <r>
      <rPr>
        <sz val="9"/>
        <color rgb="FF1A1A2E"/>
        <rFont val="DejaVu Sans"/>
        <family val="2"/>
      </rPr>
      <t xml:space="preserve">엘리체레저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유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류채봉</t>
    </r>
    <r>
      <rPr>
        <sz val="9"/>
        <color rgb="FF1A1A2E"/>
        <rFont val="DejaVu Sans"/>
        <family val="2"/>
        <charset val="1"/>
      </rPr>
      <t xml:space="preserve">)</t>
    </r>
  </si>
  <si>
    <t xml:space="preserve">광주</t>
  </si>
  <si>
    <t xml:space="preserve">빛고을컨트리클럽</t>
  </si>
  <si>
    <r>
      <rPr>
        <sz val="9"/>
        <color rgb="FF1A1A2E"/>
        <rFont val="DejaVu Sans"/>
        <family val="2"/>
      </rPr>
      <t xml:space="preserve">광주광역시 남구 효우로 </t>
    </r>
    <r>
      <rPr>
        <sz val="9"/>
        <color rgb="FF1A1A2E"/>
        <rFont val="DejaVu Sans"/>
        <family val="2"/>
        <charset val="1"/>
      </rPr>
      <t xml:space="preserve">153(</t>
    </r>
    <r>
      <rPr>
        <sz val="9"/>
        <color rgb="FF1A1A2E"/>
        <rFont val="DejaVu Sans"/>
        <family val="2"/>
      </rPr>
      <t xml:space="preserve">노대동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</si>
  <si>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광주광역시도시공사사장</t>
  </si>
  <si>
    <t xml:space="preserve">어등산컨트리클럽</t>
  </si>
  <si>
    <r>
      <rPr>
        <sz val="9"/>
        <color rgb="FF1A1A2E"/>
        <rFont val="DejaVu Sans"/>
        <family val="2"/>
      </rPr>
      <t xml:space="preserve">광주광역시 광산구 무진대로 </t>
    </r>
    <r>
      <rPr>
        <sz val="9"/>
        <color rgb="FF1A1A2E"/>
        <rFont val="DejaVu Sans"/>
        <family val="2"/>
        <charset val="1"/>
      </rPr>
      <t xml:space="preserve">31(</t>
    </r>
    <r>
      <rPr>
        <sz val="9"/>
        <color rgb="FF1A1A2E"/>
        <rFont val="DejaVu Sans"/>
        <family val="2"/>
      </rPr>
      <t xml:space="preserve">운수동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</si>
  <si>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어등산리조트대표이사 고재철</t>
    </r>
  </si>
  <si>
    <t xml:space="preserve">에콜리안광산골프장</t>
  </si>
  <si>
    <r>
      <rPr>
        <sz val="9"/>
        <color rgb="FF1A1A2E"/>
        <rFont val="DejaVu Sans"/>
        <family val="2"/>
      </rPr>
      <t xml:space="preserve">광주광역시 광산구 오목내길 </t>
    </r>
    <r>
      <rPr>
        <sz val="9"/>
        <color rgb="FF1A1A2E"/>
        <rFont val="DejaVu Sans"/>
        <family val="2"/>
        <charset val="1"/>
      </rPr>
      <t xml:space="preserve">26(</t>
    </r>
    <r>
      <rPr>
        <sz val="9"/>
        <color rgb="FF1A1A2E"/>
        <rFont val="DejaVu Sans"/>
        <family val="2"/>
      </rPr>
      <t xml:space="preserve">연산동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</si>
  <si>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국민체육진흥공단이사장</t>
  </si>
  <si>
    <t xml:space="preserve">https://www.ecolian.or.kr/</t>
  </si>
  <si>
    <t xml:space="preserve">062-430-0800</t>
  </si>
  <si>
    <t xml:space="preserve">경북</t>
  </si>
  <si>
    <r>
      <rPr>
        <sz val="9"/>
        <color rgb="FF1A1A2E"/>
        <rFont val="DejaVu Sans"/>
        <family val="2"/>
      </rPr>
      <t xml:space="preserve">의성군 봉양면 농공마전길 </t>
    </r>
    <r>
      <rPr>
        <sz val="9"/>
        <color rgb="FF1A1A2E"/>
        <rFont val="DejaVu Sans"/>
        <family val="2"/>
        <charset val="1"/>
      </rPr>
      <t xml:space="preserve">125-78</t>
    </r>
  </si>
  <si>
    <t xml:space="preserve">대지개발㈜ 문병동</t>
  </si>
  <si>
    <t xml:space="preserve">가든골프클럽</t>
  </si>
  <si>
    <r>
      <rPr>
        <sz val="9"/>
        <color rgb="FF1A1A2E"/>
        <rFont val="DejaVu Sans"/>
        <family val="2"/>
      </rPr>
      <t xml:space="preserve">경주시 불국로 </t>
    </r>
    <r>
      <rPr>
        <sz val="9"/>
        <color rgb="FF1A1A2E"/>
        <rFont val="DejaVu Sans"/>
        <family val="2"/>
        <charset val="1"/>
      </rPr>
      <t xml:space="preserve">289-17(</t>
    </r>
    <r>
      <rPr>
        <sz val="9"/>
        <color rgb="FF1A1A2E"/>
        <rFont val="DejaVu Sans"/>
        <family val="2"/>
      </rPr>
      <t xml:space="preserve">마동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</si>
  <si>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㈜코오롱글로텍 김영범</t>
  </si>
  <si>
    <r>
      <rPr>
        <b val="true"/>
        <sz val="9"/>
        <color rgb="FF1A1A2E"/>
        <rFont val="DejaVu Sans"/>
        <family val="2"/>
      </rPr>
      <t xml:space="preserve">경주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</si>
  <si>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DejaVu Sans"/>
        <family val="2"/>
        <charset val="1"/>
      </rPr>
      <t xml:space="preserve">182-98</t>
    </r>
  </si>
  <si>
    <t xml:space="preserve">보문개발㈜ 박흥국</t>
  </si>
  <si>
    <r>
      <rPr>
        <b val="true"/>
        <sz val="9"/>
        <color rgb="FF1A1A2E"/>
        <rFont val="DejaVu Sans"/>
        <family val="2"/>
      </rPr>
      <t xml:space="preserve">경주신라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</si>
  <si>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DejaVu Sans"/>
        <family val="2"/>
        <charset val="1"/>
      </rPr>
      <t xml:space="preserve">319</t>
    </r>
  </si>
  <si>
    <r>
      <rPr>
        <sz val="9"/>
        <color rgb="FF1A1A2E"/>
        <rFont val="DejaVu Sans"/>
        <family val="2"/>
      </rPr>
      <t xml:space="preserve">㈜경주신라</t>
    </r>
    <r>
      <rPr>
        <sz val="9"/>
        <color rgb="FF1A1A2E"/>
        <rFont val="DejaVu Sans"/>
        <family val="2"/>
        <charset val="1"/>
      </rPr>
      <t xml:space="preserve">CC </t>
    </r>
    <r>
      <rPr>
        <sz val="9"/>
        <color rgb="FF1A1A2E"/>
        <rFont val="DejaVu Sans"/>
        <family val="2"/>
      </rPr>
      <t xml:space="preserve">김철년</t>
    </r>
  </si>
  <si>
    <t xml:space="preserve">골프존카운티 감포</t>
  </si>
  <si>
    <r>
      <rPr>
        <sz val="9"/>
        <color rgb="FF1A1A2E"/>
        <rFont val="DejaVu Sans"/>
        <family val="2"/>
      </rPr>
      <t xml:space="preserve">경주시 감포읍 동해안로 </t>
    </r>
    <r>
      <rPr>
        <sz val="9"/>
        <color rgb="FF1A1A2E"/>
        <rFont val="DejaVu Sans"/>
        <family val="2"/>
        <charset val="1"/>
      </rPr>
      <t xml:space="preserve">1819-59</t>
    </r>
  </si>
  <si>
    <t xml:space="preserve">㈜지씨감포 서상현</t>
  </si>
  <si>
    <t xml:space="preserve">골프존카운티 구미</t>
  </si>
  <si>
    <r>
      <rPr>
        <sz val="9"/>
        <color rgb="FF1A1A2E"/>
        <rFont val="DejaVu Sans"/>
        <family val="2"/>
      </rPr>
      <t xml:space="preserve">구미시 산동면 강동로 </t>
    </r>
    <r>
      <rPr>
        <sz val="9"/>
        <color rgb="FF1A1A2E"/>
        <rFont val="DejaVu Sans"/>
        <family val="2"/>
        <charset val="1"/>
      </rPr>
      <t xml:space="preserve">953-74</t>
    </r>
  </si>
  <si>
    <t xml:space="preserve">㈜지씨구미 서상현</t>
  </si>
  <si>
    <t xml:space="preserve">골프존카운티 선산</t>
  </si>
  <si>
    <r>
      <rPr>
        <sz val="9"/>
        <color rgb="FF1A1A2E"/>
        <rFont val="DejaVu Sans"/>
        <family val="2"/>
      </rPr>
      <t xml:space="preserve">구미시 산동면 강동로 </t>
    </r>
    <r>
      <rPr>
        <sz val="9"/>
        <color rgb="FF1A1A2E"/>
        <rFont val="DejaVu Sans"/>
        <family val="2"/>
        <charset val="1"/>
      </rPr>
      <t xml:space="preserve">953-73</t>
    </r>
  </si>
  <si>
    <t xml:space="preserve">㈜지씨선산 서상현</t>
  </si>
  <si>
    <r>
      <rPr>
        <b val="true"/>
        <sz val="9"/>
        <color rgb="FF1A1A2E"/>
        <rFont val="DejaVu Sans"/>
        <family val="2"/>
      </rPr>
      <t xml:space="preserve">구니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</si>
  <si>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군위군 군위읍 도군로 </t>
    </r>
    <r>
      <rPr>
        <sz val="9"/>
        <color rgb="FF1A1A2E"/>
        <rFont val="DejaVu Sans"/>
        <family val="2"/>
        <charset val="1"/>
      </rPr>
      <t xml:space="preserve">2450</t>
    </r>
  </si>
  <si>
    <t xml:space="preserve">케이알스포츠㈜ 유재봉</t>
  </si>
  <si>
    <r>
      <rPr>
        <b val="true"/>
        <sz val="9"/>
        <color rgb="FF1A1A2E"/>
        <rFont val="DejaVu Sans"/>
        <family val="2"/>
      </rPr>
      <t xml:space="preserve">구미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</si>
  <si>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구미시 장천면 송백로 </t>
    </r>
    <r>
      <rPr>
        <sz val="9"/>
        <color rgb="FF1A1A2E"/>
        <rFont val="DejaVu Sans"/>
        <family val="2"/>
        <charset val="1"/>
      </rPr>
      <t xml:space="preserve">229</t>
    </r>
  </si>
  <si>
    <t xml:space="preserve">신구미개발㈜ 박병웅</t>
  </si>
  <si>
    <r>
      <rPr>
        <b val="true"/>
        <sz val="9"/>
        <color rgb="FF1A1A2E"/>
        <rFont val="DejaVu Sans"/>
        <family val="2"/>
      </rPr>
      <t xml:space="preserve">군위오펠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</si>
  <si>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군위군 산성면 부흥로 </t>
    </r>
    <r>
      <rPr>
        <sz val="9"/>
        <color rgb="FF1A1A2E"/>
        <rFont val="DejaVu Sans"/>
        <family val="2"/>
        <charset val="1"/>
      </rPr>
      <t xml:space="preserve">227</t>
    </r>
  </si>
  <si>
    <t xml:space="preserve">신우개발㈜ 이정익</t>
  </si>
  <si>
    <r>
      <rPr>
        <b val="true"/>
        <sz val="9"/>
        <color rgb="FF1A1A2E"/>
        <rFont val="DejaVu Sans"/>
        <family val="2"/>
      </rPr>
      <t xml:space="preserve">그레이스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</si>
  <si>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청도군 이서면 서녁길 </t>
    </r>
    <r>
      <rPr>
        <sz val="9"/>
        <color rgb="FF1A1A2E"/>
        <rFont val="DejaVu Sans"/>
        <family val="2"/>
        <charset val="1"/>
      </rPr>
      <t xml:space="preserve">91</t>
    </r>
  </si>
  <si>
    <t xml:space="preserve">㈜태왕아너스 이명숙</t>
  </si>
  <si>
    <r>
      <rPr>
        <b val="true"/>
        <sz val="9"/>
        <color rgb="FF1A1A2E"/>
        <rFont val="DejaVu Sans"/>
        <family val="2"/>
      </rPr>
      <t xml:space="preserve">남안동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</si>
  <si>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안동시 일직면 풍일로 </t>
    </r>
    <r>
      <rPr>
        <sz val="9"/>
        <color rgb="FF1A1A2E"/>
        <rFont val="DejaVu Sans"/>
        <family val="2"/>
        <charset val="1"/>
      </rPr>
      <t xml:space="preserve">1887</t>
    </r>
  </si>
  <si>
    <t xml:space="preserve">디아이개발㈜ 박춘영</t>
  </si>
  <si>
    <t xml:space="preserve">뉴스프링빌Ⅱ</t>
  </si>
  <si>
    <r>
      <rPr>
        <sz val="9"/>
        <color rgb="FF1A1A2E"/>
        <rFont val="DejaVu Sans"/>
        <family val="2"/>
      </rPr>
      <t xml:space="preserve">상주시 모서면 백화로 </t>
    </r>
    <r>
      <rPr>
        <sz val="9"/>
        <color rgb="FF1A1A2E"/>
        <rFont val="DejaVu Sans"/>
        <family val="2"/>
        <charset val="1"/>
      </rPr>
      <t xml:space="preserve">40</t>
    </r>
  </si>
  <si>
    <t xml:space="preserve">㈜동승레저 박용민</t>
  </si>
  <si>
    <r>
      <rPr>
        <b val="true"/>
        <sz val="9"/>
        <color rgb="FF1A1A2E"/>
        <rFont val="DejaVu Sans"/>
        <family val="2"/>
      </rPr>
      <t xml:space="preserve">다산 샤인힐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</si>
  <si>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고령군 다산면 벌지로 </t>
    </r>
    <r>
      <rPr>
        <sz val="9"/>
        <color rgb="FF1A1A2E"/>
        <rFont val="DejaVu Sans"/>
        <family val="2"/>
        <charset val="1"/>
      </rPr>
      <t xml:space="preserve">175-115</t>
    </r>
  </si>
  <si>
    <t xml:space="preserve">두강건설㈜ 이정익</t>
  </si>
  <si>
    <r>
      <rPr>
        <b val="true"/>
        <sz val="9"/>
        <color rgb="FF1A1A2E"/>
        <rFont val="DejaVu Sans"/>
        <family val="2"/>
      </rPr>
      <t xml:space="preserve">대가야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</si>
  <si>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고령군 대가야읍 대가야로 </t>
    </r>
    <r>
      <rPr>
        <sz val="9"/>
        <color rgb="FF1A1A2E"/>
        <rFont val="DejaVu Sans"/>
        <family val="2"/>
        <charset val="1"/>
      </rPr>
      <t xml:space="preserve">1103</t>
    </r>
  </si>
  <si>
    <t xml:space="preserve">㈜흥진레저 심병재</t>
  </si>
  <si>
    <r>
      <rPr>
        <b val="true"/>
        <sz val="9"/>
        <color rgb="FF1A1A2E"/>
        <rFont val="DejaVu Sans"/>
        <family val="2"/>
      </rPr>
      <t xml:space="preserve">대구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</si>
  <si>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경산시 진량읍 일연로 </t>
    </r>
    <r>
      <rPr>
        <sz val="9"/>
        <color rgb="FF1A1A2E"/>
        <rFont val="DejaVu Sans"/>
        <family val="2"/>
        <charset val="1"/>
      </rPr>
      <t xml:space="preserve">718-42</t>
    </r>
  </si>
  <si>
    <r>
      <rPr>
        <sz val="9"/>
        <color rgb="FF1A1A2E"/>
        <rFont val="DejaVu Sans"/>
        <family val="2"/>
      </rPr>
      <t xml:space="preserve">경산개발㈜ 우승백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우승수</t>
    </r>
  </si>
  <si>
    <r>
      <rPr>
        <b val="true"/>
        <sz val="9"/>
        <color rgb="FF1A1A2E"/>
        <rFont val="DejaVu Sans"/>
        <family val="2"/>
      </rPr>
      <t xml:space="preserve">디아너스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</si>
  <si>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보불로 </t>
    </r>
    <r>
      <rPr>
        <sz val="9"/>
        <color rgb="FF1A1A2E"/>
        <rFont val="DejaVu Sans"/>
        <family val="2"/>
        <charset val="1"/>
      </rPr>
      <t xml:space="preserve">391(</t>
    </r>
    <r>
      <rPr>
        <sz val="9"/>
        <color rgb="FF1A1A2E"/>
        <rFont val="DejaVu Sans"/>
        <family val="2"/>
      </rPr>
      <t xml:space="preserve">천군동</t>
    </r>
    <r>
      <rPr>
        <sz val="9"/>
        <color rgb="FF1A1A2E"/>
        <rFont val="DejaVu Sans"/>
        <family val="2"/>
        <charset val="1"/>
      </rPr>
      <t xml:space="preserve">)</t>
    </r>
  </si>
  <si>
    <t xml:space="preserve">㈜블루원 윤재연</t>
  </si>
  <si>
    <r>
      <rPr>
        <b val="true"/>
        <sz val="9"/>
        <color rgb="FF1A1A2E"/>
        <rFont val="DejaVu Sans"/>
        <family val="2"/>
      </rPr>
      <t xml:space="preserve">루나엑스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</si>
  <si>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천북면 천강로 </t>
    </r>
    <r>
      <rPr>
        <sz val="9"/>
        <color rgb="FF1A1A2E"/>
        <rFont val="DejaVu Sans"/>
        <family val="2"/>
        <charset val="1"/>
      </rPr>
      <t xml:space="preserve">412-299</t>
    </r>
  </si>
  <si>
    <r>
      <rPr>
        <b val="true"/>
        <sz val="9"/>
        <color rgb="FF1A1A2E"/>
        <rFont val="DejaVu Sans"/>
        <family val="2"/>
      </rPr>
      <t xml:space="preserve">마스터피스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</si>
  <si>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고령군 쌍림면 산막길 </t>
    </r>
    <r>
      <rPr>
        <sz val="9"/>
        <color rgb="FF1A1A2E"/>
        <rFont val="DejaVu Sans"/>
        <family val="2"/>
        <charset val="1"/>
      </rPr>
      <t xml:space="preserve">47-80</t>
    </r>
  </si>
  <si>
    <t xml:space="preserve">㈜누가개발 김인자</t>
  </si>
  <si>
    <r>
      <rPr>
        <b val="true"/>
        <sz val="9"/>
        <color rgb="FF1A1A2E"/>
        <rFont val="DejaVu Sans"/>
        <family val="2"/>
      </rPr>
      <t xml:space="preserve">마우나오션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</si>
  <si>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양남면 동남로 </t>
    </r>
    <r>
      <rPr>
        <sz val="9"/>
        <color rgb="FF1A1A2E"/>
        <rFont val="DejaVu Sans"/>
        <family val="2"/>
        <charset val="1"/>
      </rPr>
      <t xml:space="preserve">982</t>
    </r>
  </si>
  <si>
    <t xml:space="preserve">㈜엠오디 장재혁</t>
  </si>
  <si>
    <t xml:space="preserve">마우나오션블루</t>
  </si>
  <si>
    <t xml:space="preserve">마이다스 구미 골프아카데미</t>
  </si>
  <si>
    <r>
      <rPr>
        <sz val="9"/>
        <color rgb="FF1A1A2E"/>
        <rFont val="DejaVu Sans"/>
        <family val="2"/>
      </rPr>
      <t xml:space="preserve">칠곡군 가산면 학하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54-171</t>
    </r>
  </si>
  <si>
    <t xml:space="preserve">㈜대교디앤에스 최득희</t>
  </si>
  <si>
    <t xml:space="preserve">문경레저타운골프장</t>
  </si>
  <si>
    <r>
      <rPr>
        <sz val="9"/>
        <color rgb="FF1A1A2E"/>
        <rFont val="DejaVu Sans"/>
        <family val="2"/>
      </rPr>
      <t xml:space="preserve">문경시 마성면 문경골프장길 </t>
    </r>
    <r>
      <rPr>
        <sz val="9"/>
        <color rgb="FF1A1A2E"/>
        <rFont val="DejaVu Sans"/>
        <family val="2"/>
        <charset val="1"/>
      </rPr>
      <t xml:space="preserve">240</t>
    </r>
  </si>
  <si>
    <t xml:space="preserve">㈜문경레저타운 정광호</t>
  </si>
  <si>
    <r>
      <rPr>
        <b val="true"/>
        <sz val="9"/>
        <color rgb="FF1A1A2E"/>
        <rFont val="DejaVu Sans"/>
        <family val="2"/>
      </rPr>
      <t xml:space="preserve">보문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</si>
  <si>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보문로 </t>
    </r>
    <r>
      <rPr>
        <sz val="9"/>
        <color rgb="FF1A1A2E"/>
        <rFont val="DejaVu Sans"/>
        <family val="2"/>
        <charset val="1"/>
      </rPr>
      <t xml:space="preserve">182-14</t>
    </r>
  </si>
  <si>
    <t xml:space="preserve">경북문화관광공사 김성조</t>
  </si>
  <si>
    <t xml:space="preserve">블루원상주골프리조트</t>
  </si>
  <si>
    <r>
      <rPr>
        <sz val="9"/>
        <color rgb="FF1A1A2E"/>
        <rFont val="DejaVu Sans"/>
        <family val="2"/>
      </rPr>
      <t xml:space="preserve">상주시 모서면 화현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127</t>
    </r>
  </si>
  <si>
    <t xml:space="preserve">https://sj.blueone.com</t>
  </si>
  <si>
    <r>
      <rPr>
        <b val="true"/>
        <sz val="9"/>
        <color rgb="FF1A1A2E"/>
        <rFont val="DejaVu Sans"/>
        <family val="2"/>
      </rPr>
      <t xml:space="preserve">서라벌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</si>
  <si>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외동읍 내외로 </t>
    </r>
    <r>
      <rPr>
        <sz val="9"/>
        <color rgb="FF1A1A2E"/>
        <rFont val="DejaVu Sans"/>
        <family val="2"/>
        <charset val="1"/>
      </rPr>
      <t xml:space="preserve">577-189</t>
    </r>
  </si>
  <si>
    <t xml:space="preserve">㈜서라벌 김광세</t>
  </si>
  <si>
    <r>
      <rPr>
        <b val="true"/>
        <sz val="9"/>
        <color rgb="FF1A1A2E"/>
        <rFont val="DejaVu Sans"/>
        <family val="2"/>
      </rPr>
      <t xml:space="preserve">선리치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</si>
  <si>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안강읍 검단장골길 </t>
    </r>
    <r>
      <rPr>
        <sz val="9"/>
        <color rgb="FF1A1A2E"/>
        <rFont val="DejaVu Sans"/>
        <family val="2"/>
        <charset val="1"/>
      </rPr>
      <t xml:space="preserve">181-17</t>
    </r>
  </si>
  <si>
    <t xml:space="preserve">㈜월성종합개발 이상걸</t>
  </si>
  <si>
    <r>
      <rPr>
        <b val="true"/>
        <sz val="9"/>
        <color rgb="FF1A1A2E"/>
        <rFont val="DejaVu Sans"/>
        <family val="2"/>
      </rPr>
      <t xml:space="preserve">세븐밸리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</si>
  <si>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칠곡군 왜관읍 봉계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180</t>
    </r>
  </si>
  <si>
    <t xml:space="preserve">㈜세븐밸리제이씨 유진선</t>
  </si>
  <si>
    <r>
      <rPr>
        <b val="true"/>
        <sz val="9"/>
        <color rgb="FF1A1A2E"/>
        <rFont val="DejaVu Sans"/>
        <family val="2"/>
      </rPr>
      <t xml:space="preserve">시엘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</si>
  <si>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영천시 청통면 청통로 </t>
    </r>
    <r>
      <rPr>
        <sz val="9"/>
        <color rgb="FF1A1A2E"/>
        <rFont val="DejaVu Sans"/>
        <family val="2"/>
        <charset val="1"/>
      </rPr>
      <t xml:space="preserve">334-41</t>
    </r>
  </si>
  <si>
    <t xml:space="preserve">㈜금호개발 김도윤</t>
  </si>
  <si>
    <r>
      <rPr>
        <b val="true"/>
        <sz val="9"/>
        <color rgb="FF1A1A2E"/>
        <rFont val="DejaVu Sans"/>
        <family val="2"/>
      </rPr>
      <t xml:space="preserve">안강레전드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</si>
  <si>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안강읍 낙산길 </t>
    </r>
    <r>
      <rPr>
        <sz val="9"/>
        <color rgb="FF1A1A2E"/>
        <rFont val="DejaVu Sans"/>
        <family val="2"/>
        <charset val="1"/>
      </rPr>
      <t xml:space="preserve">85</t>
    </r>
  </si>
  <si>
    <r>
      <rPr>
        <sz val="9"/>
        <color rgb="FF1A1A2E"/>
        <rFont val="DejaVu Sans"/>
        <family val="2"/>
      </rPr>
      <t xml:space="preserve">옥산개발㈜ 허상호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김태열</t>
    </r>
  </si>
  <si>
    <t xml:space="preserve">안동레이크골프클럽</t>
  </si>
  <si>
    <r>
      <rPr>
        <sz val="9"/>
        <color rgb="FF1A1A2E"/>
        <rFont val="DejaVu Sans"/>
        <family val="2"/>
      </rPr>
      <t xml:space="preserve">안동시 관광단지로 </t>
    </r>
    <r>
      <rPr>
        <sz val="9"/>
        <color rgb="FF1A1A2E"/>
        <rFont val="DejaVu Sans"/>
        <family val="2"/>
        <charset val="1"/>
      </rPr>
      <t xml:space="preserve">316</t>
    </r>
  </si>
  <si>
    <r>
      <rPr>
        <b val="true"/>
        <sz val="9"/>
        <color rgb="FF1A1A2E"/>
        <rFont val="DejaVu Sans"/>
        <family val="2"/>
      </rPr>
      <t xml:space="preserve">안동리버힐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</si>
  <si>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안동시 풍천면 풍일로 </t>
    </r>
    <r>
      <rPr>
        <sz val="9"/>
        <color rgb="FF1A1A2E"/>
        <rFont val="DejaVu Sans"/>
        <family val="2"/>
        <charset val="1"/>
      </rPr>
      <t xml:space="preserve">1572</t>
    </r>
  </si>
  <si>
    <t xml:space="preserve">더리얼산업㈜ 이원상</t>
  </si>
  <si>
    <r>
      <rPr>
        <b val="true"/>
        <sz val="9"/>
        <color rgb="FF1A1A2E"/>
        <rFont val="DejaVu Sans"/>
        <family val="2"/>
      </rPr>
      <t xml:space="preserve">애플밸리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</si>
  <si>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김천시 어모면 작점로 </t>
    </r>
    <r>
      <rPr>
        <sz val="9"/>
        <color rgb="FF1A1A2E"/>
        <rFont val="DejaVu Sans"/>
        <family val="2"/>
        <charset val="1"/>
      </rPr>
      <t xml:space="preserve">606</t>
    </r>
  </si>
  <si>
    <t xml:space="preserve">에스엠하이플러스㈜ 최승석</t>
  </si>
  <si>
    <t xml:space="preserve">엠스클럽의성</t>
  </si>
  <si>
    <t xml:space="preserve">㈜바이오컨트리클럽 최영수</t>
  </si>
  <si>
    <r>
      <rPr>
        <b val="true"/>
        <sz val="9"/>
        <color rgb="FF1A1A2E"/>
        <rFont val="DejaVu Sans"/>
        <family val="2"/>
      </rPr>
      <t xml:space="preserve">영천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</si>
  <si>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영천시 임고면 방목길 </t>
    </r>
    <r>
      <rPr>
        <sz val="9"/>
        <color rgb="FF1A1A2E"/>
        <rFont val="DejaVu Sans"/>
        <family val="2"/>
        <charset val="1"/>
      </rPr>
      <t xml:space="preserve">34-2</t>
    </r>
  </si>
  <si>
    <t xml:space="preserve">임고개발㈜ 이승도</t>
  </si>
  <si>
    <r>
      <rPr>
        <b val="true"/>
        <sz val="9"/>
        <color rgb="FF1A1A2E"/>
        <rFont val="DejaVu Sans"/>
        <family val="2"/>
      </rPr>
      <t xml:space="preserve">오션비치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</si>
  <si>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영덕군 강구면 동해대로 </t>
    </r>
    <r>
      <rPr>
        <sz val="9"/>
        <color rgb="FF1A1A2E"/>
        <rFont val="DejaVu Sans"/>
        <family val="2"/>
        <charset val="1"/>
      </rPr>
      <t xml:space="preserve">4265-43</t>
    </r>
  </si>
  <si>
    <t xml:space="preserve">㈜오션비치 박재선</t>
  </si>
  <si>
    <r>
      <rPr>
        <b val="true"/>
        <sz val="9"/>
        <color rgb="FF1A1A2E"/>
        <rFont val="DejaVu Sans"/>
        <family val="2"/>
      </rPr>
      <t xml:space="preserve">오션힐스청도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</si>
  <si>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청도군 매전면 곰티로 </t>
    </r>
    <r>
      <rPr>
        <sz val="9"/>
        <color rgb="FF1A1A2E"/>
        <rFont val="DejaVu Sans"/>
        <family val="2"/>
        <charset val="1"/>
      </rPr>
      <t xml:space="preserve">370-204</t>
    </r>
  </si>
  <si>
    <t xml:space="preserve">유창개발㈜ 이승도</t>
  </si>
  <si>
    <r>
      <rPr>
        <b val="true"/>
        <sz val="9"/>
        <color rgb="FF1A1A2E"/>
        <rFont val="DejaVu Sans"/>
        <family val="2"/>
      </rPr>
      <t xml:space="preserve">오션힐스포항</t>
    </r>
    <r>
      <rPr>
        <b val="true"/>
        <sz val="9"/>
        <color rgb="FF1A1A2E"/>
        <rFont val="DejaVu Sans"/>
        <family val="2"/>
        <charset val="1"/>
      </rPr>
      <t xml:space="preserve">C.C(</t>
    </r>
    <r>
      <rPr>
        <b val="true"/>
        <sz val="9"/>
        <color rgb="FF1A1A2E"/>
        <rFont val="DejaVu Sans"/>
        <family val="2"/>
      </rPr>
      <t xml:space="preserve">대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</si>
  <si>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포항시 북구 송라면 대전길 </t>
    </r>
    <r>
      <rPr>
        <sz val="9"/>
        <color rgb="FF1A1A2E"/>
        <rFont val="DejaVu Sans"/>
        <family val="2"/>
        <charset val="1"/>
      </rPr>
      <t xml:space="preserve">7</t>
    </r>
  </si>
  <si>
    <t xml:space="preserve">오션힐스골프앤리조트㈜ 이승도</t>
  </si>
  <si>
    <r>
      <rPr>
        <b val="true"/>
        <sz val="9"/>
        <color rgb="FF1A1A2E"/>
        <rFont val="DejaVu Sans"/>
        <family val="2"/>
      </rPr>
      <t xml:space="preserve">오션힐스포항</t>
    </r>
    <r>
      <rPr>
        <b val="true"/>
        <sz val="9"/>
        <color rgb="FF1A1A2E"/>
        <rFont val="DejaVu Sans"/>
        <family val="2"/>
        <charset val="1"/>
      </rPr>
      <t xml:space="preserve">C.C(</t>
    </r>
    <r>
      <rPr>
        <b val="true"/>
        <sz val="9"/>
        <color rgb="FF1A1A2E"/>
        <rFont val="DejaVu Sans"/>
        <family val="2"/>
      </rPr>
      <t xml:space="preserve">회</t>
    </r>
    <r>
      <rPr>
        <b val="true"/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</si>
  <si>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오펠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</si>
  <si>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영천시 고경면 호국로 </t>
    </r>
    <r>
      <rPr>
        <sz val="9"/>
        <color rgb="FF1A1A2E"/>
        <rFont val="DejaVu Sans"/>
        <family val="2"/>
        <charset val="1"/>
      </rPr>
      <t xml:space="preserve">1221-24</t>
    </r>
  </si>
  <si>
    <t xml:space="preserve">부성개발㈜ 구성식</t>
  </si>
  <si>
    <r>
      <rPr>
        <b val="true"/>
        <sz val="9"/>
        <color rgb="FF1A1A2E"/>
        <rFont val="DejaVu Sans"/>
        <family val="2"/>
      </rPr>
      <t xml:space="preserve">우리</t>
    </r>
    <r>
      <rPr>
        <b val="true"/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</si>
  <si>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경주시 양남면 동남로 </t>
    </r>
    <r>
      <rPr>
        <sz val="9"/>
        <color rgb="FF1A1A2E"/>
        <rFont val="DejaVu Sans"/>
        <family val="2"/>
        <charset val="1"/>
      </rPr>
      <t xml:space="preserve">972</t>
    </r>
  </si>
  <si>
    <t xml:space="preserve">㈜퍼블릭개발 임충희</t>
  </si>
  <si>
    <t xml:space="preserve">원남골프장</t>
  </si>
  <si>
    <r>
      <rPr>
        <sz val="9"/>
        <color rgb="FF1A1A2E"/>
        <rFont val="DejaVu Sans"/>
        <family val="2"/>
      </rPr>
      <t xml:space="preserve">울진군 매화면 오산리 산</t>
    </r>
    <r>
      <rPr>
        <sz val="9"/>
        <color rgb="FF1A1A2E"/>
        <rFont val="DejaVu Sans"/>
        <family val="2"/>
        <charset val="1"/>
      </rPr>
      <t xml:space="preserve">26</t>
    </r>
  </si>
  <si>
    <t xml:space="preserve">울진군수</t>
  </si>
  <si>
    <r>
      <rPr>
        <b val="true"/>
        <sz val="9"/>
        <color rgb="FF1A1A2E"/>
        <rFont val="DejaVu Sans"/>
        <family val="2"/>
      </rPr>
      <t xml:space="preserve">유니밸리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</si>
  <si>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고령군 고령읍 일량로 </t>
    </r>
    <r>
      <rPr>
        <sz val="9"/>
        <color rgb="FF1A1A2E"/>
        <rFont val="DejaVu Sans"/>
        <family val="2"/>
        <charset val="1"/>
      </rPr>
      <t xml:space="preserve">588</t>
    </r>
  </si>
  <si>
    <t xml:space="preserve">고령컨트리클럽㈜ 박선자</t>
  </si>
  <si>
    <r>
      <rPr>
        <b val="true"/>
        <sz val="9"/>
        <color rgb="FF1A1A2E"/>
        <rFont val="DejaVu Sans"/>
        <family val="2"/>
      </rPr>
      <t xml:space="preserve">이스트힐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</si>
  <si>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경주시 양남면 외남로 </t>
    </r>
    <r>
      <rPr>
        <sz val="9"/>
        <color rgb="FF1A1A2E"/>
        <rFont val="DejaVu Sans"/>
        <family val="2"/>
        <charset val="1"/>
      </rPr>
      <t xml:space="preserve">1377</t>
    </r>
  </si>
  <si>
    <t xml:space="preserve">㈜청학씨앤디 성세연</t>
  </si>
  <si>
    <r>
      <rPr>
        <b val="true"/>
        <sz val="9"/>
        <color rgb="FF1A1A2E"/>
        <rFont val="DejaVu Sans"/>
        <family val="2"/>
      </rPr>
      <t xml:space="preserve">이지스카이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</si>
  <si>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군위군 군위읍 대흥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48-148</t>
    </r>
  </si>
  <si>
    <t xml:space="preserve">㈜이지컨트리클럽 박현철</t>
  </si>
  <si>
    <t xml:space="preserve">인터불고컨트리클럽</t>
  </si>
  <si>
    <r>
      <rPr>
        <sz val="9"/>
        <color rgb="FF1A1A2E"/>
        <rFont val="DejaVu Sans"/>
        <family val="2"/>
      </rPr>
      <t xml:space="preserve">경산시 삼성현로 </t>
    </r>
    <r>
      <rPr>
        <sz val="9"/>
        <color rgb="FF1A1A2E"/>
        <rFont val="DejaVu Sans"/>
        <family val="2"/>
        <charset val="1"/>
      </rPr>
      <t xml:space="preserve">614-26</t>
    </r>
  </si>
  <si>
    <t xml:space="preserve">인터불고컨트리클럽㈜ 최만수</t>
  </si>
  <si>
    <t xml:space="preserve">청통골프장</t>
  </si>
  <si>
    <r>
      <rPr>
        <sz val="9"/>
        <color rgb="FF1A1A2E"/>
        <rFont val="DejaVu Sans"/>
        <family val="2"/>
      </rPr>
      <t xml:space="preserve">영천시 청통면 청통로 </t>
    </r>
    <r>
      <rPr>
        <sz val="9"/>
        <color rgb="FF1A1A2E"/>
        <rFont val="DejaVu Sans"/>
        <family val="2"/>
        <charset val="1"/>
      </rPr>
      <t xml:space="preserve">733</t>
    </r>
  </si>
  <si>
    <t xml:space="preserve">㈜골프존카운티영천 서상현㈜골프존카운티 서상현</t>
  </si>
  <si>
    <r>
      <rPr>
        <b val="true"/>
        <sz val="9"/>
        <color rgb="FF1A1A2E"/>
        <rFont val="DejaVu Sans"/>
        <family val="2"/>
      </rPr>
      <t xml:space="preserve">청하이스턴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</si>
  <si>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포항시 청하면 용산길 </t>
    </r>
    <r>
      <rPr>
        <sz val="9"/>
        <color rgb="FF1A1A2E"/>
        <rFont val="DejaVu Sans"/>
        <family val="2"/>
        <charset val="1"/>
      </rPr>
      <t xml:space="preserve">94</t>
    </r>
  </si>
  <si>
    <t xml:space="preserve">㈜이스턴 이일선</t>
  </si>
  <si>
    <t xml:space="preserve">https://easterncc.co.kr/</t>
  </si>
  <si>
    <t xml:space="preserve">054-275-8000</t>
  </si>
  <si>
    <r>
      <rPr>
        <b val="true"/>
        <sz val="9"/>
        <color rgb="FF1A1A2E"/>
        <rFont val="DejaVu Sans"/>
        <family val="2"/>
      </rPr>
      <t xml:space="preserve">칠곡아이위시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</si>
  <si>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칠곡군 기산면 노석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49-112</t>
    </r>
  </si>
  <si>
    <t xml:space="preserve">㈜동화레져 문종혁</t>
  </si>
  <si>
    <r>
      <rPr>
        <b val="true"/>
        <sz val="9"/>
        <color rgb="FF1A1A2E"/>
        <rFont val="DejaVu Sans"/>
        <family val="2"/>
      </rPr>
      <t xml:space="preserve">파라지오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</si>
  <si>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의성군 봉양면 신평리 산</t>
    </r>
    <r>
      <rPr>
        <sz val="9"/>
        <color rgb="FF1A1A2E"/>
        <rFont val="DejaVu Sans"/>
        <family val="2"/>
        <charset val="1"/>
      </rPr>
      <t xml:space="preserve">50</t>
    </r>
  </si>
  <si>
    <r>
      <rPr>
        <sz val="9"/>
        <color rgb="FF1A1A2E"/>
        <rFont val="DejaVu Sans"/>
        <family val="2"/>
      </rPr>
      <t xml:space="preserve">㈜파라지오 최정헌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정영권</t>
    </r>
  </si>
  <si>
    <r>
      <rPr>
        <b val="true"/>
        <sz val="9"/>
        <color rgb="FF1A1A2E"/>
        <rFont val="DejaVu Sans"/>
        <family val="2"/>
      </rPr>
      <t xml:space="preserve">파미힐스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</si>
  <si>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칠곡군 왜관읍 봉계로 </t>
    </r>
    <r>
      <rPr>
        <sz val="9"/>
        <color rgb="FF1A1A2E"/>
        <rFont val="DejaVu Sans"/>
        <family val="2"/>
        <charset val="1"/>
      </rPr>
      <t xml:space="preserve">263</t>
    </r>
  </si>
  <si>
    <r>
      <rPr>
        <sz val="9"/>
        <color rgb="FF1A1A2E"/>
        <rFont val="DejaVu Sans"/>
        <family val="2"/>
      </rPr>
      <t xml:space="preserve">㈜한길 최성혁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김종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황만옥</t>
    </r>
  </si>
  <si>
    <t xml:space="preserve">펜타뷰골프클럽</t>
  </si>
  <si>
    <r>
      <rPr>
        <sz val="9"/>
        <color rgb="FF1A1A2E"/>
        <rFont val="DejaVu Sans"/>
        <family val="2"/>
      </rPr>
      <t xml:space="preserve">청도군 금천면 금천로 </t>
    </r>
    <r>
      <rPr>
        <sz val="9"/>
        <color rgb="FF1A1A2E"/>
        <rFont val="DejaVu Sans"/>
        <family val="2"/>
        <charset val="1"/>
      </rPr>
      <t xml:space="preserve">709</t>
    </r>
  </si>
  <si>
    <t xml:space="preserve">아리유㈜ 이건순</t>
  </si>
  <si>
    <r>
      <rPr>
        <b val="true"/>
        <sz val="9"/>
        <color rgb="FF1A1A2E"/>
        <rFont val="DejaVu Sans"/>
        <family val="2"/>
      </rPr>
      <t xml:space="preserve">포도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</si>
  <si>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김천시 구성면 남김천대로 </t>
    </r>
    <r>
      <rPr>
        <sz val="9"/>
        <color rgb="FF1A1A2E"/>
        <rFont val="DejaVu Sans"/>
        <family val="2"/>
        <charset val="1"/>
      </rPr>
      <t xml:space="preserve">2532</t>
    </r>
  </si>
  <si>
    <t xml:space="preserve">㈜다옴 이세홍</t>
  </si>
  <si>
    <r>
      <rPr>
        <b val="true"/>
        <sz val="9"/>
        <color rgb="FF1A1A2E"/>
        <rFont val="DejaVu Sans"/>
        <family val="2"/>
      </rPr>
      <t xml:space="preserve">포항</t>
    </r>
    <r>
      <rPr>
        <b val="true"/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</si>
  <si>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포항시 송라면 동해대로 </t>
    </r>
    <r>
      <rPr>
        <sz val="9"/>
        <color rgb="FF1A1A2E"/>
        <rFont val="DejaVu Sans"/>
        <family val="2"/>
        <charset val="1"/>
      </rPr>
      <t xml:space="preserve">2751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123</t>
    </r>
  </si>
  <si>
    <t xml:space="preserve">㈜홍익레저산업 이대형</t>
  </si>
  <si>
    <r>
      <rPr>
        <b val="true"/>
        <sz val="9"/>
        <color rgb="FF1A1A2E"/>
        <rFont val="DejaVu Sans"/>
        <family val="2"/>
      </rPr>
      <t xml:space="preserve">한맥</t>
    </r>
    <r>
      <rPr>
        <b val="true"/>
        <sz val="9"/>
        <color rgb="FF1A1A2E"/>
        <rFont val="DejaVu Sans"/>
        <family val="2"/>
        <charset val="1"/>
      </rPr>
      <t xml:space="preserve">C.C&amp;</t>
    </r>
    <r>
      <rPr>
        <b val="true"/>
        <sz val="9"/>
        <color rgb="FF1A1A2E"/>
        <rFont val="DejaVu Sans"/>
        <family val="2"/>
      </rPr>
      <t xml:space="preserve">노블리아</t>
    </r>
  </si>
  <si>
    <r>
      <rPr>
        <sz val="9"/>
        <color rgb="FF1A1A2E"/>
        <rFont val="DejaVu Sans"/>
        <family val="2"/>
      </rPr>
      <t xml:space="preserve">예천군 호명면 한맥 골프장길 </t>
    </r>
    <r>
      <rPr>
        <sz val="9"/>
        <color rgb="FF1A1A2E"/>
        <rFont val="DejaVu Sans"/>
        <family val="2"/>
        <charset val="1"/>
      </rPr>
      <t xml:space="preserve">72</t>
    </r>
  </si>
  <si>
    <t xml:space="preserve">한맥개발㈜ 임기주</t>
  </si>
  <si>
    <t xml:space="preserve">경남</t>
  </si>
  <si>
    <t xml:space="preserve">가야컨트리클럽</t>
  </si>
  <si>
    <r>
      <rPr>
        <sz val="9"/>
        <color rgb="FF1A1A2E"/>
        <rFont val="DejaVu Sans"/>
        <family val="2"/>
      </rPr>
      <t xml:space="preserve">김해시 인제로 </t>
    </r>
    <r>
      <rPr>
        <sz val="9"/>
        <color rgb="FF1A1A2E"/>
        <rFont val="DejaVu Sans"/>
        <family val="2"/>
        <charset val="1"/>
      </rPr>
      <t xml:space="preserve">495</t>
    </r>
  </si>
  <si>
    <t xml:space="preserve">가야개발㈜김영섭</t>
  </si>
  <si>
    <t xml:space="preserve">https://www.gayacc.com</t>
  </si>
  <si>
    <t xml:space="preserve">055-337-8000</t>
  </si>
  <si>
    <t xml:space="preserve">거제드비치골프클럽</t>
  </si>
  <si>
    <r>
      <rPr>
        <sz val="9"/>
        <color rgb="FF1A1A2E"/>
        <rFont val="DejaVu Sans"/>
        <family val="2"/>
      </rPr>
      <t xml:space="preserve">거제시 장목면 거제북로 </t>
    </r>
    <r>
      <rPr>
        <sz val="9"/>
        <color rgb="FF1A1A2E"/>
        <rFont val="DejaVu Sans"/>
        <family val="2"/>
        <charset val="1"/>
      </rPr>
      <t xml:space="preserve">1573</t>
    </r>
  </si>
  <si>
    <t xml:space="preserve">드비치골프클럽㈜최병호</t>
  </si>
  <si>
    <t xml:space="preserve">https://www.debeach.co.kr/</t>
  </si>
  <si>
    <t xml:space="preserve">055-733-7000</t>
  </si>
  <si>
    <t xml:space="preserve">거제뷰컨트리클럽</t>
  </si>
  <si>
    <r>
      <rPr>
        <sz val="9"/>
        <color rgb="FF1A1A2E"/>
        <rFont val="DejaVu Sans"/>
        <family val="2"/>
      </rPr>
      <t xml:space="preserve">거제시 거제면 옥산리 </t>
    </r>
    <r>
      <rPr>
        <sz val="9"/>
        <color rgb="FF1A1A2E"/>
        <rFont val="DejaVu Sans"/>
        <family val="2"/>
        <charset val="1"/>
      </rPr>
      <t xml:space="preserve">285-3</t>
    </r>
  </si>
  <si>
    <t xml:space="preserve">㈜다원종합건설이철수</t>
  </si>
  <si>
    <t xml:space="preserve">거창친환경대중골프장</t>
  </si>
  <si>
    <r>
      <rPr>
        <sz val="9"/>
        <color rgb="FF1A1A2E"/>
        <rFont val="DejaVu Sans"/>
        <family val="2"/>
      </rPr>
      <t xml:space="preserve">거창군 가조면 우륵길 </t>
    </r>
    <r>
      <rPr>
        <sz val="9"/>
        <color rgb="FF1A1A2E"/>
        <rFont val="DejaVu Sans"/>
        <family val="2"/>
        <charset val="1"/>
      </rPr>
      <t xml:space="preserve">410-284</t>
    </r>
  </si>
  <si>
    <t xml:space="preserve">국민체육진흥공단거창군수</t>
  </si>
  <si>
    <r>
      <rPr>
        <b val="true"/>
        <sz val="9"/>
        <color rgb="FF1A1A2E"/>
        <rFont val="DejaVu Sans"/>
        <family val="2"/>
      </rPr>
      <t xml:space="preserve">경남스카이뷰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</si>
  <si>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함양군 서상면 소로길 </t>
    </r>
    <r>
      <rPr>
        <sz val="9"/>
        <color rgb="FF1A1A2E"/>
        <rFont val="DejaVu Sans"/>
        <family val="2"/>
        <charset val="1"/>
      </rPr>
      <t xml:space="preserve">207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</si>
  <si>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경남관광호텔김점판</t>
    </r>
    <r>
      <rPr>
        <sz val="9"/>
        <color rgb="FF1A1A2E"/>
        <rFont val="Arial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김애경</t>
    </r>
  </si>
  <si>
    <t xml:space="preserve">고성노벨컨트리클럽</t>
  </si>
  <si>
    <r>
      <rPr>
        <sz val="9"/>
        <color rgb="FF1A1A2E"/>
        <rFont val="DejaVu Sans"/>
        <family val="2"/>
      </rPr>
      <t xml:space="preserve">고성군 회화면 회진로 </t>
    </r>
    <r>
      <rPr>
        <sz val="9"/>
        <color rgb="FF1A1A2E"/>
        <rFont val="DejaVu Sans"/>
        <family val="2"/>
        <charset val="1"/>
      </rPr>
      <t xml:space="preserve">567</t>
    </r>
  </si>
  <si>
    <t xml:space="preserve">고성관광개발㈜최경훈</t>
  </si>
  <si>
    <t xml:space="preserve">고성컨트리클럽</t>
  </si>
  <si>
    <r>
      <rPr>
        <sz val="9"/>
        <color rgb="FF1A1A2E"/>
        <rFont val="DejaVu Sans"/>
        <family val="2"/>
      </rPr>
      <t xml:space="preserve">고성군 고성읍 월평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250</t>
    </r>
  </si>
  <si>
    <t xml:space="preserve">㈜ 쌍 마정창균</t>
  </si>
  <si>
    <t xml:space="preserve">골프존카운티 경남</t>
  </si>
  <si>
    <r>
      <rPr>
        <sz val="9"/>
        <color rgb="FF1A1A2E"/>
        <rFont val="DejaVu Sans"/>
        <family val="2"/>
      </rPr>
      <t xml:space="preserve">함안군 칠원면 운무로 </t>
    </r>
    <r>
      <rPr>
        <sz val="9"/>
        <color rgb="FF1A1A2E"/>
        <rFont val="DejaVu Sans"/>
        <family val="2"/>
        <charset val="1"/>
      </rPr>
      <t xml:space="preserve">470</t>
    </r>
  </si>
  <si>
    <t xml:space="preserve">㈜지씨경남서상현</t>
  </si>
  <si>
    <t xml:space="preserve">골프존카운티 사천</t>
  </si>
  <si>
    <r>
      <rPr>
        <sz val="9"/>
        <color rgb="FF1A1A2E"/>
        <rFont val="DejaVu Sans"/>
        <family val="2"/>
      </rPr>
      <t xml:space="preserve">사천시 서포면 구송로 </t>
    </r>
    <r>
      <rPr>
        <sz val="9"/>
        <color rgb="FF1A1A2E"/>
        <rFont val="DejaVu Sans"/>
        <family val="2"/>
        <charset val="1"/>
      </rPr>
      <t xml:space="preserve">151</t>
    </r>
  </si>
  <si>
    <t xml:space="preserve">㈜한올강성일</t>
  </si>
  <si>
    <t xml:space="preserve">김해상록컨트리클럽</t>
  </si>
  <si>
    <r>
      <rPr>
        <sz val="9"/>
        <color rgb="FF1A1A2E"/>
        <rFont val="DejaVu Sans"/>
        <family val="2"/>
      </rPr>
      <t xml:space="preserve">김해시 한림면 김해대로 </t>
    </r>
    <r>
      <rPr>
        <sz val="9"/>
        <color rgb="FF1A1A2E"/>
        <rFont val="DejaVu Sans"/>
        <family val="2"/>
        <charset val="1"/>
      </rPr>
      <t xml:space="preserve">974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198</t>
    </r>
  </si>
  <si>
    <t xml:space="preserve">공무원연금공단김해상록골프장 박노종</t>
  </si>
  <si>
    <t xml:space="preserve">김해정산컨트리클럽</t>
  </si>
  <si>
    <r>
      <rPr>
        <sz val="9"/>
        <color rgb="FF1A1A2E"/>
        <rFont val="DejaVu Sans"/>
        <family val="2"/>
      </rPr>
      <t xml:space="preserve">김해시 주촌면 서부로 </t>
    </r>
    <r>
      <rPr>
        <sz val="9"/>
        <color rgb="FF1A1A2E"/>
        <rFont val="DejaVu Sans"/>
        <family val="2"/>
        <charset val="1"/>
      </rPr>
      <t xml:space="preserve">1637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299-194</t>
    </r>
  </si>
  <si>
    <t xml:space="preserve">정산개발㈜이순영</t>
  </si>
  <si>
    <t xml:space="preserve">다이아몬드컨트리클럽</t>
  </si>
  <si>
    <r>
      <rPr>
        <sz val="9"/>
        <color rgb="FF1A1A2E"/>
        <rFont val="DejaVu Sans"/>
        <family val="2"/>
      </rPr>
      <t xml:space="preserve">양산시 상북면 공원로 </t>
    </r>
    <r>
      <rPr>
        <sz val="9"/>
        <color rgb="FF1A1A2E"/>
        <rFont val="DejaVu Sans"/>
        <family val="2"/>
        <charset val="1"/>
      </rPr>
      <t xml:space="preserve">305-391</t>
    </r>
  </si>
  <si>
    <t xml:space="preserve">다이아몬드컨트리클럽㈜  문 호</t>
  </si>
  <si>
    <t xml:space="preserve">동부산컨트리클럽</t>
  </si>
  <si>
    <r>
      <rPr>
        <sz val="9"/>
        <color rgb="FF1A1A2E"/>
        <rFont val="DejaVu Sans"/>
        <family val="2"/>
      </rPr>
      <t xml:space="preserve">양산시 매곡외산로 </t>
    </r>
    <r>
      <rPr>
        <sz val="9"/>
        <color rgb="FF1A1A2E"/>
        <rFont val="DejaVu Sans"/>
        <family val="2"/>
        <charset val="1"/>
      </rPr>
      <t xml:space="preserve">282</t>
    </r>
  </si>
  <si>
    <t xml:space="preserve">㈜동부산컨트리클럽최성필</t>
  </si>
  <si>
    <t xml:space="preserve">롯데스카이힐김해컨트리클럽</t>
  </si>
  <si>
    <r>
      <rPr>
        <sz val="9"/>
        <color rgb="FF1A1A2E"/>
        <rFont val="DejaVu Sans"/>
        <family val="2"/>
      </rPr>
      <t xml:space="preserve">김해시 진례면 고모로 </t>
    </r>
    <r>
      <rPr>
        <sz val="9"/>
        <color rgb="FF1A1A2E"/>
        <rFont val="DejaVu Sans"/>
        <family val="2"/>
        <charset val="1"/>
      </rPr>
      <t xml:space="preserve">134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54-49</t>
    </r>
  </si>
  <si>
    <t xml:space="preserve">㈜롯데산업</t>
  </si>
  <si>
    <t xml:space="preserve">리더스컨트리클럽</t>
  </si>
  <si>
    <r>
      <rPr>
        <sz val="9"/>
        <color rgb="FF1A1A2E"/>
        <rFont val="DejaVu Sans"/>
        <family val="2"/>
      </rPr>
      <t xml:space="preserve">밀양시 활성로 </t>
    </r>
    <r>
      <rPr>
        <sz val="9"/>
        <color rgb="FF1A1A2E"/>
        <rFont val="DejaVu Sans"/>
        <family val="2"/>
        <charset val="1"/>
      </rPr>
      <t xml:space="preserve">455</t>
    </r>
  </si>
  <si>
    <t xml:space="preserve">㈜리더스컨트리클럽이삼영</t>
  </si>
  <si>
    <t xml:space="preserve">밀양노벨컨트리클럽</t>
  </si>
  <si>
    <r>
      <rPr>
        <sz val="9"/>
        <color rgb="FF1A1A2E"/>
        <rFont val="DejaVu Sans"/>
        <family val="2"/>
      </rPr>
      <t xml:space="preserve">밀양시 단장면 단장로 </t>
    </r>
    <r>
      <rPr>
        <sz val="9"/>
        <color rgb="FF1A1A2E"/>
        <rFont val="DejaVu Sans"/>
        <family val="2"/>
        <charset val="1"/>
      </rPr>
      <t xml:space="preserve">946</t>
    </r>
  </si>
  <si>
    <t xml:space="preserve">㈜밀양관광개발최이경</t>
  </si>
  <si>
    <t xml:space="preserve">밀양컨트리클럽</t>
  </si>
  <si>
    <r>
      <rPr>
        <sz val="9"/>
        <color rgb="FF1A1A2E"/>
        <rFont val="DejaVu Sans"/>
        <family val="2"/>
      </rPr>
      <t xml:space="preserve">밀양시 부북면 전사포리 </t>
    </r>
    <r>
      <rPr>
        <sz val="9"/>
        <color rgb="FF1A1A2E"/>
        <rFont val="DejaVu Sans"/>
        <family val="2"/>
        <charset val="1"/>
      </rPr>
      <t xml:space="preserve">832</t>
    </r>
  </si>
  <si>
    <t xml:space="preserve">㈜밀양컨트리클럽임경주</t>
  </si>
  <si>
    <t xml:space="preserve">부곡컨트리클럽</t>
  </si>
  <si>
    <r>
      <rPr>
        <sz val="9"/>
        <color rgb="FF1A1A2E"/>
        <rFont val="DejaVu Sans"/>
        <family val="2"/>
      </rPr>
      <t xml:space="preserve">창녕군 부곡면 온천로 </t>
    </r>
    <r>
      <rPr>
        <sz val="9"/>
        <color rgb="FF1A1A2E"/>
        <rFont val="DejaVu Sans"/>
        <family val="2"/>
        <charset val="1"/>
      </rPr>
      <t xml:space="preserve">445</t>
    </r>
  </si>
  <si>
    <t xml:space="preserve">현일개발㈜배영환</t>
  </si>
  <si>
    <t xml:space="preserve">http://www.bkcc.co.kr/</t>
  </si>
  <si>
    <t xml:space="preserve">055-536-8000</t>
  </si>
  <si>
    <t xml:space="preserve">사우스케이프오너스클럽</t>
  </si>
  <si>
    <r>
      <rPr>
        <sz val="9"/>
        <color rgb="FF1A1A2E"/>
        <rFont val="DejaVu Sans"/>
        <family val="2"/>
      </rPr>
      <t xml:space="preserve">남해군 창선면 흥선로 </t>
    </r>
    <r>
      <rPr>
        <sz val="9"/>
        <color rgb="FF1A1A2E"/>
        <rFont val="DejaVu Sans"/>
        <family val="2"/>
        <charset val="1"/>
      </rPr>
      <t xml:space="preserve">1505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95</t>
    </r>
  </si>
  <si>
    <r>
      <rPr>
        <sz val="9"/>
        <color rgb="FF1A1A2E"/>
        <rFont val="DejaVu Sans"/>
        <family val="2"/>
      </rPr>
      <t xml:space="preserve">㈜한섬피앤디 이종배정재봉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정형진</t>
    </r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</si>
  <si>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clien_cm_golf, two-chairs.com, myrealtrip | </t>
    </r>
    <r>
      <rPr>
        <sz val="11"/>
        <color theme="1"/>
        <rFont val="DejaVu Sans"/>
        <family val="2"/>
      </rPr>
      <t xml:space="preserve">스팀프 </t>
    </r>
    <r>
      <rPr>
        <sz val="11"/>
        <color theme="1"/>
        <rFont val="DejaVu Sans"/>
        <family val="2"/>
        <charset val="1"/>
      </rPr>
      <t xml:space="preserve">3.0~3.1m</t>
    </r>
    <r>
      <rPr>
        <sz val="11"/>
        <color theme="1"/>
        <rFont val="DejaVu Sans"/>
        <family val="2"/>
      </rPr>
      <t xml:space="preserve">의 빠른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티업 간격 </t>
    </r>
    <r>
      <rPr>
        <sz val="11"/>
        <color theme="1"/>
        <rFont val="DejaVu Sans"/>
        <family val="2"/>
        <charset val="1"/>
      </rPr>
      <t xml:space="preserve">10</t>
    </r>
    <r>
      <rPr>
        <sz val="11"/>
        <color theme="1"/>
        <rFont val="DejaVu Sans"/>
        <family val="2"/>
      </rPr>
      <t xml:space="preserve">분으로 앞뒷팀 거의 안 만남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페이스 최상</t>
    </r>
    <r>
      <rPr>
        <sz val="11"/>
        <color theme="1"/>
        <rFont val="DejaVu Sans"/>
        <family val="2"/>
        <charset val="1"/>
      </rPr>
      <t xml:space="preserve">). </t>
    </r>
    <r>
      <rPr>
        <sz val="11"/>
        <color theme="1"/>
        <rFont val="DejaVu Sans"/>
        <family val="2"/>
      </rPr>
      <t xml:space="preserve">양잔디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캐디 필수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골프다이제스트 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 </t>
    </r>
    <r>
      <rPr>
        <sz val="11"/>
        <color theme="1"/>
        <rFont val="DejaVu Sans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(2020).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118/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107/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97/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84/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75 · </t>
    </r>
    <r>
      <rPr>
        <sz val="11"/>
        <color theme="1"/>
        <rFont val="DejaVu Sans"/>
        <family val="2"/>
      </rPr>
      <t xml:space="preserve">난이도등급 최상급</t>
    </r>
  </si>
  <si>
    <t xml:space="preserve">삼삼컨트리클럽</t>
  </si>
  <si>
    <r>
      <rPr>
        <sz val="9"/>
        <color rgb="FF1A1A2E"/>
        <rFont val="DejaVu Sans"/>
        <family val="2"/>
      </rPr>
      <t xml:space="preserve">사천시 축동면 화당산로 </t>
    </r>
    <r>
      <rPr>
        <sz val="9"/>
        <color rgb="FF1A1A2E"/>
        <rFont val="DejaVu Sans"/>
        <family val="2"/>
        <charset val="1"/>
      </rPr>
      <t xml:space="preserve">224</t>
    </r>
  </si>
  <si>
    <t xml:space="preserve">삼삼레져개발㈜박 명식</t>
  </si>
  <si>
    <r>
      <rPr>
        <b val="true"/>
        <sz val="9"/>
        <color rgb="FF1A1A2E"/>
        <rFont val="DejaVu Sans"/>
        <family val="2"/>
      </rPr>
      <t xml:space="preserve">서경타니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</si>
  <si>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사천시 곤양면 흥신로 </t>
    </r>
    <r>
      <rPr>
        <sz val="9"/>
        <color rgb="FF1A1A2E"/>
        <rFont val="DejaVu Sans"/>
        <family val="2"/>
        <charset val="1"/>
      </rPr>
      <t xml:space="preserve">210</t>
    </r>
  </si>
  <si>
    <t xml:space="preserve">타니골프엔리조트㈜ 윤철지</t>
  </si>
  <si>
    <r>
      <rPr>
        <b val="true"/>
        <sz val="9"/>
        <color rgb="FF1A1A2E"/>
        <rFont val="DejaVu Sans"/>
        <family val="2"/>
      </rPr>
      <t xml:space="preserve">아난티남해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</si>
  <si>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남해군 남면 남서대로 </t>
    </r>
    <r>
      <rPr>
        <sz val="9"/>
        <color rgb="FF1A1A2E"/>
        <rFont val="DejaVu Sans"/>
        <family val="2"/>
        <charset val="1"/>
      </rPr>
      <t xml:space="preserve">1179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40-109</t>
    </r>
  </si>
  <si>
    <t xml:space="preserve">㈜아난티이만규</t>
  </si>
  <si>
    <r>
      <rPr>
        <b val="true"/>
        <sz val="9"/>
        <color rgb="FF1A1A2E"/>
        <rFont val="DejaVu Sans"/>
        <family val="2"/>
      </rPr>
      <t xml:space="preserve">아난티남해</t>
    </r>
    <r>
      <rPr>
        <b val="true"/>
        <sz val="9"/>
        <color rgb="FF1A1A2E"/>
        <rFont val="DejaVu Sans"/>
        <family val="2"/>
        <charset val="1"/>
      </rPr>
      <t xml:space="preserve">GC</t>
    </r>
  </si>
  <si>
    <t xml:space="preserve">아델스코트 컨트리클럽</t>
  </si>
  <si>
    <r>
      <rPr>
        <sz val="9"/>
        <color rgb="FF1A1A2E"/>
        <rFont val="DejaVu Sans"/>
        <family val="2"/>
      </rPr>
      <t xml:space="preserve">합천군 가야면 가조가야로 </t>
    </r>
    <r>
      <rPr>
        <sz val="9"/>
        <color rgb="FF1A1A2E"/>
        <rFont val="DejaVu Sans"/>
        <family val="2"/>
        <charset val="1"/>
      </rPr>
      <t xml:space="preserve">1916-35</t>
    </r>
  </si>
  <si>
    <t xml:space="preserve">해인레저산업㈜김종헌</t>
  </si>
  <si>
    <t xml:space="preserve">아라미르골프앤리조트</t>
  </si>
  <si>
    <r>
      <rPr>
        <sz val="9"/>
        <color rgb="FF1A1A2E"/>
        <rFont val="DejaVu Sans"/>
        <family val="2"/>
      </rPr>
      <t xml:space="preserve">창원시 진해구 수제로 </t>
    </r>
    <r>
      <rPr>
        <sz val="9"/>
        <color rgb="FF1A1A2E"/>
        <rFont val="DejaVu Sans"/>
        <family val="2"/>
        <charset val="1"/>
      </rPr>
      <t xml:space="preserve">36</t>
    </r>
  </si>
  <si>
    <t xml:space="preserve">용원개발㈜최정호</t>
  </si>
  <si>
    <t xml:space="preserve">https://www.aramir.co.kr/</t>
  </si>
  <si>
    <t xml:space="preserve">031-639-8000</t>
  </si>
  <si>
    <r>
      <rPr>
        <b val="true"/>
        <sz val="9"/>
        <color rgb="FF1A1A2E"/>
        <rFont val="DejaVu Sans"/>
        <family val="2"/>
      </rPr>
      <t xml:space="preserve">양산동원로얄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</si>
  <si>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양산시 어곡동 산</t>
    </r>
    <r>
      <rPr>
        <sz val="9"/>
        <color rgb="FF1A1A2E"/>
        <rFont val="DejaVu Sans"/>
        <family val="2"/>
        <charset val="1"/>
      </rPr>
      <t xml:space="preserve">283</t>
    </r>
    <r>
      <rPr>
        <sz val="9"/>
        <color rgb="FF1A1A2E"/>
        <rFont val="DejaVu Sans"/>
        <family val="2"/>
      </rPr>
      <t xml:space="preserve">번지</t>
    </r>
  </si>
  <si>
    <t xml:space="preserve">㈜아시아드티앤디송영범</t>
  </si>
  <si>
    <t xml:space="preserve">https://www.dongwonroyalcc.co.kr/</t>
  </si>
  <si>
    <t xml:space="preserve">055-387-7000</t>
  </si>
  <si>
    <t xml:space="preserve">양산컨트리클럽</t>
  </si>
  <si>
    <r>
      <rPr>
        <sz val="9"/>
        <color rgb="FF1A1A2E"/>
        <rFont val="DejaVu Sans"/>
        <family val="2"/>
      </rPr>
      <t xml:space="preserve">양산시 상북면 충렬로 </t>
    </r>
    <r>
      <rPr>
        <sz val="9"/>
        <color rgb="FF1A1A2E"/>
        <rFont val="DejaVu Sans"/>
        <family val="2"/>
        <charset val="1"/>
      </rPr>
      <t xml:space="preserve">687</t>
    </r>
  </si>
  <si>
    <t xml:space="preserve">㈜양산컨트리클럽신영철</t>
  </si>
  <si>
    <t xml:space="preserve">에덴밸리컨트리클럽</t>
  </si>
  <si>
    <r>
      <rPr>
        <sz val="9"/>
        <color rgb="FF1A1A2E"/>
        <rFont val="DejaVu Sans"/>
        <family val="2"/>
      </rPr>
      <t xml:space="preserve">양산시 원동면 어실로 </t>
    </r>
    <r>
      <rPr>
        <sz val="9"/>
        <color rgb="FF1A1A2E"/>
        <rFont val="DejaVu Sans"/>
        <family val="2"/>
        <charset val="1"/>
      </rPr>
      <t xml:space="preserve">910</t>
    </r>
  </si>
  <si>
    <t xml:space="preserve">신세계개발㈜문성필</t>
  </si>
  <si>
    <t xml:space="preserve">에이원컨트리클럽</t>
  </si>
  <si>
    <r>
      <rPr>
        <sz val="9"/>
        <color rgb="FF1A1A2E"/>
        <rFont val="DejaVu Sans"/>
        <family val="2"/>
      </rPr>
      <t xml:space="preserve">양산시 덕명로 </t>
    </r>
    <r>
      <rPr>
        <sz val="9"/>
        <color rgb="FF1A1A2E"/>
        <rFont val="DejaVu Sans"/>
        <family val="2"/>
        <charset val="1"/>
      </rPr>
      <t xml:space="preserve">190</t>
    </r>
  </si>
  <si>
    <t xml:space="preserve">에이원컨트리클럽㈜ 홍세희</t>
  </si>
  <si>
    <t xml:space="preserve">용원컨트리클럽</t>
  </si>
  <si>
    <r>
      <rPr>
        <sz val="9"/>
        <color rgb="FF1A1A2E"/>
        <rFont val="DejaVu Sans"/>
        <family val="2"/>
      </rPr>
      <t xml:space="preserve">창원시 진해구 가주로 </t>
    </r>
    <r>
      <rPr>
        <sz val="9"/>
        <color rgb="FF1A1A2E"/>
        <rFont val="DejaVu Sans"/>
        <family val="2"/>
        <charset val="1"/>
      </rPr>
      <t xml:space="preserve">133</t>
    </r>
  </si>
  <si>
    <t xml:space="preserve">의령 리온컨트리클럽</t>
  </si>
  <si>
    <r>
      <rPr>
        <sz val="9"/>
        <color rgb="FF1A1A2E"/>
        <rFont val="DejaVu Sans"/>
        <family val="2"/>
      </rPr>
      <t xml:space="preserve">의령군 칠곡면 내조리 산</t>
    </r>
    <r>
      <rPr>
        <sz val="9"/>
        <color rgb="FF1A1A2E"/>
        <rFont val="DejaVu Sans"/>
        <family val="2"/>
        <charset val="1"/>
      </rPr>
      <t xml:space="preserve">113</t>
    </r>
  </si>
  <si>
    <r>
      <rPr>
        <sz val="9"/>
        <color rgb="FF1A1A2E"/>
        <rFont val="DejaVu Sans"/>
        <family val="2"/>
      </rPr>
      <t xml:space="preserve">우신레저㈜강헌석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김사국</t>
    </r>
  </si>
  <si>
    <t xml:space="preserve">의령친환경골프장</t>
  </si>
  <si>
    <r>
      <rPr>
        <sz val="9"/>
        <color rgb="FF1A1A2E"/>
        <rFont val="DejaVu Sans"/>
        <family val="2"/>
      </rPr>
      <t xml:space="preserve">의령군 의령읍 남강로 </t>
    </r>
    <r>
      <rPr>
        <sz val="9"/>
        <color rgb="FF1A1A2E"/>
        <rFont val="DejaVu Sans"/>
        <family val="2"/>
        <charset val="1"/>
      </rPr>
      <t xml:space="preserve">417</t>
    </r>
  </si>
  <si>
    <t xml:space="preserve">의령군수</t>
  </si>
  <si>
    <t xml:space="preserve">진주컨트리클럽</t>
  </si>
  <si>
    <r>
      <rPr>
        <sz val="9"/>
        <color rgb="FF1A1A2E"/>
        <rFont val="DejaVu Sans"/>
        <family val="2"/>
      </rPr>
      <t xml:space="preserve">진주시 진성면 진성로 </t>
    </r>
    <r>
      <rPr>
        <sz val="9"/>
        <color rgb="FF1A1A2E"/>
        <rFont val="DejaVu Sans"/>
        <family val="2"/>
        <charset val="1"/>
      </rPr>
      <t xml:space="preserve">464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82</t>
    </r>
  </si>
  <si>
    <t xml:space="preserve">진주개발㈜김영재</t>
  </si>
  <si>
    <t xml:space="preserve">창원컨트리클럽</t>
  </si>
  <si>
    <r>
      <rPr>
        <sz val="9"/>
        <color rgb="FF1A1A2E"/>
        <rFont val="DejaVu Sans"/>
        <family val="2"/>
      </rPr>
      <t xml:space="preserve">창원시 의창구 대봉로 </t>
    </r>
    <r>
      <rPr>
        <sz val="9"/>
        <color rgb="FF1A1A2E"/>
        <rFont val="DejaVu Sans"/>
        <family val="2"/>
        <charset val="1"/>
      </rPr>
      <t xml:space="preserve">137</t>
    </r>
  </si>
  <si>
    <t xml:space="preserve">㈜창원컨트리클럽 송부욱</t>
  </si>
  <si>
    <t xml:space="preserve">클럽디거창</t>
  </si>
  <si>
    <r>
      <rPr>
        <sz val="9"/>
        <color rgb="FF1A1A2E"/>
        <rFont val="DejaVu Sans"/>
        <family val="2"/>
      </rPr>
      <t xml:space="preserve">거창군 신원면 덕산리 산 </t>
    </r>
    <r>
      <rPr>
        <sz val="9"/>
        <color rgb="FF1A1A2E"/>
        <rFont val="DejaVu Sans"/>
        <family val="2"/>
        <charset val="1"/>
      </rPr>
      <t xml:space="preserve">13</t>
    </r>
    <r>
      <rPr>
        <sz val="9"/>
        <color rgb="FF1A1A2E"/>
        <rFont val="DejaVu Sans"/>
        <family val="2"/>
      </rPr>
      <t xml:space="preserve">번지</t>
    </r>
  </si>
  <si>
    <t xml:space="preserve">코리아신탁㈜백인균</t>
  </si>
  <si>
    <t xml:space="preserve">통도파인이스트컨트리클럽</t>
  </si>
  <si>
    <r>
      <rPr>
        <sz val="9"/>
        <color rgb="FF1A1A2E"/>
        <rFont val="DejaVu Sans"/>
        <family val="2"/>
      </rPr>
      <t xml:space="preserve">양산시 하북면 신평남부길 </t>
    </r>
    <r>
      <rPr>
        <sz val="9"/>
        <color rgb="FF1A1A2E"/>
        <rFont val="DejaVu Sans"/>
        <family val="2"/>
        <charset val="1"/>
      </rPr>
      <t xml:space="preserve">29-12</t>
    </r>
  </si>
  <si>
    <t xml:space="preserve">㈜동일리조트김은수</t>
  </si>
  <si>
    <t xml:space="preserve">https://www.tongdopineast.com/</t>
  </si>
  <si>
    <t xml:space="preserve">055-370-3000</t>
  </si>
  <si>
    <t xml:space="preserve">통영동원로얄컨트리클럽</t>
  </si>
  <si>
    <r>
      <rPr>
        <sz val="9"/>
        <color rgb="FF1A1A2E"/>
        <rFont val="DejaVu Sans"/>
        <family val="2"/>
      </rPr>
      <t xml:space="preserve">통영시 산양읍 담안길 </t>
    </r>
    <r>
      <rPr>
        <sz val="9"/>
        <color rgb="FF1A1A2E"/>
        <rFont val="DejaVu Sans"/>
        <family val="2"/>
        <charset val="1"/>
      </rPr>
      <t xml:space="preserve">240</t>
    </r>
  </si>
  <si>
    <t xml:space="preserve">동원관광개발㈜이만수</t>
  </si>
  <si>
    <t xml:space="preserve">힐마루컨트리클럽</t>
  </si>
  <si>
    <r>
      <rPr>
        <sz val="9"/>
        <color rgb="FF1A1A2E"/>
        <rFont val="DejaVu Sans"/>
        <family val="2"/>
      </rPr>
      <t xml:space="preserve">창녕군 장마면 영산계성로 </t>
    </r>
    <r>
      <rPr>
        <sz val="9"/>
        <color rgb="FF1A1A2E"/>
        <rFont val="DejaVu Sans"/>
        <family val="2"/>
        <charset val="1"/>
      </rPr>
      <t xml:space="preserve">469-195</t>
    </r>
  </si>
  <si>
    <t xml:space="preserve">㈜ 동 훈김점동</t>
  </si>
  <si>
    <t xml:space="preserve">https://pocheon.hillmaru.com/</t>
  </si>
  <si>
    <t xml:space="preserve">부산</t>
  </si>
  <si>
    <t xml:space="preserve">기장동원로얄컨트리클럽</t>
  </si>
  <si>
    <r>
      <rPr>
        <sz val="9"/>
        <color rgb="FF1A1A2E"/>
        <rFont val="DejaVu Sans"/>
        <family val="2"/>
      </rPr>
      <t xml:space="preserve">부산 기장군 기장읍 반송로 </t>
    </r>
    <r>
      <rPr>
        <sz val="9"/>
        <color rgb="FF1A1A2E"/>
        <rFont val="DejaVu Sans"/>
        <family val="2"/>
        <charset val="1"/>
      </rPr>
      <t xml:space="preserve">1345</t>
    </r>
  </si>
  <si>
    <r>
      <rPr>
        <sz val="9"/>
        <color rgb="FF1A1A2E"/>
        <rFont val="DejaVu Sans"/>
        <family val="2"/>
      </rPr>
      <t xml:space="preserve">㈜남양종합개발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장정규</t>
    </r>
    <r>
      <rPr>
        <sz val="9"/>
        <color rgb="FF1A1A2E"/>
        <rFont val="DejaVu Sans"/>
        <family val="2"/>
        <charset val="1"/>
      </rPr>
      <t xml:space="preserve">)</t>
    </r>
  </si>
  <si>
    <t xml:space="preserve">동래베네스트골프클럽</t>
  </si>
  <si>
    <r>
      <rPr>
        <sz val="9"/>
        <color rgb="FF1A1A2E"/>
        <rFont val="DejaVu Sans"/>
        <family val="2"/>
      </rPr>
      <t xml:space="preserve">부산 금정구 선동 하정로 </t>
    </r>
    <r>
      <rPr>
        <sz val="9"/>
        <color rgb="FF1A1A2E"/>
        <rFont val="DejaVu Sans"/>
        <family val="2"/>
        <charset val="1"/>
      </rPr>
      <t xml:space="preserve">66</t>
    </r>
  </si>
  <si>
    <r>
      <rPr>
        <sz val="9"/>
        <color rgb="FF1A1A2E"/>
        <rFont val="DejaVu Sans"/>
        <family val="2"/>
      </rPr>
      <t xml:space="preserve">삼성물산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정금용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</si>
  <si>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https://www.golfsamsung.com/</t>
  </si>
  <si>
    <t xml:space="preserve">051-580-8000</t>
  </si>
  <si>
    <t xml:space="preserve">베이사이트골프클럽</t>
  </si>
  <si>
    <r>
      <rPr>
        <sz val="9"/>
        <color rgb="FF1A1A2E"/>
        <rFont val="DejaVu Sans"/>
        <family val="2"/>
      </rPr>
      <t xml:space="preserve">부산 기장군 일광면 이천</t>
    </r>
    <r>
      <rPr>
        <sz val="9"/>
        <color rgb="FF1A1A2E"/>
        <rFont val="DejaVu Sans"/>
        <family val="2"/>
        <charset val="1"/>
      </rPr>
      <t xml:space="preserve">8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100</t>
    </r>
  </si>
  <si>
    <r>
      <rPr>
        <sz val="9"/>
        <color rgb="FF1A1A2E"/>
        <rFont val="DejaVu Sans"/>
        <family val="2"/>
      </rPr>
      <t xml:space="preserve">일광개발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백규현</t>
    </r>
    <r>
      <rPr>
        <sz val="9"/>
        <color rgb="FF1A1A2E"/>
        <rFont val="DejaVu Sans"/>
        <family val="2"/>
        <charset val="1"/>
      </rPr>
      <t xml:space="preserve">)</t>
    </r>
  </si>
  <si>
    <t xml:space="preserve">부산컨트리클럽</t>
  </si>
  <si>
    <r>
      <rPr>
        <sz val="9"/>
        <color rgb="FF1A1A2E"/>
        <rFont val="DejaVu Sans"/>
        <family val="2"/>
      </rPr>
      <t xml:space="preserve">부산 금정구 중앙대로 </t>
    </r>
    <r>
      <rPr>
        <sz val="9"/>
        <color rgb="FF1A1A2E"/>
        <rFont val="DejaVu Sans"/>
        <family val="2"/>
        <charset val="1"/>
      </rPr>
      <t xml:space="preserve">2327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112(</t>
    </r>
    <r>
      <rPr>
        <sz val="9"/>
        <color rgb="FF1A1A2E"/>
        <rFont val="DejaVu Sans"/>
        <family val="2"/>
      </rPr>
      <t xml:space="preserve">노포동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</si>
  <si>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사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부산컨트리클럽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서정의</t>
    </r>
    <r>
      <rPr>
        <sz val="9"/>
        <color rgb="FF1A1A2E"/>
        <rFont val="Arial"/>
        <family val="2"/>
        <charset val="1"/>
      </rPr>
      <t xml:space="preserve">)</t>
    </r>
  </si>
  <si>
    <t xml:space="preserve">https://www.busancc.co.kr/</t>
  </si>
  <si>
    <t xml:space="preserve">051-580-1114</t>
  </si>
  <si>
    <t xml:space="preserve">스톤게이트컨트리클럽</t>
  </si>
  <si>
    <r>
      <rPr>
        <sz val="9"/>
        <color rgb="FF1A1A2E"/>
        <rFont val="DejaVu Sans"/>
        <family val="2"/>
      </rPr>
      <t xml:space="preserve">부산 기장군 일광면 곡천길 </t>
    </r>
    <r>
      <rPr>
        <sz val="9"/>
        <color rgb="FF1A1A2E"/>
        <rFont val="DejaVu Sans"/>
        <family val="2"/>
        <charset val="1"/>
      </rPr>
      <t xml:space="preserve">317</t>
    </r>
  </si>
  <si>
    <r>
      <rPr>
        <sz val="9"/>
        <color rgb="FF1A1A2E"/>
        <rFont val="DejaVu Sans"/>
        <family val="2"/>
      </rPr>
      <t xml:space="preserve">㈜오션디앤씨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이치헌</t>
    </r>
    <r>
      <rPr>
        <sz val="9"/>
        <color rgb="FF1A1A2E"/>
        <rFont val="DejaVu Sans"/>
        <family val="2"/>
        <charset val="1"/>
      </rPr>
      <t xml:space="preserve">)</t>
    </r>
  </si>
  <si>
    <t xml:space="preserve">아시아드컨드리클럽</t>
  </si>
  <si>
    <r>
      <rPr>
        <sz val="9"/>
        <color rgb="FF1A1A2E"/>
        <rFont val="DejaVu Sans"/>
        <family val="2"/>
      </rPr>
      <t xml:space="preserve">부산 기장군 일광면 차양길 </t>
    </r>
    <r>
      <rPr>
        <sz val="9"/>
        <color rgb="FF1A1A2E"/>
        <rFont val="DejaVu Sans"/>
        <family val="2"/>
        <charset val="1"/>
      </rPr>
      <t xml:space="preserve">26</t>
    </r>
  </si>
  <si>
    <r>
      <rPr>
        <sz val="9"/>
        <color rgb="FF1A1A2E"/>
        <rFont val="DejaVu Sans"/>
        <family val="2"/>
      </rPr>
      <t xml:space="preserve">아시아드컨드리클럽㈜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황규태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</si>
  <si>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https://www.asiadcc.co.kr/</t>
  </si>
  <si>
    <t xml:space="preserve">051-724-0001</t>
  </si>
  <si>
    <t xml:space="preserve">하이스트컨트리클럽</t>
  </si>
  <si>
    <r>
      <rPr>
        <sz val="9"/>
        <color rgb="FF1A1A2E"/>
        <rFont val="DejaVu Sans"/>
        <family val="2"/>
      </rPr>
      <t xml:space="preserve">부산 강서구 지상동 과학산단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172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</si>
  <si>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정상개발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박정오</t>
    </r>
    <r>
      <rPr>
        <sz val="9"/>
        <color rgb="FF1A1A2E"/>
        <rFont val="Arial"/>
        <family val="2"/>
        <charset val="1"/>
      </rPr>
      <t xml:space="preserve">)</t>
    </r>
  </si>
  <si>
    <t xml:space="preserve">해라컨트리클럽</t>
  </si>
  <si>
    <r>
      <rPr>
        <sz val="9"/>
        <color rgb="FF1A1A2E"/>
        <rFont val="DejaVu Sans"/>
        <family val="2"/>
      </rPr>
      <t xml:space="preserve">부산 강서구 지상동 과학산단로 </t>
    </r>
    <r>
      <rPr>
        <sz val="9"/>
        <color rgb="FF1A1A2E"/>
        <rFont val="DejaVu Sans"/>
        <family val="2"/>
        <charset val="1"/>
      </rPr>
      <t xml:space="preserve">306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77</t>
    </r>
  </si>
  <si>
    <r>
      <rPr>
        <sz val="9"/>
        <color rgb="FF1A1A2E"/>
        <rFont val="DejaVu Sans"/>
        <family val="2"/>
      </rPr>
      <t xml:space="preserve">㈜성우알앤디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김대원</t>
    </r>
    <r>
      <rPr>
        <sz val="9"/>
        <color rgb="FF1A1A2E"/>
        <rFont val="DejaVu Sans"/>
        <family val="2"/>
        <charset val="1"/>
      </rPr>
      <t xml:space="preserve">)</t>
    </r>
  </si>
  <si>
    <t xml:space="preserve">해운대비치골프앤리조트</t>
  </si>
  <si>
    <r>
      <rPr>
        <sz val="9"/>
        <color rgb="FF1A1A2E"/>
        <rFont val="DejaVu Sans"/>
        <family val="2"/>
      </rPr>
      <t xml:space="preserve">부산 기장군 기장읍 대변로 </t>
    </r>
    <r>
      <rPr>
        <sz val="9"/>
        <color rgb="FF1A1A2E"/>
        <rFont val="DejaVu Sans"/>
        <family val="2"/>
        <charset val="1"/>
      </rPr>
      <t xml:space="preserve">74</t>
    </r>
  </si>
  <si>
    <r>
      <rPr>
        <sz val="9"/>
        <color rgb="FF1A1A2E"/>
        <rFont val="DejaVu Sans"/>
        <family val="2"/>
      </rPr>
      <t xml:space="preserve">해운대비치골프앤리조트㈜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박호성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</si>
  <si>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https://www.haeundaebeachgolf.com/</t>
  </si>
  <si>
    <t xml:space="preserve">051-749-2000</t>
  </si>
  <si>
    <t xml:space="preserve">해운대컨트리클럽</t>
  </si>
  <si>
    <r>
      <rPr>
        <sz val="9"/>
        <color rgb="FF1A1A2E"/>
        <rFont val="DejaVu Sans"/>
        <family val="2"/>
      </rPr>
      <t xml:space="preserve">부산 기장군 정관면 병산</t>
    </r>
    <r>
      <rPr>
        <sz val="9"/>
        <color rgb="FF1A1A2E"/>
        <rFont val="DejaVu Sans"/>
        <family val="2"/>
        <charset val="1"/>
      </rPr>
      <t xml:space="preserve">2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265</t>
    </r>
  </si>
  <si>
    <r>
      <rPr>
        <sz val="9"/>
        <color rgb="FF1A1A2E"/>
        <rFont val="DejaVu Sans"/>
        <family val="2"/>
      </rPr>
      <t xml:space="preserve">경원개발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)(</t>
    </r>
    <r>
      <rPr>
        <sz val="9"/>
        <color rgb="FF1A1A2E"/>
        <rFont val="DejaVu Sans"/>
        <family val="2"/>
      </rPr>
      <t xml:space="preserve">조성태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</si>
  <si>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https://www.haeundaecc.co.kr/</t>
  </si>
  <si>
    <t xml:space="preserve">051-720-5000</t>
  </si>
  <si>
    <t xml:space="preserve">대구</t>
  </si>
  <si>
    <t xml:space="preserve">냉천컨트리클럽</t>
  </si>
  <si>
    <r>
      <rPr>
        <sz val="9"/>
        <color rgb="FF1A1A2E"/>
        <rFont val="DejaVu Sans"/>
        <family val="2"/>
      </rPr>
      <t xml:space="preserve">대구광역시 달성군 가창면 가창로 </t>
    </r>
    <r>
      <rPr>
        <sz val="9"/>
        <color rgb="FF1A1A2E"/>
        <rFont val="DejaVu Sans"/>
        <family val="2"/>
        <charset val="1"/>
      </rPr>
      <t xml:space="preserve">1037-9</t>
    </r>
  </si>
  <si>
    <r>
      <rPr>
        <sz val="9"/>
        <color rgb="FF1A1A2E"/>
        <rFont val="DejaVu Sans"/>
        <family val="2"/>
      </rPr>
      <t xml:space="preserve">냉천개발㈜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윤상락</t>
    </r>
    <r>
      <rPr>
        <sz val="9"/>
        <color rgb="FF1A1A2E"/>
        <rFont val="DejaVu Sans"/>
        <family val="2"/>
        <charset val="1"/>
      </rPr>
      <t xml:space="preserve">)</t>
    </r>
  </si>
  <si>
    <t xml:space="preserve">팔공컨트리클럽</t>
  </si>
  <si>
    <r>
      <rPr>
        <sz val="9"/>
        <color rgb="FF1A1A2E"/>
        <rFont val="DejaVu Sans"/>
        <family val="2"/>
      </rPr>
      <t xml:space="preserve">대구광역시 동구 팔공산로 </t>
    </r>
    <r>
      <rPr>
        <sz val="9"/>
        <color rgb="FF1A1A2E"/>
        <rFont val="DejaVu Sans"/>
        <family val="2"/>
        <charset val="1"/>
      </rPr>
      <t xml:space="preserve">237</t>
    </r>
    <r>
      <rPr>
        <sz val="9"/>
        <color rgb="FF1A1A2E"/>
        <rFont val="DejaVu Sans"/>
        <family val="2"/>
      </rPr>
      <t xml:space="preserve">길 </t>
    </r>
    <r>
      <rPr>
        <sz val="9"/>
        <color rgb="FF1A1A2E"/>
        <rFont val="DejaVu Sans"/>
        <family val="2"/>
        <charset val="1"/>
      </rPr>
      <t xml:space="preserve">186</t>
    </r>
  </si>
  <si>
    <r>
      <rPr>
        <sz val="9"/>
        <color rgb="FF1A1A2E"/>
        <rFont val="DejaVu Sans"/>
        <family val="2"/>
      </rPr>
      <t xml:space="preserve">우경개발㈜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정찬우</t>
    </r>
    <r>
      <rPr>
        <sz val="9"/>
        <color rgb="FF1A1A2E"/>
        <rFont val="DejaVu Sans"/>
        <family val="2"/>
        <charset val="1"/>
      </rPr>
      <t xml:space="preserve">)</t>
    </r>
  </si>
  <si>
    <t xml:space="preserve">https://www.palgongcc.co.kr/</t>
  </si>
  <si>
    <t xml:space="preserve">053-984-2001</t>
  </si>
  <si>
    <t xml:space="preserve">울산</t>
  </si>
  <si>
    <t xml:space="preserve">더골프골프장</t>
  </si>
  <si>
    <r>
      <rPr>
        <sz val="9"/>
        <color rgb="FF1A1A2E"/>
        <rFont val="DejaVu Sans"/>
        <family val="2"/>
      </rPr>
      <t xml:space="preserve">울주군 서생면 용연길 </t>
    </r>
    <r>
      <rPr>
        <sz val="9"/>
        <color rgb="FF1A1A2E"/>
        <rFont val="DejaVu Sans"/>
        <family val="2"/>
        <charset val="1"/>
      </rPr>
      <t xml:space="preserve">206-52</t>
    </r>
  </si>
  <si>
    <r>
      <rPr>
        <sz val="9"/>
        <color rgb="FF1A1A2E"/>
        <rFont val="DejaVu Sans"/>
        <family val="2"/>
      </rPr>
      <t xml:space="preserve">고암개발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노승현</t>
    </r>
    <r>
      <rPr>
        <sz val="9"/>
        <color rgb="FF1A1A2E"/>
        <rFont val="DejaVu Sans"/>
        <family val="2"/>
        <charset val="1"/>
      </rPr>
      <t xml:space="preserve">)</t>
    </r>
  </si>
  <si>
    <r>
      <rPr>
        <b val="true"/>
        <sz val="9"/>
        <color rgb="FF1A1A2E"/>
        <rFont val="DejaVu Sans"/>
        <family val="2"/>
      </rPr>
      <t xml:space="preserve">베이스타즈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</si>
  <si>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북구 어물동 산</t>
    </r>
    <r>
      <rPr>
        <sz val="9"/>
        <color rgb="FF1A1A2E"/>
        <rFont val="DejaVu Sans"/>
        <family val="2"/>
        <charset val="1"/>
      </rPr>
      <t xml:space="preserve">43-2 </t>
    </r>
    <r>
      <rPr>
        <sz val="9"/>
        <color rgb="FF1A1A2E"/>
        <rFont val="DejaVu Sans"/>
        <family val="2"/>
      </rPr>
      <t xml:space="preserve">일원</t>
    </r>
  </si>
  <si>
    <r>
      <rPr>
        <sz val="9"/>
        <color rgb="FF1A1A2E"/>
        <rFont val="DejaVu Sans"/>
        <family val="2"/>
      </rPr>
      <t xml:space="preserve">새정스타즈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정상헌</t>
    </r>
    <r>
      <rPr>
        <sz val="9"/>
        <color rgb="FF1A1A2E"/>
        <rFont val="DejaVu Sans"/>
        <family val="2"/>
        <charset val="1"/>
      </rPr>
      <t xml:space="preserve">)</t>
    </r>
  </si>
  <si>
    <t xml:space="preserve">보라골프장</t>
  </si>
  <si>
    <r>
      <rPr>
        <sz val="9"/>
        <color rgb="FF1A1A2E"/>
        <rFont val="DejaVu Sans"/>
        <family val="2"/>
      </rPr>
      <t xml:space="preserve">울주군 삼동면 삼동로 </t>
    </r>
    <r>
      <rPr>
        <sz val="9"/>
        <color rgb="FF1A1A2E"/>
        <rFont val="DejaVu Sans"/>
        <family val="2"/>
        <charset val="1"/>
      </rPr>
      <t xml:space="preserve">404</t>
    </r>
  </si>
  <si>
    <r>
      <rPr>
        <sz val="9"/>
        <color rgb="FF1A1A2E"/>
        <rFont val="DejaVu Sans"/>
        <family val="2"/>
      </rPr>
      <t xml:space="preserve">반도개발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안영호</t>
    </r>
    <r>
      <rPr>
        <sz val="9"/>
        <color rgb="FF1A1A2E"/>
        <rFont val="DejaVu Sans"/>
        <family val="2"/>
        <charset val="1"/>
      </rPr>
      <t xml:space="preserve">)</t>
    </r>
  </si>
  <si>
    <t xml:space="preserve">삼남골프장</t>
  </si>
  <si>
    <r>
      <rPr>
        <sz val="9"/>
        <color rgb="FF1A1A2E"/>
        <rFont val="DejaVu Sans"/>
        <family val="2"/>
      </rPr>
      <t xml:space="preserve">울주군 삼남면 방기가천로 </t>
    </r>
    <r>
      <rPr>
        <sz val="9"/>
        <color rgb="FF1A1A2E"/>
        <rFont val="DejaVu Sans"/>
        <family val="2"/>
        <charset val="1"/>
      </rPr>
      <t xml:space="preserve">179</t>
    </r>
  </si>
  <si>
    <r>
      <rPr>
        <sz val="9"/>
        <color rgb="FF1A1A2E"/>
        <rFont val="DejaVu Sans"/>
        <family val="2"/>
      </rPr>
      <t xml:space="preserve">삼남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김혜숙</t>
    </r>
    <r>
      <rPr>
        <sz val="9"/>
        <color rgb="FF1A1A2E"/>
        <rFont val="DejaVu Sans"/>
        <family val="2"/>
        <charset val="1"/>
      </rPr>
      <t xml:space="preserve">)</t>
    </r>
  </si>
  <si>
    <t xml:space="preserve">울산골프장</t>
  </si>
  <si>
    <r>
      <rPr>
        <sz val="9"/>
        <color rgb="FF1A1A2E"/>
        <rFont val="DejaVu Sans"/>
        <family val="2"/>
      </rPr>
      <t xml:space="preserve">울주군 웅촌면 웅촌로 </t>
    </r>
    <r>
      <rPr>
        <sz val="9"/>
        <color rgb="FF1A1A2E"/>
        <rFont val="DejaVu Sans"/>
        <family val="2"/>
        <charset val="1"/>
      </rPr>
      <t xml:space="preserve">1</t>
    </r>
  </si>
  <si>
    <r>
      <rPr>
        <sz val="9"/>
        <color rgb="FF1A1A2E"/>
        <rFont val="DejaVu Sans"/>
        <family val="2"/>
      </rPr>
      <t xml:space="preserve">울산개발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김석환</t>
    </r>
    <r>
      <rPr>
        <sz val="9"/>
        <color rgb="FF1A1A2E"/>
        <rFont val="DejaVu Sans"/>
        <family val="2"/>
        <charset val="1"/>
      </rPr>
      <t xml:space="preserve">)</t>
    </r>
  </si>
  <si>
    <t xml:space="preserve">제주</t>
  </si>
  <si>
    <r>
      <rPr>
        <b val="true"/>
        <sz val="9"/>
        <color rgb="FF1A1A2E"/>
        <rFont val="Arial"/>
        <family val="2"/>
        <charset val="1"/>
      </rPr>
      <t xml:space="preserve">sk</t>
    </r>
    <r>
      <rPr>
        <b val="true"/>
        <sz val="9"/>
        <color rgb="FF1A1A2E"/>
        <rFont val="DejaVu Sans"/>
        <family val="2"/>
      </rPr>
      <t xml:space="preserve">핀크스골프장</t>
    </r>
  </si>
  <si>
    <r>
      <rPr>
        <sz val="9"/>
        <color rgb="FF1A1A2E"/>
        <rFont val="DejaVu Sans"/>
        <family val="2"/>
      </rPr>
      <t xml:space="preserve">서귀포시 안덕면 산록남로 </t>
    </r>
    <r>
      <rPr>
        <sz val="9"/>
        <color rgb="FF1A1A2E"/>
        <rFont val="DejaVu Sans"/>
        <family val="2"/>
        <charset val="1"/>
      </rPr>
      <t xml:space="preserve">863</t>
    </r>
  </si>
  <si>
    <r>
      <rPr>
        <sz val="9"/>
        <color rgb="FF1A1A2E"/>
        <rFont val="Arial"/>
        <family val="2"/>
        <charset val="1"/>
      </rPr>
      <t xml:space="preserve">SK </t>
    </r>
    <r>
      <rPr>
        <sz val="9"/>
        <color rgb="FF1A1A2E"/>
        <rFont val="DejaVu Sans"/>
        <family val="2"/>
      </rPr>
      <t xml:space="preserve">핀크스㈜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강석현</t>
    </r>
  </si>
  <si>
    <t xml:space="preserve">https://www.thepinx.co.kr/</t>
  </si>
  <si>
    <t xml:space="preserve">064-792-8000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</si>
  <si>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(6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kimcaddie, allthatgolf.kr, clien_cm_golf | </t>
    </r>
    <r>
      <rPr>
        <sz val="11"/>
        <color theme="1"/>
        <rFont val="DejaVu Sans"/>
        <family val="2"/>
      </rPr>
      <t xml:space="preserve">김캐디 그린 </t>
    </r>
    <r>
      <rPr>
        <sz val="11"/>
        <color theme="1"/>
        <rFont val="DejaVu Sans"/>
        <family val="2"/>
        <charset val="1"/>
      </rPr>
      <t xml:space="preserve">10/10, </t>
    </r>
    <r>
      <rPr>
        <sz val="11"/>
        <color theme="1"/>
        <rFont val="DejaVu Sans"/>
        <family val="2"/>
      </rPr>
      <t xml:space="preserve">페어웨이 </t>
    </r>
    <r>
      <rPr>
        <sz val="11"/>
        <color theme="1"/>
        <rFont val="DejaVu Sans"/>
        <family val="2"/>
        <charset val="1"/>
      </rPr>
      <t xml:space="preserve">9/10 </t>
    </r>
    <r>
      <rPr>
        <sz val="11"/>
        <color theme="1"/>
        <rFont val="DejaVu Sans"/>
        <family val="2"/>
      </rPr>
      <t xml:space="preserve">평가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디봇 대부분 메꿔지고 잔디씨 뿌려 세심 관리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페어웨이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그린 모두 벤트그라스</t>
    </r>
    <r>
      <rPr>
        <sz val="11"/>
        <color theme="1"/>
        <rFont val="DejaVu Sans"/>
        <family val="2"/>
        <charset val="1"/>
      </rPr>
      <t xml:space="preserve">. 2005</t>
    </r>
    <r>
      <rPr>
        <sz val="11"/>
        <color theme="1"/>
        <rFont val="DejaVu Sans"/>
        <family val="2"/>
      </rPr>
      <t xml:space="preserve">년 국내 최초 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110/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101/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93/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81/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74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</si>
  <si>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</rPr>
      <t xml:space="preserve">㈜부영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</si>
  <si>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남원읍 남조로 </t>
    </r>
    <r>
      <rPr>
        <sz val="9"/>
        <color rgb="FF1A1A2E"/>
        <rFont val="DejaVu Sans"/>
        <family val="2"/>
        <charset val="1"/>
      </rPr>
      <t xml:space="preserve">960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</si>
  <si>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부영</t>
    </r>
    <r>
      <rPr>
        <sz val="9"/>
        <color rgb="FF1A1A2E"/>
        <rFont val="Arial"/>
        <family val="2"/>
        <charset val="1"/>
      </rPr>
      <t xml:space="preserve">CC / </t>
    </r>
    <r>
      <rPr>
        <sz val="9"/>
        <color rgb="FF1A1A2E"/>
        <rFont val="DejaVu Sans"/>
        <family val="2"/>
      </rPr>
      <t xml:space="preserve">정동진</t>
    </r>
  </si>
  <si>
    <t xml:space="preserve">㈜우리들리조트 제주</t>
  </si>
  <si>
    <r>
      <rPr>
        <sz val="9"/>
        <color rgb="FF1A1A2E"/>
        <rFont val="DejaVu Sans"/>
        <family val="2"/>
      </rPr>
      <t xml:space="preserve">제주특별자치도 서귀포시 산록남로 </t>
    </r>
    <r>
      <rPr>
        <sz val="9"/>
        <color rgb="FF1A1A2E"/>
        <rFont val="DejaVu Sans"/>
        <family val="2"/>
        <charset val="1"/>
      </rPr>
      <t xml:space="preserve">2914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</si>
  <si>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우리들리조트제주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이승렬</t>
    </r>
  </si>
  <si>
    <r>
      <rPr>
        <b val="true"/>
        <sz val="9"/>
        <color rgb="FF1A1A2E"/>
        <rFont val="DejaVu Sans"/>
        <family val="2"/>
      </rPr>
      <t xml:space="preserve">㈜호텔롯데스카이힐제주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</si>
  <si>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상예로 </t>
    </r>
    <r>
      <rPr>
        <sz val="9"/>
        <color rgb="FF1A1A2E"/>
        <rFont val="DejaVu Sans"/>
        <family val="2"/>
        <charset val="1"/>
      </rPr>
      <t xml:space="preserve">530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</si>
  <si>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호텔롯데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김정환</t>
    </r>
  </si>
  <si>
    <t xml:space="preserve">골프존카운티오라</t>
  </si>
  <si>
    <r>
      <rPr>
        <sz val="9"/>
        <color rgb="FF1A1A2E"/>
        <rFont val="DejaVu Sans"/>
        <family val="2"/>
      </rPr>
      <t xml:space="preserve">제주도 제주시 오라남로 </t>
    </r>
    <r>
      <rPr>
        <sz val="9"/>
        <color rgb="FF1A1A2E"/>
        <rFont val="DejaVu Sans"/>
        <family val="2"/>
        <charset val="1"/>
      </rPr>
      <t xml:space="preserve">130-16(</t>
    </r>
    <r>
      <rPr>
        <sz val="9"/>
        <color rgb="FF1A1A2E"/>
        <rFont val="DejaVu Sans"/>
        <family val="2"/>
      </rPr>
      <t xml:space="preserve">오라이동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</si>
  <si>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글래드호텔앤리조트㈜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양경홍㈜ 골프존카운티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서상현</t>
    </r>
  </si>
  <si>
    <t xml:space="preserve">그린필드골프장</t>
  </si>
  <si>
    <r>
      <rPr>
        <sz val="9"/>
        <color rgb="FF1A1A2E"/>
        <rFont val="DejaVu Sans"/>
        <family val="2"/>
      </rPr>
      <t xml:space="preserve">제주시 조천읍 번영로</t>
    </r>
    <r>
      <rPr>
        <sz val="9"/>
        <color rgb="FF1A1A2E"/>
        <rFont val="DejaVu Sans"/>
        <family val="2"/>
        <charset val="1"/>
      </rPr>
      <t xml:space="preserve">1040-70</t>
    </r>
  </si>
  <si>
    <r>
      <rPr>
        <sz val="9"/>
        <color rgb="FF1A1A2E"/>
        <rFont val="DejaVu Sans"/>
        <family val="2"/>
      </rPr>
      <t xml:space="preserve">㈜형삼문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신지호</t>
    </r>
  </si>
  <si>
    <r>
      <rPr>
        <b val="true"/>
        <sz val="9"/>
        <color rgb="FF1A1A2E"/>
        <rFont val="DejaVu Sans"/>
        <family val="2"/>
      </rPr>
      <t xml:space="preserve">더클래식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</si>
  <si>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남조로 </t>
    </r>
    <r>
      <rPr>
        <sz val="9"/>
        <color rgb="FF1A1A2E"/>
        <rFont val="DejaVu Sans"/>
        <family val="2"/>
        <charset val="1"/>
      </rPr>
      <t xml:space="preserve">1105</t>
    </r>
  </si>
  <si>
    <r>
      <rPr>
        <sz val="9"/>
        <color rgb="FF1A1A2E"/>
        <rFont val="DejaVu Sans"/>
        <family val="2"/>
      </rPr>
      <t xml:space="preserve">㈜더클래식</t>
    </r>
    <r>
      <rPr>
        <sz val="9"/>
        <color rgb="FF1A1A2E"/>
        <rFont val="DejaVu Sans"/>
        <family val="2"/>
        <charset val="1"/>
      </rPr>
      <t xml:space="preserve">CC / </t>
    </r>
    <r>
      <rPr>
        <sz val="9"/>
        <color rgb="FF1A1A2E"/>
        <rFont val="DejaVu Sans"/>
        <family val="2"/>
      </rPr>
      <t xml:space="preserve">이중근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이용곤</t>
    </r>
  </si>
  <si>
    <t xml:space="preserve">라온골프클럽</t>
  </si>
  <si>
    <r>
      <rPr>
        <sz val="9"/>
        <color rgb="FF1A1A2E"/>
        <rFont val="DejaVu Sans"/>
        <family val="2"/>
      </rPr>
      <t xml:space="preserve">제주도 제주시 한경면 용금로 </t>
    </r>
    <r>
      <rPr>
        <sz val="9"/>
        <color rgb="FF1A1A2E"/>
        <rFont val="DejaVu Sans"/>
        <family val="2"/>
        <charset val="1"/>
      </rPr>
      <t xml:space="preserve">998</t>
    </r>
  </si>
  <si>
    <r>
      <rPr>
        <sz val="9"/>
        <color rgb="FF1A1A2E"/>
        <rFont val="DejaVu Sans"/>
        <family val="2"/>
      </rPr>
      <t xml:space="preserve">라온레저개발㈜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손광섭</t>
    </r>
  </si>
  <si>
    <t xml:space="preserve">https://www.raon.co.kr/</t>
  </si>
  <si>
    <t xml:space="preserve">라헨느</t>
  </si>
  <si>
    <r>
      <rPr>
        <sz val="9"/>
        <color rgb="FF1A1A2E"/>
        <rFont val="DejaVu Sans"/>
        <family val="2"/>
      </rPr>
      <t xml:space="preserve">제주시 명림로 </t>
    </r>
    <r>
      <rPr>
        <sz val="9"/>
        <color rgb="FF1A1A2E"/>
        <rFont val="DejaVu Sans"/>
        <family val="2"/>
        <charset val="1"/>
      </rPr>
      <t xml:space="preserve">375</t>
    </r>
  </si>
  <si>
    <r>
      <rPr>
        <sz val="9"/>
        <color rgb="FF1A1A2E"/>
        <rFont val="DejaVu Sans"/>
        <family val="2"/>
      </rPr>
      <t xml:space="preserve">라헨느리조트㈜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강창원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박준영</t>
    </r>
  </si>
  <si>
    <t xml:space="preserve">레이크힐스</t>
  </si>
  <si>
    <r>
      <rPr>
        <sz val="9"/>
        <color rgb="FF1A1A2E"/>
        <rFont val="DejaVu Sans"/>
        <family val="2"/>
      </rPr>
      <t xml:space="preserve">제주특별자치도 서귀포시 중문동 산</t>
    </r>
    <r>
      <rPr>
        <sz val="9"/>
        <color rgb="FF1A1A2E"/>
        <rFont val="DejaVu Sans"/>
        <family val="2"/>
        <charset val="1"/>
      </rPr>
      <t xml:space="preserve">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</si>
  <si>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레이크힐스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윤진섭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정교진</t>
    </r>
  </si>
  <si>
    <t xml:space="preserve">블랙스톤리조트</t>
  </si>
  <si>
    <r>
      <rPr>
        <sz val="9"/>
        <color rgb="FF1A1A2E"/>
        <rFont val="DejaVu Sans"/>
        <family val="2"/>
      </rPr>
      <t xml:space="preserve">제주시 한림읍 한창로 </t>
    </r>
    <r>
      <rPr>
        <sz val="9"/>
        <color rgb="FF1A1A2E"/>
        <rFont val="DejaVu Sans"/>
        <family val="2"/>
        <charset val="1"/>
      </rPr>
      <t xml:space="preserve">925-122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</si>
  <si>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블랙스톤리조트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원기룡</t>
    </r>
  </si>
  <si>
    <t xml:space="preserve">사이프러스</t>
  </si>
  <si>
    <r>
      <rPr>
        <sz val="9"/>
        <color rgb="FF1A1A2E"/>
        <rFont val="DejaVu Sans"/>
        <family val="2"/>
      </rPr>
      <t xml:space="preserve">서귀포시 표선면 번영로 </t>
    </r>
    <r>
      <rPr>
        <sz val="9"/>
        <color rgb="FF1A1A2E"/>
        <rFont val="DejaVu Sans"/>
        <family val="2"/>
        <charset val="1"/>
      </rPr>
      <t xml:space="preserve">2300</t>
    </r>
  </si>
  <si>
    <r>
      <rPr>
        <sz val="9"/>
        <color rgb="FF1A1A2E"/>
        <rFont val="DejaVu Sans"/>
        <family val="2"/>
      </rPr>
      <t xml:space="preserve">남영산업㈜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김헌국</t>
    </r>
  </si>
  <si>
    <t xml:space="preserve">https://www.cypressjeju.com/</t>
  </si>
  <si>
    <r>
      <rPr>
        <b val="true"/>
        <sz val="9"/>
        <color rgb="FF1A1A2E"/>
        <rFont val="DejaVu Sans"/>
        <family val="2"/>
      </rPr>
      <t xml:space="preserve">샤인빌파크</t>
    </r>
    <r>
      <rPr>
        <b val="true"/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</si>
  <si>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서귀포시 표선면 가시로 </t>
    </r>
    <r>
      <rPr>
        <sz val="9"/>
        <color rgb="FF1A1A2E"/>
        <rFont val="DejaVu Sans"/>
        <family val="2"/>
        <charset val="1"/>
      </rPr>
      <t xml:space="preserve">384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</si>
  <si>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록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박찬수</t>
    </r>
  </si>
  <si>
    <r>
      <rPr>
        <b val="true"/>
        <sz val="9"/>
        <color rgb="FF1A1A2E"/>
        <rFont val="DejaVu Sans"/>
        <family val="2"/>
      </rPr>
      <t xml:space="preserve">세인트포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</si>
  <si>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구좌읍 선유로 </t>
    </r>
    <r>
      <rPr>
        <sz val="9"/>
        <color rgb="FF1A1A2E"/>
        <rFont val="DejaVu Sans"/>
        <family val="2"/>
        <charset val="1"/>
      </rPr>
      <t xml:space="preserve">445-55</t>
    </r>
  </si>
  <si>
    <t xml:space="preserve">㈜제이제이한라 대표이사 남규환</t>
  </si>
  <si>
    <t xml:space="preserve">https://saintfour.co.kr/</t>
  </si>
  <si>
    <t xml:space="preserve">064-780-0114</t>
  </si>
  <si>
    <t xml:space="preserve">스프링데일</t>
  </si>
  <si>
    <r>
      <rPr>
        <sz val="9"/>
        <color rgb="FF1A1A2E"/>
        <rFont val="DejaVu Sans"/>
        <family val="2"/>
      </rPr>
      <t xml:space="preserve">서귀포시 서성로 </t>
    </r>
    <r>
      <rPr>
        <sz val="9"/>
        <color rgb="FF1A1A2E"/>
        <rFont val="DejaVu Sans"/>
        <family val="2"/>
        <charset val="1"/>
      </rPr>
      <t xml:space="preserve">459</t>
    </r>
  </si>
  <si>
    <r>
      <rPr>
        <sz val="9"/>
        <color rgb="FF1A1A2E"/>
        <rFont val="DejaVu Sans"/>
        <family val="2"/>
      </rPr>
      <t xml:space="preserve">㈜동국개발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강국창</t>
    </r>
  </si>
  <si>
    <t xml:space="preserve">아덴힐</t>
  </si>
  <si>
    <r>
      <rPr>
        <sz val="9"/>
        <color rgb="FF1A1A2E"/>
        <rFont val="DejaVu Sans"/>
        <family val="2"/>
      </rPr>
      <t xml:space="preserve">제주시 화전길 </t>
    </r>
    <r>
      <rPr>
        <sz val="9"/>
        <color rgb="FF1A1A2E"/>
        <rFont val="DejaVu Sans"/>
        <family val="2"/>
        <charset val="1"/>
      </rPr>
      <t xml:space="preserve">82</t>
    </r>
  </si>
  <si>
    <r>
      <rPr>
        <sz val="9"/>
        <color rgb="FF1A1A2E"/>
        <rFont val="DejaVu Sans"/>
        <family val="2"/>
      </rPr>
      <t xml:space="preserve">아덴힐리조트앤골프㈜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정종인</t>
    </r>
  </si>
  <si>
    <t xml:space="preserve">에버리스골프리조트</t>
  </si>
  <si>
    <r>
      <rPr>
        <sz val="9"/>
        <color rgb="FF1A1A2E"/>
        <rFont val="DejaVu Sans"/>
        <family val="2"/>
      </rPr>
      <t xml:space="preserve">제주시 애월읍 평화로 </t>
    </r>
    <r>
      <rPr>
        <sz val="9"/>
        <color rgb="FF1A1A2E"/>
        <rFont val="DejaVu Sans"/>
        <family val="2"/>
        <charset val="1"/>
      </rPr>
      <t xml:space="preserve">1693-75</t>
    </r>
  </si>
  <si>
    <r>
      <rPr>
        <sz val="9"/>
        <color rgb="FF1A1A2E"/>
        <rFont val="DejaVu Sans"/>
        <family val="2"/>
      </rPr>
      <t xml:space="preserve">신안관광개발㈜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강승홍</t>
    </r>
  </si>
  <si>
    <t xml:space="preserve">에코랜드</t>
  </si>
  <si>
    <r>
      <rPr>
        <sz val="9"/>
        <color rgb="FF1A1A2E"/>
        <rFont val="DejaVu Sans"/>
        <family val="2"/>
      </rPr>
      <t xml:space="preserve">제주시 번영로 </t>
    </r>
    <r>
      <rPr>
        <sz val="9"/>
        <color rgb="FF1A1A2E"/>
        <rFont val="DejaVu Sans"/>
        <family val="2"/>
        <charset val="1"/>
      </rPr>
      <t xml:space="preserve">1278-169</t>
    </r>
  </si>
  <si>
    <r>
      <rPr>
        <sz val="9"/>
        <color rgb="FF1A1A2E"/>
        <rFont val="DejaVu Sans"/>
        <family val="2"/>
      </rPr>
      <t xml:space="preserve">㈜더원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정우석</t>
    </r>
  </si>
  <si>
    <t xml:space="preserve">https://www.ecolandjeju.co.kr/</t>
  </si>
  <si>
    <t xml:space="preserve">064-802-8000</t>
  </si>
  <si>
    <r>
      <rPr>
        <b val="true"/>
        <sz val="9"/>
        <color rgb="FF1A1A2E"/>
        <rFont val="DejaVu Sans"/>
        <family val="2"/>
      </rPr>
      <t xml:space="preserve">엘리시안 제주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</si>
  <si>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애월읍 평화로 </t>
    </r>
    <r>
      <rPr>
        <sz val="9"/>
        <color rgb="FF1A1A2E"/>
        <rFont val="DejaVu Sans"/>
        <family val="2"/>
        <charset val="1"/>
      </rPr>
      <t xml:space="preserve">1738-116</t>
    </r>
  </si>
  <si>
    <r>
      <rPr>
        <sz val="9"/>
        <color rgb="FF1A1A2E"/>
        <rFont val="Arial"/>
        <family val="2"/>
        <charset val="1"/>
      </rPr>
      <t xml:space="preserve">GS</t>
    </r>
    <r>
      <rPr>
        <sz val="9"/>
        <color rgb="FF1A1A2E"/>
        <rFont val="DejaVu Sans"/>
        <family val="2"/>
      </rPr>
      <t xml:space="preserve">건설㈜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임병용</t>
    </r>
  </si>
  <si>
    <t xml:space="preserve">https://www.elysian.co.kr/jeju/</t>
  </si>
  <si>
    <t xml:space="preserve">064-798-8500</t>
  </si>
  <si>
    <r>
      <rPr>
        <b val="true"/>
        <sz val="9"/>
        <color rgb="FF1A1A2E"/>
        <rFont val="DejaVu Sans"/>
        <family val="2"/>
      </rPr>
      <t xml:space="preserve">제주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</si>
  <si>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제주특별자치도 제주시 </t>
    </r>
    <r>
      <rPr>
        <sz val="9"/>
        <color rgb="FF1A1A2E"/>
        <rFont val="DejaVu Sans"/>
        <family val="2"/>
        <charset val="1"/>
      </rPr>
      <t xml:space="preserve">516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2695</t>
    </r>
    <r>
      <rPr>
        <sz val="9"/>
        <color rgb="FF1A1A2E"/>
        <rFont val="DejaVu Sans"/>
        <family val="2"/>
      </rPr>
      <t xml:space="preserve">번지</t>
    </r>
  </si>
  <si>
    <r>
      <rPr>
        <sz val="9"/>
        <color rgb="FF1A1A2E"/>
        <rFont val="DejaVu Sans"/>
        <family val="2"/>
      </rPr>
      <t xml:space="preserve">㈜제주컨트리구락부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정재훈</t>
    </r>
  </si>
  <si>
    <t xml:space="preserve">https://www.haevichi.com/ccjeju/ko/</t>
  </si>
  <si>
    <t xml:space="preserve">064-780-8000</t>
  </si>
  <si>
    <r>
      <rPr>
        <b val="true"/>
        <sz val="9"/>
        <color rgb="FF1A1A2E"/>
        <rFont val="DejaVu Sans"/>
        <family val="2"/>
      </rPr>
      <t xml:space="preserve">제주힐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</si>
  <si>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</t>
    </r>
    <r>
      <rPr>
        <sz val="9"/>
        <color rgb="FF1A1A2E"/>
        <rFont val="DejaVu Sans"/>
        <family val="2"/>
        <charset val="1"/>
      </rPr>
      <t xml:space="preserve">516</t>
    </r>
    <r>
      <rPr>
        <sz val="9"/>
        <color rgb="FF1A1A2E"/>
        <rFont val="DejaVu Sans"/>
        <family val="2"/>
      </rPr>
      <t xml:space="preserve">로 </t>
    </r>
    <r>
      <rPr>
        <sz val="9"/>
        <color rgb="FF1A1A2E"/>
        <rFont val="DejaVu Sans"/>
        <family val="2"/>
        <charset val="1"/>
      </rPr>
      <t xml:space="preserve">2696-117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</si>
  <si>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제주힐</t>
    </r>
    <r>
      <rPr>
        <sz val="9"/>
        <color rgb="FF1A1A2E"/>
        <rFont val="Arial"/>
        <family val="2"/>
        <charset val="1"/>
      </rPr>
      <t xml:space="preserve">cc / </t>
    </r>
    <r>
      <rPr>
        <sz val="9"/>
        <color rgb="FF1A1A2E"/>
        <rFont val="DejaVu Sans"/>
        <family val="2"/>
      </rPr>
      <t xml:space="preserve">박원석</t>
    </r>
  </si>
  <si>
    <r>
      <rPr>
        <b val="true"/>
        <sz val="9"/>
        <color rgb="FF1A1A2E"/>
        <rFont val="DejaVu Sans"/>
        <family val="2"/>
      </rPr>
      <t xml:space="preserve">중문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</si>
  <si>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서귀포시 중문관광로 </t>
    </r>
    <r>
      <rPr>
        <sz val="9"/>
        <color rgb="FF1A1A2E"/>
        <rFont val="DejaVu Sans"/>
        <family val="2"/>
        <charset val="1"/>
      </rPr>
      <t xml:space="preserve">72</t>
    </r>
    <r>
      <rPr>
        <sz val="9"/>
        <color rgb="FF1A1A2E"/>
        <rFont val="DejaVu Sans"/>
        <family val="2"/>
      </rPr>
      <t xml:space="preserve">버길 </t>
    </r>
    <r>
      <rPr>
        <sz val="9"/>
        <color rgb="FF1A1A2E"/>
        <rFont val="DejaVu Sans"/>
        <family val="2"/>
        <charset val="1"/>
      </rPr>
      <t xml:space="preserve">60</t>
    </r>
  </si>
  <si>
    <r>
      <rPr>
        <sz val="9"/>
        <color rgb="FF1A1A2E"/>
        <rFont val="DejaVu Sans"/>
        <family val="2"/>
      </rPr>
      <t xml:space="preserve">한국관광공사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정창수</t>
    </r>
  </si>
  <si>
    <r>
      <rPr>
        <b val="true"/>
        <sz val="9"/>
        <color rgb="FF1A1A2E"/>
        <rFont val="DejaVu Sans"/>
        <family val="2"/>
      </rPr>
      <t xml:space="preserve">캐슬렉스제주</t>
    </r>
    <r>
      <rPr>
        <b val="true"/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</si>
  <si>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서귀포시 평화로 </t>
    </r>
    <r>
      <rPr>
        <sz val="9"/>
        <color rgb="FF1A1A2E"/>
        <rFont val="DejaVu Sans"/>
        <family val="2"/>
        <charset val="1"/>
      </rPr>
      <t xml:space="preserve">1241</t>
    </r>
  </si>
  <si>
    <r>
      <rPr>
        <sz val="9"/>
        <color rgb="FF1A1A2E"/>
        <rFont val="DejaVu Sans"/>
        <family val="2"/>
      </rPr>
      <t xml:space="preserve">㈜캐슬렉스제주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최세환</t>
    </r>
  </si>
  <si>
    <r>
      <rPr>
        <b val="true"/>
        <sz val="9"/>
        <color rgb="FF1A1A2E"/>
        <rFont val="DejaVu Sans"/>
        <family val="2"/>
      </rPr>
      <t xml:space="preserve">크라운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</si>
  <si>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북선로 </t>
    </r>
    <r>
      <rPr>
        <sz val="9"/>
        <color rgb="FF1A1A2E"/>
        <rFont val="DejaVu Sans"/>
        <family val="2"/>
        <charset val="1"/>
      </rPr>
      <t xml:space="preserve">125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</si>
  <si>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재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관정이종환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안동일</t>
    </r>
  </si>
  <si>
    <t xml:space="preserve">클럽나인브릿지</t>
  </si>
  <si>
    <r>
      <rPr>
        <sz val="9"/>
        <color rgb="FF1A1A2E"/>
        <rFont val="DejaVu Sans"/>
        <family val="2"/>
      </rPr>
      <t xml:space="preserve">제주특별자치도 서귀포시 안덕면 광평로</t>
    </r>
    <r>
      <rPr>
        <sz val="9"/>
        <color rgb="FF1A1A2E"/>
        <rFont val="DejaVu Sans"/>
        <family val="2"/>
        <charset val="1"/>
      </rPr>
      <t xml:space="preserve">34-156</t>
    </r>
  </si>
  <si>
    <r>
      <rPr>
        <sz val="9"/>
        <color rgb="FF1A1A2E"/>
        <rFont val="Arial"/>
        <family val="2"/>
        <charset val="1"/>
      </rPr>
      <t xml:space="preserve">CJ</t>
    </r>
    <r>
      <rPr>
        <sz val="9"/>
        <color rgb="FF1A1A2E"/>
        <rFont val="DejaVu Sans"/>
        <family val="2"/>
      </rPr>
      <t xml:space="preserve">대한통운주식회사 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손관수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박근태</t>
    </r>
    <r>
      <rPr>
        <sz val="9"/>
        <color rgb="FF1A1A2E"/>
        <rFont val="Arial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김춘학</t>
    </r>
  </si>
  <si>
    <t xml:space="preserve">✅ 평점확보 (시드)</t>
  </si>
  <si>
    <t xml:space="preserve">https://www.ninebridges.co.kr</t>
  </si>
  <si>
    <t xml:space="preserve">064-793-9999</t>
  </si>
  <si>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0.70): ninebridges.co.kr, cj.net, kimcaddie | </t>
    </r>
    <r>
      <rPr>
        <sz val="11"/>
        <color theme="1"/>
        <rFont val="DejaVu Sans"/>
        <family val="2"/>
      </rPr>
      <t xml:space="preserve">그린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페어웨이 모두 벤트그라스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홀당 </t>
    </r>
    <r>
      <rPr>
        <sz val="11"/>
        <color theme="1"/>
        <rFont val="DejaVu Sans"/>
        <family val="2"/>
        <charset val="1"/>
      </rPr>
      <t xml:space="preserve">5</t>
    </r>
    <r>
      <rPr>
        <sz val="11"/>
        <color theme="1"/>
        <rFont val="DejaVu Sans"/>
        <family val="2"/>
      </rPr>
      <t xml:space="preserve">개 이상 티잉그라운드로 티박스 관리 우수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100</t>
    </r>
    <r>
      <rPr>
        <sz val="11"/>
        <color theme="1"/>
        <rFont val="DejaVu Sans"/>
        <family val="2"/>
      </rPr>
      <t xml:space="preserve">대 프라이빗 코스</t>
    </r>
    <r>
      <rPr>
        <sz val="11"/>
        <color theme="1"/>
        <rFont val="DejaVu Sans"/>
        <family val="2"/>
        <charset val="1"/>
      </rPr>
      <t xml:space="preserve">, CJ</t>
    </r>
    <r>
      <rPr>
        <sz val="11"/>
        <color theme="1"/>
        <rFont val="DejaVu Sans"/>
        <family val="2"/>
      </rPr>
      <t xml:space="preserve">컵 개최지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넓은 페어웨이로 좋은 평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개별 후기는 제한적이어서 명문 수준 반영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115/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105/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96/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83/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74 · </t>
    </r>
    <r>
      <rPr>
        <sz val="11"/>
        <color theme="1"/>
        <rFont val="DejaVu Sans"/>
        <family val="2"/>
      </rPr>
      <t xml:space="preserve">난이도등급 최상급</t>
    </r>
  </si>
  <si>
    <r>
      <rPr>
        <b val="true"/>
        <sz val="9"/>
        <color rgb="FF1A1A2E"/>
        <rFont val="DejaVu Sans"/>
        <family val="2"/>
      </rPr>
      <t xml:space="preserve">타미우스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</si>
  <si>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화전길 </t>
    </r>
    <r>
      <rPr>
        <sz val="9"/>
        <color rgb="FF1A1A2E"/>
        <rFont val="DejaVu Sans"/>
        <family val="2"/>
        <charset val="1"/>
      </rPr>
      <t xml:space="preserve">201</t>
    </r>
  </si>
  <si>
    <r>
      <rPr>
        <sz val="9"/>
        <color rgb="FF1A1A2E"/>
        <rFont val="DejaVu Sans"/>
        <family val="2"/>
      </rPr>
      <t xml:space="preserve">㈜타미우스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신진성</t>
    </r>
  </si>
  <si>
    <t xml:space="preserve">https://tameuscc.co.kr/</t>
  </si>
  <si>
    <t xml:space="preserve">064-796-7000</t>
  </si>
  <si>
    <t xml:space="preserve">테디밸리골프앤리조트</t>
  </si>
  <si>
    <r>
      <rPr>
        <sz val="9"/>
        <color rgb="FF1A1A2E"/>
        <rFont val="DejaVu Sans"/>
        <family val="2"/>
      </rPr>
      <t xml:space="preserve">제주 서귀포시 안덕면 한창로 </t>
    </r>
    <r>
      <rPr>
        <sz val="9"/>
        <color rgb="FF1A1A2E"/>
        <rFont val="DejaVu Sans"/>
        <family val="2"/>
        <charset val="1"/>
      </rPr>
      <t xml:space="preserve">365</t>
    </r>
  </si>
  <si>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Arial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제이에스앤에프개발</t>
    </r>
    <r>
      <rPr>
        <sz val="9"/>
        <color rgb="FF1A1A2E"/>
        <rFont val="Arial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김준</t>
    </r>
  </si>
  <si>
    <t xml:space="preserve">http://www.teddyvalley.com/</t>
  </si>
  <si>
    <t xml:space="preserve">064-793-1000</t>
  </si>
  <si>
    <r>
      <rPr>
        <b val="true"/>
        <sz val="9"/>
        <color rgb="FF1A1A2E"/>
        <rFont val="DejaVu Sans"/>
        <family val="2"/>
      </rPr>
      <t xml:space="preserve">플라자</t>
    </r>
    <r>
      <rPr>
        <b val="true"/>
        <sz val="9"/>
        <color rgb="FF1A1A2E"/>
        <rFont val="DejaVu Sans"/>
        <family val="2"/>
        <charset val="1"/>
      </rPr>
      <t xml:space="preserve">CC </t>
    </r>
    <r>
      <rPr>
        <b val="true"/>
        <sz val="9"/>
        <color rgb="FF1A1A2E"/>
        <rFont val="DejaVu Sans"/>
        <family val="2"/>
      </rPr>
      <t xml:space="preserve">제주</t>
    </r>
  </si>
  <si>
    <r>
      <rPr>
        <sz val="9"/>
        <color rgb="FF1A1A2E"/>
        <rFont val="DejaVu Sans"/>
        <family val="2"/>
      </rPr>
      <t xml:space="preserve">제주특별자치도 제주시 명림로 </t>
    </r>
    <r>
      <rPr>
        <sz val="9"/>
        <color rgb="FF1A1A2E"/>
        <rFont val="DejaVu Sans"/>
        <family val="2"/>
        <charset val="1"/>
      </rPr>
      <t xml:space="preserve">575-107</t>
    </r>
  </si>
  <si>
    <r>
      <rPr>
        <sz val="9"/>
        <color rgb="FF1A1A2E"/>
        <rFont val="DejaVu Sans"/>
        <family val="2"/>
      </rPr>
      <t xml:space="preserve">한화호텔앤드리조트㈜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김형조</t>
    </r>
  </si>
  <si>
    <r>
      <rPr>
        <b val="true"/>
        <sz val="9"/>
        <color rgb="FF1A1A2E"/>
        <rFont val="DejaVu Sans"/>
        <family val="2"/>
      </rPr>
      <t xml:space="preserve">한라산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</si>
  <si>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제주시 선돌목동길 </t>
    </r>
    <r>
      <rPr>
        <sz val="9"/>
        <color rgb="FF1A1A2E"/>
        <rFont val="DejaVu Sans"/>
        <family val="2"/>
        <charset val="1"/>
      </rPr>
      <t xml:space="preserve">56-46</t>
    </r>
  </si>
  <si>
    <r>
      <rPr>
        <sz val="9"/>
        <color rgb="FF1A1A2E"/>
        <rFont val="DejaVu Sans"/>
        <family val="2"/>
      </rPr>
      <t xml:space="preserve">㈜부건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김용덕</t>
    </r>
  </si>
  <si>
    <r>
      <rPr>
        <b val="true"/>
        <sz val="9"/>
        <color rgb="FF1A1A2E"/>
        <rFont val="DejaVu Sans"/>
        <family val="2"/>
      </rPr>
      <t xml:space="preserve">해비치</t>
    </r>
    <r>
      <rPr>
        <b val="true"/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</si>
  <si>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서귀포시 원님로 </t>
    </r>
    <r>
      <rPr>
        <sz val="9"/>
        <color rgb="FF1A1A2E"/>
        <rFont val="DejaVu Sans"/>
        <family val="2"/>
        <charset val="1"/>
      </rPr>
      <t xml:space="preserve">399</t>
    </r>
    <r>
      <rPr>
        <sz val="9"/>
        <color rgb="FF1A1A2E"/>
        <rFont val="DejaVu Sans"/>
        <family val="2"/>
      </rPr>
      <t xml:space="preserve">번길 </t>
    </r>
    <r>
      <rPr>
        <sz val="9"/>
        <color rgb="FF1A1A2E"/>
        <rFont val="DejaVu Sans"/>
        <family val="2"/>
        <charset val="1"/>
      </rPr>
      <t xml:space="preserve">319</t>
    </r>
  </si>
  <si>
    <r>
      <rPr>
        <sz val="9"/>
        <color rgb="FF1A1A2E"/>
        <rFont val="DejaVu Sans"/>
        <family val="2"/>
      </rPr>
      <t xml:space="preserve">해비치호텔앤드리조트㈜ </t>
    </r>
    <r>
      <rPr>
        <sz val="9"/>
        <color rgb="FF1A1A2E"/>
        <rFont val="DejaVu Sans"/>
        <family val="2"/>
        <charset val="1"/>
      </rPr>
      <t xml:space="preserve">/ </t>
    </r>
    <r>
      <rPr>
        <sz val="9"/>
        <color rgb="FF1A1A2E"/>
        <rFont val="DejaVu Sans"/>
        <family val="2"/>
      </rPr>
      <t xml:space="preserve">김민수</t>
    </r>
  </si>
  <si>
    <r>
      <rPr>
        <sz val="8"/>
        <color rgb="FF6B7280"/>
        <rFont val="DejaVu Sans"/>
        <family val="2"/>
      </rPr>
      <t xml:space="preserve">※ 평점</t>
    </r>
    <r>
      <rPr>
        <sz val="8"/>
        <color rgb="FF6B7280"/>
        <rFont val="DejaVu Sans"/>
        <family val="2"/>
        <charset val="1"/>
      </rPr>
      <t xml:space="preserve">(1-5</t>
    </r>
    <r>
      <rPr>
        <sz val="8"/>
        <color rgb="FF6B7280"/>
        <rFont val="DejaVu Sans"/>
        <family val="2"/>
      </rPr>
      <t xml:space="preserve">점</t>
    </r>
    <r>
      <rPr>
        <sz val="8"/>
        <color rgb="FF6B7280"/>
        <rFont val="DejaVu Sans"/>
        <family val="2"/>
        <charset val="1"/>
      </rPr>
      <t xml:space="preserve">): </t>
    </r>
    <r>
      <rPr>
        <sz val="8"/>
        <color rgb="FF6B7280"/>
        <rFont val="DejaVu Sans"/>
        <family val="2"/>
      </rPr>
      <t xml:space="preserve">실제 라운딩 후기 기반 </t>
    </r>
    <r>
      <rPr>
        <sz val="8"/>
        <color rgb="FF6B7280"/>
        <rFont val="DejaVu Sans"/>
        <family val="2"/>
        <charset val="1"/>
      </rPr>
      <t xml:space="preserve">| </t>
    </r>
    <r>
      <rPr>
        <sz val="8"/>
        <color rgb="FF6B7280"/>
        <rFont val="DejaVu Sans"/>
        <family val="2"/>
      </rPr>
      <t xml:space="preserve">파</t>
    </r>
    <r>
      <rPr>
        <sz val="8"/>
        <color rgb="FF6B7280"/>
        <rFont val="DejaVu Sans"/>
        <family val="2"/>
        <charset val="1"/>
      </rPr>
      <t xml:space="preserve">(Par)</t>
    </r>
    <r>
      <rPr>
        <sz val="8"/>
        <color rgb="FF6B7280"/>
        <rFont val="DejaVu Sans"/>
        <family val="2"/>
      </rPr>
      <t xml:space="preserve">는 홀수</t>
    </r>
    <r>
      <rPr>
        <sz val="8"/>
        <color rgb="FF6B7280"/>
        <rFont val="DejaVu Sans"/>
        <family val="2"/>
        <charset val="1"/>
      </rPr>
      <t xml:space="preserve">×4 </t>
    </r>
    <r>
      <rPr>
        <sz val="8"/>
        <color rgb="FF6B7280"/>
        <rFont val="DejaVu Sans"/>
        <family val="2"/>
      </rPr>
      <t xml:space="preserve">추정값 </t>
    </r>
    <r>
      <rPr>
        <sz val="8"/>
        <color rgb="FF6B7280"/>
        <rFont val="DejaVu Sans"/>
        <family val="2"/>
        <charset val="1"/>
      </rPr>
      <t xml:space="preserve">| </t>
    </r>
    <r>
      <rPr>
        <sz val="8"/>
        <color rgb="FF6B7280"/>
        <rFont val="DejaVu Sans"/>
        <family val="2"/>
      </rPr>
      <t xml:space="preserve">서비스중 코스는 실시간 코스상태 업데이트 대상</t>
    </r>
  </si>
  <si>
    <r>
      <rPr>
        <sz val="8"/>
        <color rgb="FF1A1A2E"/>
        <rFont val="Arial"/>
        <family val="2"/>
        <charset val="1"/>
      </rPr>
      <t xml:space="preserve">1.0–2.4 </t>
    </r>
    <r>
      <rPr>
        <sz val="8"/>
        <color rgb="FF1A1A2E"/>
        <rFont val="DejaVu Sans"/>
        <family val="2"/>
      </rPr>
      <t xml:space="preserve">매우불량</t>
    </r>
  </si>
  <si>
    <r>
      <rPr>
        <sz val="8"/>
        <color rgb="FF1A1A2E"/>
        <rFont val="Arial"/>
        <family val="2"/>
        <charset val="1"/>
      </rPr>
      <t xml:space="preserve">2.5–3.4 </t>
    </r>
    <r>
      <rPr>
        <sz val="8"/>
        <color rgb="FF1A1A2E"/>
        <rFont val="DejaVu Sans"/>
        <family val="2"/>
      </rPr>
      <t xml:space="preserve">불량</t>
    </r>
  </si>
  <si>
    <r>
      <rPr>
        <sz val="8"/>
        <color rgb="FF1A1A2E"/>
        <rFont val="Arial"/>
        <family val="2"/>
        <charset val="1"/>
      </rPr>
      <t xml:space="preserve">3.5–4.1 </t>
    </r>
    <r>
      <rPr>
        <sz val="8"/>
        <color rgb="FF1A1A2E"/>
        <rFont val="DejaVu Sans"/>
        <family val="2"/>
      </rPr>
      <t xml:space="preserve">보통</t>
    </r>
  </si>
  <si>
    <r>
      <rPr>
        <sz val="8"/>
        <color rgb="FF1A1A2E"/>
        <rFont val="Arial"/>
        <family val="2"/>
        <charset val="1"/>
      </rPr>
      <t xml:space="preserve">4.2–4.6 </t>
    </r>
    <r>
      <rPr>
        <sz val="8"/>
        <color rgb="FF1A1A2E"/>
        <rFont val="DejaVu Sans"/>
        <family val="2"/>
      </rPr>
      <t xml:space="preserve">양호</t>
    </r>
  </si>
  <si>
    <r>
      <rPr>
        <sz val="8"/>
        <color rgb="FF1A1A2E"/>
        <rFont val="Arial"/>
        <family val="2"/>
        <charset val="1"/>
      </rPr>
      <t xml:space="preserve">4.7–5.0 </t>
    </r>
    <r>
      <rPr>
        <sz val="8"/>
        <color rgb="FF1A1A2E"/>
        <rFont val="DejaVu Sans"/>
        <family val="2"/>
      </rPr>
      <t xml:space="preserve">우수</t>
    </r>
  </si>
  <si>
    <r>
      <rPr>
        <b val="true"/>
        <sz val="9"/>
        <color rgb="FF1A1A2E"/>
        <rFont val="DejaVu Sans"/>
        <family val="2"/>
      </rPr>
      <t xml:space="preserve">스카이</t>
    </r>
    <r>
      <rPr>
        <b val="true"/>
        <sz val="9"/>
        <color rgb="FF1A1A2E"/>
        <rFont val="DejaVu Sans"/>
        <family val="2"/>
        <charset val="1"/>
      </rPr>
      <t xml:space="preserve">72 </t>
    </r>
    <r>
      <rPr>
        <b val="true"/>
        <sz val="9"/>
        <color rgb="FF1A1A2E"/>
        <rFont val="DejaVu Sans"/>
        <family val="2"/>
      </rPr>
      <t xml:space="preserve">골프앤리조트</t>
    </r>
  </si>
  <si>
    <t xml:space="preserve">중구 운서동</t>
  </si>
  <si>
    <t xml:space="preserve">http://www.sky72.com/</t>
  </si>
  <si>
    <t xml:space="preserve">1544-7002</t>
  </si>
  <si>
    <r>
      <rPr>
        <sz val="11"/>
        <color theme="1"/>
        <rFont val="DejaVu Sans"/>
        <family val="2"/>
        <charset val="1"/>
      </rPr>
      <t xml:space="preserve">LPGA </t>
    </r>
    <r>
      <rPr>
        <sz val="11"/>
        <color theme="1"/>
        <rFont val="DejaVu Sans"/>
        <family val="2"/>
      </rPr>
      <t xml:space="preserve">하나은행챔피언십 장기 개최지 </t>
    </r>
    <r>
      <rPr>
        <sz val="11"/>
        <color theme="1"/>
        <rFont val="DejaVu Sans"/>
        <family val="2"/>
        <charset val="1"/>
      </rPr>
      <t xml:space="preserve">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allthatgolf.kr, clien_cm_golf, brunch.co.kr | </t>
    </r>
    <r>
      <rPr>
        <sz val="11"/>
        <color theme="1"/>
        <rFont val="DejaVu Sans"/>
        <family val="2"/>
      </rPr>
      <t xml:space="preserve">퍼블릭 대형 리조트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하늘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오션코스는 관리 양호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티박스 벤트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켄터키블루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평활도 좋음</t>
    </r>
    <r>
      <rPr>
        <sz val="11"/>
        <color theme="1"/>
        <rFont val="DejaVu Sans"/>
        <family val="2"/>
        <charset val="1"/>
      </rPr>
      <t xml:space="preserve">), </t>
    </r>
    <r>
      <rPr>
        <sz val="11"/>
        <color theme="1"/>
        <rFont val="DejaVu Sans"/>
        <family val="2"/>
      </rPr>
      <t xml:space="preserve">레이크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클래식은 편차 큼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 평 엇갈림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대기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페이스 이슈 후기 존재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108/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99/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91/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80/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중급</t>
    </r>
  </si>
  <si>
    <t xml:space="preserve">가평베네스트 골프클럽</t>
  </si>
  <si>
    <t xml:space="preserve">가평군 상면</t>
  </si>
  <si>
    <t xml:space="preserve">031-589-8000</t>
  </si>
  <si>
    <r>
      <rPr>
        <sz val="11"/>
        <color theme="1"/>
        <rFont val="DejaVu Sans"/>
        <family val="2"/>
      </rPr>
      <t xml:space="preserve">삼성물산 리조트 </t>
    </r>
    <r>
      <rPr>
        <sz val="11"/>
        <color theme="1"/>
        <rFont val="DejaVu Sans"/>
        <family val="2"/>
        <charset val="1"/>
      </rPr>
      <t xml:space="preserve">/ 3</t>
    </r>
    <r>
      <rPr>
        <sz val="11"/>
        <color theme="1"/>
        <rFont val="DejaVu Sans"/>
        <family val="2"/>
      </rPr>
      <t xml:space="preserve">개 </t>
    </r>
    <r>
      <rPr>
        <sz val="11"/>
        <color theme="1"/>
        <rFont val="DejaVu Sans"/>
        <family val="2"/>
        <charset val="1"/>
      </rPr>
      <t xml:space="preserve">9</t>
    </r>
    <r>
      <rPr>
        <sz val="11"/>
        <color theme="1"/>
        <rFont val="DejaVu Sans"/>
        <family val="2"/>
      </rPr>
      <t xml:space="preserve">홀 코스</t>
    </r>
  </si>
  <si>
    <t xml:space="preserve">안양 컨트리클럽</t>
  </si>
  <si>
    <t xml:space="preserve">군포시 부곡동</t>
  </si>
  <si>
    <t xml:space="preserve">031-390-9000</t>
  </si>
  <si>
    <r>
      <rPr>
        <sz val="11"/>
        <color theme="1"/>
        <rFont val="DejaVu Sans"/>
        <family val="2"/>
      </rPr>
      <t xml:space="preserve">삼성 </t>
    </r>
    <r>
      <rPr>
        <sz val="11"/>
        <color theme="1"/>
        <rFont val="DejaVu Sans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국내 최고 명문 중 하나 </t>
    </r>
    <r>
      <rPr>
        <sz val="11"/>
        <color theme="1"/>
        <rFont val="DejaVu Sans"/>
        <family val="2"/>
        <charset val="1"/>
      </rPr>
      <t xml:space="preserve">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(7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brunch.co.kr, kimcaddie, golfin.co.kr | </t>
    </r>
    <r>
      <rPr>
        <sz val="11"/>
        <color theme="1"/>
        <rFont val="DejaVu Sans"/>
        <family val="2"/>
      </rPr>
      <t xml:space="preserve">삼성 운영 </t>
    </r>
    <r>
      <rPr>
        <sz val="11"/>
        <color theme="1"/>
        <rFont val="DejaVu Sans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문화유적급</t>
    </r>
    <r>
      <rPr>
        <sz val="11"/>
        <color theme="1"/>
        <rFont val="DejaVu Sans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명문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같은 페어웨이 잔디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그린은 빠르고 굴곡 큼 </t>
    </r>
    <r>
      <rPr>
        <sz val="11"/>
        <color theme="1"/>
        <rFont val="DejaVu Sans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나이스하고 정직하게 빠름</t>
    </r>
    <r>
      <rPr>
        <sz val="11"/>
        <color theme="1"/>
        <rFont val="DejaVu Sans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후기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팀당 캐디 </t>
    </r>
    <r>
      <rPr>
        <sz val="11"/>
        <color theme="1"/>
        <rFont val="DejaVu Sans"/>
        <family val="2"/>
        <charset val="1"/>
      </rPr>
      <t xml:space="preserve">2</t>
    </r>
    <r>
      <rPr>
        <sz val="11"/>
        <color theme="1"/>
        <rFont val="DejaVu Sans"/>
        <family val="2"/>
      </rPr>
      <t xml:space="preserve">명 배정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카트 끌고 걷는 클래식 스타일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110/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100/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92/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81/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중상급</t>
    </r>
  </si>
  <si>
    <t xml:space="preserve">동양 컨트리클럽</t>
  </si>
  <si>
    <t xml:space="preserve">안성시</t>
  </si>
  <si>
    <t xml:space="preserve">오션비치 골프앤리조트</t>
  </si>
  <si>
    <t xml:space="preserve">영덕군 강구면</t>
  </si>
  <si>
    <t xml:space="preserve">https://www.oceanbeachcc.com/</t>
  </si>
  <si>
    <t xml:space="preserve">054-730-1000</t>
  </si>
  <si>
    <t xml:space="preserve">동해안 오션뷰 코스</t>
  </si>
  <si>
    <r>
      <rPr>
        <b val="true"/>
        <sz val="9"/>
        <color rgb="FF1A1A2E"/>
        <rFont val="DejaVu Sans"/>
        <family val="2"/>
      </rPr>
      <t xml:space="preserve">실크리버 컨트리클럽 </t>
    </r>
    <r>
      <rPr>
        <b val="true"/>
        <sz val="9"/>
        <color rgb="FF1A1A2E"/>
        <rFont val="DejaVu Sans"/>
        <family val="2"/>
        <charset val="1"/>
      </rPr>
      <t xml:space="preserve">(</t>
    </r>
    <r>
      <rPr>
        <b val="true"/>
        <sz val="9"/>
        <color rgb="FF1A1A2E"/>
        <rFont val="DejaVu Sans"/>
        <family val="2"/>
      </rPr>
      <t xml:space="preserve">현 세레니티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</si>
  <si>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청주시 서원구 남이면</t>
  </si>
  <si>
    <t xml:space="preserve">https://www.serenitycc.co.kr/</t>
  </si>
  <si>
    <t xml:space="preserve">043-260-8000</t>
  </si>
  <si>
    <r>
      <rPr>
        <sz val="11"/>
        <color theme="1"/>
        <rFont val="DejaVu Sans"/>
        <family val="2"/>
      </rPr>
      <t xml:space="preserve">세레니티</t>
    </r>
    <r>
      <rPr>
        <sz val="11"/>
        <color theme="1"/>
        <rFont val="DejaVu Sans"/>
        <family val="2"/>
        <charset val="1"/>
      </rPr>
      <t xml:space="preserve">CC</t>
    </r>
    <r>
      <rPr>
        <sz val="11"/>
        <color theme="1"/>
        <rFont val="DejaVu Sans"/>
        <family val="2"/>
      </rPr>
      <t xml:space="preserve">로 재개장</t>
    </r>
  </si>
  <si>
    <t xml:space="preserve">오스트밸리 컨트리클럽</t>
  </si>
  <si>
    <t xml:space="preserve">당진시</t>
  </si>
  <si>
    <t xml:space="preserve">포라이즌 컨트리클럽</t>
  </si>
  <si>
    <t xml:space="preserve">순천시</t>
  </si>
  <si>
    <t xml:space="preserve">https://www.sjcc.co.kr/</t>
  </si>
  <si>
    <t xml:space="preserve">061-750-5500</t>
  </si>
  <si>
    <t xml:space="preserve">매경 대한민국 골프장 평가 상위</t>
  </si>
  <si>
    <t xml:space="preserve">제주 캐슬렉스 골프클럽</t>
  </si>
  <si>
    <t xml:space="preserve">서귀포시 안덕면</t>
  </si>
  <si>
    <t xml:space="preserve">https://castlexjj.com/</t>
  </si>
  <si>
    <t xml:space="preserve">064-793-6600</t>
  </si>
  <si>
    <t xml:space="preserve">캐슬렉스 체인</t>
  </si>
  <si>
    <t xml:space="preserve">오라 컨트리클럽</t>
  </si>
  <si>
    <t xml:space="preserve">제주시 오라동</t>
  </si>
  <si>
    <t xml:space="preserve">https://www.oracc.co.kr/</t>
  </si>
  <si>
    <t xml:space="preserve">064-747-2111</t>
  </si>
  <si>
    <t xml:space="preserve">제주 최초 골프장 중 하나</t>
  </si>
  <si>
    <t xml:space="preserve">제주 비치힐 리조트 골프클럽</t>
  </si>
  <si>
    <t xml:space="preserve">서귀포시 남원읍</t>
  </si>
  <si>
    <t xml:space="preserve">제주 남동부 해안</t>
  </si>
  <si>
    <t xml:space="preserve">양주 컨트리클럽</t>
  </si>
  <si>
    <t xml:space="preserve">양주시</t>
  </si>
  <si>
    <t xml:space="preserve">https://www.yangjucc.co.kr/</t>
  </si>
  <si>
    <t xml:space="preserve">031-825-9000</t>
  </si>
  <si>
    <t xml:space="preserve">아난티 펜트하우스 서울</t>
  </si>
  <si>
    <t xml:space="preserve">가평군 설악면</t>
  </si>
  <si>
    <t xml:space="preserve">https://www.ananti.kr/</t>
  </si>
  <si>
    <t xml:space="preserve">1588-8800</t>
  </si>
  <si>
    <t xml:space="preserve">아난티 그룹</t>
  </si>
  <si>
    <t xml:space="preserve">비발디파크 블루벨리 컨트리클럽</t>
  </si>
  <si>
    <t xml:space="preserve">홍천군 서면</t>
  </si>
  <si>
    <t xml:space="preserve">https://www.daemyungresort.com/</t>
  </si>
  <si>
    <t xml:space="preserve">1588-4888</t>
  </si>
  <si>
    <t xml:space="preserve">대명 비발디파크 리조트</t>
  </si>
  <si>
    <t xml:space="preserve">세인트메리 컨트리클럽</t>
  </si>
  <si>
    <t xml:space="preserve">횡성군</t>
  </si>
  <si>
    <t xml:space="preserve">https://www.stmarycc.co.kr/</t>
  </si>
  <si>
    <t xml:space="preserve">033-340-7000</t>
  </si>
  <si>
    <t xml:space="preserve">버드우드 골프클럽</t>
  </si>
  <si>
    <t xml:space="preserve">천안시</t>
  </si>
  <si>
    <t xml:space="preserve">https://www.birdwood.co.kr/</t>
  </si>
  <si>
    <t xml:space="preserve">041-570-8000</t>
  </si>
  <si>
    <t xml:space="preserve">세븐힐스 컨트리클럽</t>
  </si>
  <si>
    <t xml:space="preserve">https://www.7hillscc.co.kr/</t>
  </si>
  <si>
    <t xml:space="preserve">041-529-7000</t>
  </si>
  <si>
    <t xml:space="preserve">상떼힐 컨트리클럽</t>
  </si>
  <si>
    <t xml:space="preserve">충주시</t>
  </si>
  <si>
    <t xml:space="preserve">https://www.santehill.co.kr/</t>
  </si>
  <si>
    <t xml:space="preserve">043-842-5500</t>
  </si>
  <si>
    <t xml:space="preserve">경주 마우나오션 리조트 골프클럽</t>
  </si>
  <si>
    <t xml:space="preserve">경주시 양남면</t>
  </si>
  <si>
    <t xml:space="preserve">https://www.maunaocean.com/</t>
  </si>
  <si>
    <t xml:space="preserve">054-740-7000</t>
  </si>
  <si>
    <t xml:space="preserve">마우나오션 리조트</t>
  </si>
  <si>
    <t xml:space="preserve">경주 블루원 디아너스 컨트리클럽</t>
  </si>
  <si>
    <t xml:space="preserve">경주시</t>
  </si>
  <si>
    <t xml:space="preserve">https://www.blueone.com/</t>
  </si>
  <si>
    <t xml:space="preserve">054-749-0001</t>
  </si>
  <si>
    <r>
      <rPr>
        <sz val="11"/>
        <color theme="1"/>
        <rFont val="DejaVu Sans"/>
        <family val="2"/>
      </rPr>
      <t xml:space="preserve">블루원 </t>
    </r>
    <r>
      <rPr>
        <sz val="11"/>
        <color theme="1"/>
        <rFont val="DejaVu Sans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그룹</t>
    </r>
  </si>
  <si>
    <t xml:space="preserve">포항 컨트리클럽</t>
  </si>
  <si>
    <t xml:space="preserve">포항시</t>
  </si>
  <si>
    <t xml:space="preserve">https://www.pohangcc.com/</t>
  </si>
  <si>
    <t xml:space="preserve">054-244-7001</t>
  </si>
  <si>
    <t xml:space="preserve">통도 컨트리클럽</t>
  </si>
  <si>
    <t xml:space="preserve">양산시 하북면</t>
  </si>
  <si>
    <t xml:space="preserve">https://www.tongdocc.co.kr/</t>
  </si>
  <si>
    <t xml:space="preserve">통도사 인근</t>
  </si>
  <si>
    <t xml:space="preserve">골든베이 골프앤리조트</t>
  </si>
  <si>
    <t xml:space="preserve">태안군</t>
  </si>
  <si>
    <t xml:space="preserve">https://www.goldenbay.co.kr/</t>
  </si>
  <si>
    <t xml:space="preserve">041-674-7000</t>
  </si>
  <si>
    <t xml:space="preserve">서해안 오션뷰</t>
  </si>
  <si>
    <t xml:space="preserve">로얄 골프클럽</t>
  </si>
  <si>
    <t xml:space="preserve">여주시</t>
  </si>
  <si>
    <t xml:space="preserve">https://www.royalgc.co.kr/</t>
  </si>
  <si>
    <t xml:space="preserve">031-881-9000</t>
  </si>
  <si>
    <t xml:space="preserve">타니 컨트리클럽</t>
  </si>
  <si>
    <t xml:space="preserve">https://www.tanicc.co.kr/</t>
  </si>
  <si>
    <t xml:space="preserve">031-881-8080</t>
  </si>
  <si>
    <r>
      <rPr>
        <b val="true"/>
        <sz val="12"/>
        <color rgb="FFFFFFFF"/>
        <rFont val="Arial"/>
        <family val="0"/>
        <charset val="1"/>
      </rPr>
      <t xml:space="preserve">🇯🇵 GolfNow — </t>
    </r>
    <r>
      <rPr>
        <b val="true"/>
        <sz val="12"/>
        <color rgb="FFFFFFFF"/>
        <rFont val="DejaVu Sans"/>
        <family val="2"/>
      </rPr>
      <t xml:space="preserve">일본 골프장 마스터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총 </t>
    </r>
    <r>
      <rPr>
        <b val="true"/>
        <sz val="12"/>
        <color rgb="FFFFFFFF"/>
        <rFont val="Arial"/>
        <family val="0"/>
        <charset val="1"/>
      </rPr>
      <t xml:space="preserve">140</t>
    </r>
    <r>
      <rPr>
        <b val="true"/>
        <sz val="12"/>
        <color rgb="FFFFFFFF"/>
        <rFont val="DejaVu Sans"/>
        <family val="2"/>
      </rPr>
      <t xml:space="preserve">개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</si>
  <si>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소재지 </t>
    </r>
    <r>
      <rPr>
        <b val="true"/>
        <sz val="10"/>
        <color rgb="FFFFFFFF"/>
        <rFont val="DejaVu Sans"/>
        <family val="2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일본</t>
    </r>
    <r>
      <rPr>
        <b val="true"/>
        <sz val="10"/>
        <color rgb="FFFFFFFF"/>
        <rFont val="DejaVu Sans"/>
        <family val="2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</si>
  <si>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파</t>
    </r>
    <r>
      <rPr>
        <b val="true"/>
        <sz val="10"/>
        <color rgb="FFFFFFFF"/>
        <rFont val="DejaVu Sans"/>
        <family val="2"/>
        <charset val="1"/>
      </rPr>
      <t xml:space="preserve">(Par)</t>
    </r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</si>
  <si>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간토</t>
    </r>
  </si>
  <si>
    <t xml:space="preserve">타이헤이요클럽 고텐바코스</t>
  </si>
  <si>
    <r>
      <rPr>
        <sz val="9"/>
        <color rgb="FF1A1A2E"/>
        <rFont val="DejaVu Sans"/>
        <family val="2"/>
      </rPr>
      <t xml:space="preserve">静岡県御殿場市中畑字窪ノ田</t>
    </r>
    <r>
      <rPr>
        <sz val="9"/>
        <color rgb="FF1A1A2E"/>
        <rFont val="DejaVu Sans"/>
        <family val="2"/>
        <charset val="1"/>
      </rPr>
      <t xml:space="preserve">2500</t>
    </r>
  </si>
  <si>
    <t xml:space="preserve">http://www.taiheiyoclub.com/gotemba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</si>
  <si>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간사이</t>
    </r>
  </si>
  <si>
    <t xml:space="preserve">히로노 골프 클럽</t>
  </si>
  <si>
    <r>
      <rPr>
        <sz val="9"/>
        <color rgb="FF1A1A2E"/>
        <rFont val="DejaVu Sans"/>
        <family val="2"/>
      </rPr>
      <t xml:space="preserve">兵庫県三木市志染町広野</t>
    </r>
    <r>
      <rPr>
        <sz val="9"/>
        <color rgb="FF1A1A2E"/>
        <rFont val="DejaVu Sans"/>
        <family val="2"/>
        <charset val="1"/>
      </rPr>
      <t xml:space="preserve">1</t>
    </r>
    <r>
      <rPr>
        <sz val="9"/>
        <color rgb="FF1A1A2E"/>
        <rFont val="DejaVu Sans"/>
        <family val="2"/>
      </rPr>
      <t xml:space="preserve">丁目</t>
    </r>
    <r>
      <rPr>
        <sz val="9"/>
        <color rgb="FF1A1A2E"/>
        <rFont val="DejaVu Sans"/>
        <family val="2"/>
        <charset val="1"/>
      </rPr>
      <t xml:space="preserve">1</t>
    </r>
  </si>
  <si>
    <t xml:space="preserve">https://hironogolfclub.jp</t>
  </si>
  <si>
    <t xml:space="preserve">가스미가세키 컨트리클럽</t>
  </si>
  <si>
    <r>
      <rPr>
        <sz val="9"/>
        <color rgb="FF1A1A2E"/>
        <rFont val="DejaVu Sans"/>
        <family val="2"/>
      </rPr>
      <t xml:space="preserve">埼玉県川越市笠幡</t>
    </r>
    <r>
      <rPr>
        <sz val="9"/>
        <color rgb="FF1A1A2E"/>
        <rFont val="DejaVu Sans"/>
        <family val="2"/>
        <charset val="1"/>
      </rPr>
      <t xml:space="preserve">4459</t>
    </r>
  </si>
  <si>
    <t xml:space="preserve">https://www.kasumigasekicc.or.jp</t>
  </si>
  <si>
    <t xml:space="preserve">가와나 호텔 골프코스</t>
  </si>
  <si>
    <r>
      <rPr>
        <sz val="9"/>
        <color rgb="FF1A1A2E"/>
        <rFont val="DejaVu Sans"/>
        <family val="2"/>
      </rPr>
      <t xml:space="preserve">静岡県伊東市川奈</t>
    </r>
    <r>
      <rPr>
        <sz val="9"/>
        <color rgb="FF1A1A2E"/>
        <rFont val="DejaVu Sans"/>
        <family val="2"/>
        <charset val="1"/>
      </rPr>
      <t xml:space="preserve">1459</t>
    </r>
  </si>
  <si>
    <t xml:space="preserve">https://www.princehotels.com/kawana/facilities/kawanagolf/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</si>
  <si>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큐슈</t>
    </r>
  </si>
  <si>
    <t xml:space="preserve">고가 골프 클럽</t>
  </si>
  <si>
    <r>
      <rPr>
        <sz val="9"/>
        <color rgb="FF1A1A2E"/>
        <rFont val="DejaVu Sans"/>
        <family val="2"/>
      </rPr>
      <t xml:space="preserve">福岡県古賀市青柳</t>
    </r>
    <r>
      <rPr>
        <sz val="9"/>
        <color rgb="FF1A1A2E"/>
        <rFont val="DejaVu Sans"/>
        <family val="2"/>
        <charset val="1"/>
      </rPr>
      <t xml:space="preserve">1635</t>
    </r>
  </si>
  <si>
    <t xml:space="preserve">https://www.kogagolfclub.jp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</si>
  <si>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오키나와</t>
    </r>
  </si>
  <si>
    <r>
      <rPr>
        <b val="true"/>
        <sz val="9"/>
        <color rgb="FF1A1A2E"/>
        <rFont val="Arial"/>
        <family val="2"/>
        <charset val="1"/>
      </rPr>
      <t xml:space="preserve">PGM </t>
    </r>
    <r>
      <rPr>
        <b val="true"/>
        <sz val="9"/>
        <color rgb="FF1A1A2E"/>
        <rFont val="DejaVu Sans"/>
        <family val="2"/>
      </rPr>
      <t xml:space="preserve">골프 리조트 오키나와</t>
    </r>
  </si>
  <si>
    <r>
      <rPr>
        <sz val="9"/>
        <color rgb="FF1A1A2E"/>
        <rFont val="DejaVu Sans"/>
        <family val="2"/>
      </rPr>
      <t xml:space="preserve">沖縄県国頭郡恩納村冨着</t>
    </r>
    <r>
      <rPr>
        <sz val="9"/>
        <color rgb="FF1A1A2E"/>
        <rFont val="DejaVu Sans"/>
        <family val="2"/>
        <charset val="1"/>
      </rPr>
      <t xml:space="preserve">1043</t>
    </r>
  </si>
  <si>
    <t xml:space="preserve">http://www.pacificgolf.co.jp/okinawa/</t>
  </si>
  <si>
    <r>
      <rPr>
        <b val="true"/>
        <sz val="9"/>
        <color rgb="FF1A1A2E"/>
        <rFont val="DejaVu Sans"/>
        <family val="2"/>
      </rPr>
      <t xml:space="preserve">가루이자와 </t>
    </r>
    <r>
      <rPr>
        <b val="true"/>
        <sz val="9"/>
        <color rgb="FF1A1A2E"/>
        <rFont val="DejaVu Sans"/>
        <family val="2"/>
        <charset val="1"/>
      </rPr>
      <t xml:space="preserve">72 </t>
    </r>
    <r>
      <rPr>
        <b val="true"/>
        <sz val="9"/>
        <color rgb="FF1A1A2E"/>
        <rFont val="DejaVu Sans"/>
        <family val="2"/>
      </rPr>
      <t xml:space="preserve">골프</t>
    </r>
  </si>
  <si>
    <r>
      <rPr>
        <sz val="9"/>
        <color rgb="FF1A1A2E"/>
        <rFont val="DejaVu Sans"/>
        <family val="2"/>
      </rPr>
      <t xml:space="preserve">長野県北佐久郡軽井沢町大字長倉字塩沢</t>
    </r>
    <r>
      <rPr>
        <sz val="9"/>
        <color rgb="FF1A1A2E"/>
        <rFont val="DejaVu Sans"/>
        <family val="2"/>
        <charset val="1"/>
      </rPr>
      <t xml:space="preserve">2148</t>
    </r>
  </si>
  <si>
    <t xml:space="preserve">https://www.princehotels.com/en/golf/karu72/</t>
  </si>
  <si>
    <t xml:space="preserve">도쿄 골프 클럽</t>
  </si>
  <si>
    <r>
      <rPr>
        <sz val="9"/>
        <color rgb="FF1A1A2E"/>
        <rFont val="DejaVu Sans"/>
        <family val="2"/>
      </rPr>
      <t xml:space="preserve">埼玉県狭山市柏原</t>
    </r>
    <r>
      <rPr>
        <sz val="9"/>
        <color rgb="FF1A1A2E"/>
        <rFont val="DejaVu Sans"/>
        <family val="2"/>
        <charset val="1"/>
      </rPr>
      <t xml:space="preserve">1984</t>
    </r>
  </si>
  <si>
    <t xml:space="preserve">https://www.tokyogolfclub.jp</t>
  </si>
  <si>
    <t xml:space="preserve">비와코 컨트리클럽</t>
  </si>
  <si>
    <r>
      <rPr>
        <sz val="9"/>
        <color rgb="FF1A1A2E"/>
        <rFont val="DejaVu Sans"/>
        <family val="2"/>
      </rPr>
      <t xml:space="preserve">滋賀県栗東市出庭</t>
    </r>
    <r>
      <rPr>
        <sz val="9"/>
        <color rgb="FF1A1A2E"/>
        <rFont val="DejaVu Sans"/>
        <family val="2"/>
        <charset val="1"/>
      </rPr>
      <t xml:space="preserve">513</t>
    </r>
  </si>
  <si>
    <t xml:space="preserve">https://www.biwakocc.com</t>
  </si>
  <si>
    <t xml:space="preserve">아코다 골프 클럽 나라시노</t>
  </si>
  <si>
    <r>
      <rPr>
        <sz val="9"/>
        <color rgb="FF1A1A2E"/>
        <rFont val="DejaVu Sans"/>
        <family val="2"/>
      </rPr>
      <t xml:space="preserve">千葉県習志野市茜浜</t>
    </r>
    <r>
      <rPr>
        <sz val="9"/>
        <color rgb="FF1A1A2E"/>
        <rFont val="DejaVu Sans"/>
        <family val="2"/>
        <charset val="1"/>
      </rPr>
      <t xml:space="preserve">3</t>
    </r>
    <r>
      <rPr>
        <sz val="9"/>
        <color rgb="FF1A1A2E"/>
        <rFont val="DejaVu Sans"/>
        <family val="2"/>
      </rPr>
      <t xml:space="preserve">丁目</t>
    </r>
    <r>
      <rPr>
        <sz val="9"/>
        <color rgb="FF1A1A2E"/>
        <rFont val="DejaVu Sans"/>
        <family val="2"/>
        <charset val="1"/>
      </rPr>
      <t xml:space="preserve">1-1</t>
    </r>
  </si>
  <si>
    <t xml:space="preserve">https://www.accordia-golf.com/course/akodanarashinogolf/</t>
  </si>
  <si>
    <r>
      <rPr>
        <b val="true"/>
        <sz val="9"/>
        <color rgb="FF1A1A2E"/>
        <rFont val="DejaVu Sans"/>
        <family val="2"/>
        <charset val="1"/>
      </rPr>
      <t xml:space="preserve">Hirono Golf Club (</t>
    </r>
    <r>
      <rPr>
        <b val="true"/>
        <sz val="9"/>
        <color rgb="FF1A1A2E"/>
        <rFont val="DejaVu Sans"/>
        <family val="2"/>
      </rPr>
      <t xml:space="preserve">廣野ゴルフ倶楽部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</si>
  <si>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Miki</t>
  </si>
  <si>
    <t xml:space="preserve">https://www.hirono-gc.or.jp/</t>
  </si>
  <si>
    <r>
      <rPr>
        <sz val="11"/>
        <color theme="1"/>
        <rFont val="DejaVu Sans"/>
        <family val="2"/>
        <charset val="1"/>
      </rPr>
      <t xml:space="preserve">Consistently ranked Japan #1 course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0.90): top100golfcourses, golfdigest, gdo |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1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14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. C.H. Alison </t>
    </r>
    <r>
      <rPr>
        <sz val="11"/>
        <color theme="1"/>
        <rFont val="DejaVu Sans"/>
        <family val="2"/>
      </rPr>
      <t xml:space="preserve">설계 </t>
    </r>
    <r>
      <rPr>
        <sz val="11"/>
        <color theme="1"/>
        <rFont val="DejaVu Sans"/>
        <family val="2"/>
        <charset val="1"/>
      </rPr>
      <t xml:space="preserve">1932</t>
    </r>
    <r>
      <rPr>
        <sz val="11"/>
        <color theme="1"/>
        <rFont val="DejaVu Sans"/>
        <family val="2"/>
      </rPr>
      <t xml:space="preserve">년 개장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같은 페어웨이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매 샷 뒤 목토 작업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빠른 모닝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메인테넌스 세계 최정상급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115/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105/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96/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최상급</t>
    </r>
  </si>
  <si>
    <r>
      <rPr>
        <b val="true"/>
        <sz val="9"/>
        <color rgb="FF1A1A2E"/>
        <rFont val="DejaVu Sans"/>
        <family val="2"/>
        <charset val="1"/>
      </rPr>
      <t xml:space="preserve">Naruo Golf Club (</t>
    </r>
    <r>
      <rPr>
        <b val="true"/>
        <sz val="9"/>
        <color rgb="FF1A1A2E"/>
        <rFont val="DejaVu Sans"/>
        <family val="2"/>
      </rPr>
      <t xml:space="preserve">鳴尾ゴルフ倶楽部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</si>
  <si>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Kawanishi</t>
  </si>
  <si>
    <t xml:space="preserve">https://www.naruogolf.or.jp/</t>
  </si>
  <si>
    <r>
      <rPr>
        <sz val="11"/>
        <color theme="1"/>
        <rFont val="DejaVu Sans"/>
        <family val="2"/>
        <charset val="1"/>
      </rPr>
      <t xml:space="preserve">One of Japan's oldest and most prestigious clubs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(4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top100golfcourses, golfdigest, gdo |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3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(Golf Digest 2025). 1920 </t>
    </r>
    <r>
      <rPr>
        <sz val="11"/>
        <color theme="1"/>
        <rFont val="DejaVu Sans"/>
        <family val="2"/>
      </rPr>
      <t xml:space="preserve">개장</t>
    </r>
    <r>
      <rPr>
        <sz val="11"/>
        <color theme="1"/>
        <rFont val="DejaVu Sans"/>
        <family val="2"/>
        <charset val="1"/>
      </rPr>
      <t xml:space="preserve">, Alison </t>
    </r>
    <r>
      <rPr>
        <sz val="11"/>
        <color theme="1"/>
        <rFont val="DejaVu Sans"/>
        <family val="2"/>
      </rPr>
      <t xml:space="preserve">개보수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벙커와 그린 관리는 일본 최고 수준이란 평가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좁고 난이도 높은 명문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110/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100/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92/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80/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72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</si>
  <si>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Kawana Hotel Golf Course - Fuji Course (</t>
    </r>
    <r>
      <rPr>
        <b val="true"/>
        <sz val="9"/>
        <color rgb="FF1A1A2E"/>
        <rFont val="DejaVu Sans"/>
        <family val="2"/>
      </rPr>
      <t xml:space="preserve">川奈ホテルゴルフコース 富士コース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</si>
  <si>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Shizuoka, Ito</t>
  </si>
  <si>
    <t xml:space="preserve">https://www.princehotels.co.jp/kawana/golf/</t>
  </si>
  <si>
    <r>
      <rPr>
        <sz val="11"/>
        <color theme="1"/>
        <rFont val="DejaVu Sans"/>
        <family val="2"/>
        <charset val="1"/>
      </rPr>
      <t xml:space="preserve">Iconic cliff-top resort course with Pacific Ocean views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0.88): top100golfcourses, rakuten_gora, jalan_golf | </t>
    </r>
    <r>
      <rPr>
        <sz val="11"/>
        <color theme="1"/>
        <rFont val="DejaVu Sans"/>
        <family val="2"/>
      </rPr>
      <t xml:space="preserve">일본의 페블비치</t>
    </r>
    <r>
      <rPr>
        <sz val="11"/>
        <color theme="1"/>
        <rFont val="DejaVu Sans"/>
        <family val="2"/>
        <charset val="1"/>
      </rPr>
      <t xml:space="preserve">. Alison </t>
    </r>
    <r>
      <rPr>
        <sz val="11"/>
        <color theme="1"/>
        <rFont val="DejaVu Sans"/>
        <family val="2"/>
      </rPr>
      <t xml:space="preserve">설계 </t>
    </r>
    <r>
      <rPr>
        <sz val="11"/>
        <color theme="1"/>
        <rFont val="DejaVu Sans"/>
        <family val="2"/>
        <charset val="1"/>
      </rPr>
      <t xml:space="preserve">1936</t>
    </r>
    <r>
      <rPr>
        <sz val="11"/>
        <color theme="1"/>
        <rFont val="DejaVu Sans"/>
        <family val="2"/>
      </rPr>
      <t xml:space="preserve">년 개장</t>
    </r>
    <r>
      <rPr>
        <sz val="11"/>
        <color theme="1"/>
        <rFont val="DejaVu Sans"/>
        <family val="2"/>
        <charset val="1"/>
      </rPr>
      <t xml:space="preserve">, 2023-24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53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고려잔디 그린 </t>
    </r>
    <r>
      <rPr>
        <sz val="11"/>
        <color theme="1"/>
        <rFont val="DejaVu Sans"/>
        <family val="2"/>
        <charset val="1"/>
      </rPr>
      <t xml:space="preserve">10-12ft, </t>
    </r>
    <r>
      <rPr>
        <sz val="11"/>
        <color theme="1"/>
        <rFont val="DejaVu Sans"/>
        <family val="2"/>
      </rPr>
      <t xml:space="preserve">프로 캐디의 전략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접객 극찬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112/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102/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93/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81/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</si>
  <si>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Kawana Hotel Golf Course - Oshima Course (</t>
    </r>
    <r>
      <rPr>
        <b val="true"/>
        <sz val="9"/>
        <color rgb="FF1A1A2E"/>
        <rFont val="DejaVu Sans"/>
        <family val="2"/>
      </rPr>
      <t xml:space="preserve">川奈ホテルゴルフコース 大島コース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</si>
  <si>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Oldest course at Kawana Hotel</t>
  </si>
  <si>
    <r>
      <rPr>
        <b val="true"/>
        <sz val="9"/>
        <color rgb="FF1A1A2E"/>
        <rFont val="DejaVu Sans"/>
        <family val="2"/>
        <charset val="1"/>
      </rPr>
      <t xml:space="preserve">Tokyo Golf Club (</t>
    </r>
    <r>
      <rPr>
        <b val="true"/>
        <sz val="9"/>
        <color rgb="FF1A1A2E"/>
        <rFont val="DejaVu Sans"/>
        <family val="2"/>
      </rPr>
      <t xml:space="preserve">東京ゴルフ倶楽部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</si>
  <si>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Sayama</t>
  </si>
  <si>
    <t xml:space="preserve">https://www.tokyogolfclub.jp/</t>
  </si>
  <si>
    <r>
      <rPr>
        <sz val="11"/>
        <color theme="1"/>
        <rFont val="DejaVu Sans"/>
        <family val="2"/>
        <charset val="1"/>
      </rPr>
      <t xml:space="preserve">Oldest Japanese-founded golf club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(4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0.82): top100golfcourses, gdo, rakuten_gora | </t>
    </r>
    <r>
      <rPr>
        <sz val="11"/>
        <color theme="1"/>
        <rFont val="DejaVu Sans"/>
        <family val="2"/>
      </rPr>
      <t xml:space="preserve">아시아 </t>
    </r>
    <r>
      <rPr>
        <sz val="11"/>
        <color theme="1"/>
        <rFont val="DejaVu Sans"/>
        <family val="2"/>
        <charset val="1"/>
      </rPr>
      <t xml:space="preserve">Top100. Gil Hanse 2010 </t>
    </r>
    <r>
      <rPr>
        <sz val="11"/>
        <color theme="1"/>
        <rFont val="DejaVu Sans"/>
        <family val="2"/>
      </rPr>
      <t xml:space="preserve">개보수</t>
    </r>
    <r>
      <rPr>
        <sz val="11"/>
        <color theme="1"/>
        <rFont val="DejaVu Sans"/>
        <family val="2"/>
        <charset val="1"/>
      </rPr>
      <t xml:space="preserve">, 2</t>
    </r>
    <r>
      <rPr>
        <sz val="11"/>
        <color theme="1"/>
        <rFont val="DejaVu Sans"/>
        <family val="2"/>
      </rPr>
      <t xml:space="preserve">종 벤트그래스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위를 걷는 그린 평가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빠른 그린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진행관리 다소 엄격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111/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101/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92/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81/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</si>
  <si>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Kasumigaseki Country Club - East Course (</t>
    </r>
    <r>
      <rPr>
        <b val="true"/>
        <sz val="9"/>
        <color rgb="FF1A1A2E"/>
        <rFont val="DejaVu Sans"/>
        <family val="2"/>
      </rPr>
      <t xml:space="preserve">霞ヶ関カンツリー倶楽部 東コース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</si>
  <si>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Kawagoe</t>
  </si>
  <si>
    <t xml:space="preserve">https://www.kasumigasekicc.or.jp/</t>
  </si>
  <si>
    <r>
      <rPr>
        <sz val="11"/>
        <color theme="1"/>
        <rFont val="DejaVu Sans"/>
        <family val="2"/>
        <charset val="1"/>
      </rPr>
      <t xml:space="preserve">Host of 2020 Tokyo Olympics golf competition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top100golfcourses, golfdigest, gdo |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8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(GD 2022), 2020 </t>
    </r>
    <r>
      <rPr>
        <sz val="11"/>
        <color theme="1"/>
        <rFont val="DejaVu Sans"/>
        <family val="2"/>
      </rPr>
      <t xml:space="preserve">올림픽 개최지</t>
    </r>
    <r>
      <rPr>
        <sz val="11"/>
        <color theme="1"/>
        <rFont val="DejaVu Sans"/>
        <family val="2"/>
        <charset val="1"/>
      </rPr>
      <t xml:space="preserve">. Tom Fazio 2016 </t>
    </r>
    <r>
      <rPr>
        <sz val="11"/>
        <color theme="1"/>
        <rFont val="DejaVu Sans"/>
        <family val="2"/>
      </rPr>
      <t xml:space="preserve">리노베이션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그린 </t>
    </r>
    <r>
      <rPr>
        <sz val="11"/>
        <color theme="1"/>
        <rFont val="DejaVu Sans"/>
        <family val="2"/>
        <charset val="1"/>
      </rPr>
      <t xml:space="preserve">9.2ft</t>
    </r>
    <r>
      <rPr>
        <sz val="11"/>
        <color theme="1"/>
        <rFont val="DejaVu Sans"/>
        <family val="2"/>
      </rPr>
      <t xml:space="preserve">로 느린 편이나 관리 완벽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캐디 편차 있음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114/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104/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95/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</si>
  <si>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Kasumigaseki Country Club - West Course (</t>
    </r>
    <r>
      <rPr>
        <b val="true"/>
        <sz val="9"/>
        <color rgb="FF1A1A2E"/>
        <rFont val="DejaVu Sans"/>
        <family val="2"/>
      </rPr>
      <t xml:space="preserve">霞ヶ関カンツリー倶楽部 西コース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</si>
  <si>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Companion course to the East</t>
  </si>
  <si>
    <r>
      <rPr>
        <b val="true"/>
        <sz val="9"/>
        <color rgb="FF1A1A2E"/>
        <rFont val="DejaVu Sans"/>
        <family val="2"/>
        <charset val="1"/>
      </rPr>
      <t xml:space="preserve">Oarai Golf Club (</t>
    </r>
    <r>
      <rPr>
        <b val="true"/>
        <sz val="9"/>
        <color rgb="FF1A1A2E"/>
        <rFont val="DejaVu Sans"/>
        <family val="2"/>
      </rPr>
      <t xml:space="preserve">大洗ゴルフ倶楽部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</si>
  <si>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Oarai</t>
  </si>
  <si>
    <t xml:space="preserve">https://www.oaraigc.or.jp/</t>
  </si>
  <si>
    <t xml:space="preserve">Links-style course on the Pacific coast</t>
  </si>
  <si>
    <r>
      <rPr>
        <b val="true"/>
        <sz val="9"/>
        <color rgb="FF1A1A2E"/>
        <rFont val="DejaVu Sans"/>
        <family val="2"/>
        <charset val="1"/>
      </rPr>
      <t xml:space="preserve">Kobe Golf Club (</t>
    </r>
    <r>
      <rPr>
        <b val="true"/>
        <sz val="9"/>
        <color rgb="FF1A1A2E"/>
        <rFont val="DejaVu Sans"/>
        <family val="2"/>
      </rPr>
      <t xml:space="preserve">神戸ゴルフ倶楽部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</si>
  <si>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Kobe</t>
  </si>
  <si>
    <t xml:space="preserve">https://www.kobegolfclub.com/</t>
  </si>
  <si>
    <t xml:space="preserve">Japan's first golf club, on Mt. Rokko</t>
  </si>
  <si>
    <r>
      <rPr>
        <b val="true"/>
        <sz val="9"/>
        <color rgb="FF1A1A2E"/>
        <rFont val="DejaVu Sans"/>
        <family val="2"/>
        <charset val="1"/>
      </rPr>
      <t xml:space="preserve">Phoenix Country Club (</t>
    </r>
    <r>
      <rPr>
        <b val="true"/>
        <sz val="9"/>
        <color rgb="FF1A1A2E"/>
        <rFont val="DejaVu Sans"/>
        <family val="2"/>
      </rPr>
      <t xml:space="preserve">フェニックスカントリークラブ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</si>
  <si>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Miyazaki, Miyazaki</t>
  </si>
  <si>
    <t xml:space="preserve">https://seagaia.co.jp/golf/phoenix/</t>
  </si>
  <si>
    <r>
      <rPr>
        <sz val="11"/>
        <color theme="1"/>
        <rFont val="DejaVu Sans"/>
        <family val="2"/>
        <charset val="1"/>
      </rPr>
      <t xml:space="preserve">Host of Dunlop Phoenix Tournament; part of Sheraton Grande Ocean Resort (Seagaia)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0.83): top100golfcourses, golfdigest, rakuten_gora | US GD </t>
    </r>
    <r>
      <rPr>
        <sz val="11"/>
        <color theme="1"/>
        <rFont val="DejaVu Sans"/>
        <family val="2"/>
      </rPr>
      <t xml:space="preserve">세계 </t>
    </r>
    <r>
      <rPr>
        <sz val="11"/>
        <color theme="1"/>
        <rFont val="DejaVu Sans"/>
        <family val="2"/>
        <charset val="1"/>
      </rPr>
      <t xml:space="preserve">67</t>
    </r>
    <r>
      <rPr>
        <sz val="11"/>
        <color theme="1"/>
        <rFont val="DejaVu Sans"/>
        <family val="2"/>
      </rPr>
      <t xml:space="preserve">위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일본 </t>
    </r>
    <r>
      <rPr>
        <sz val="11"/>
        <color theme="1"/>
        <rFont val="DejaVu Sans"/>
        <family val="2"/>
        <charset val="1"/>
      </rPr>
      <t xml:space="preserve">Top3. Dunlop Phoenix </t>
    </r>
    <r>
      <rPr>
        <sz val="11"/>
        <color theme="1"/>
        <rFont val="DejaVu Sans"/>
        <family val="2"/>
      </rPr>
      <t xml:space="preserve">토너먼트 개최지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고속 그린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솔숲 경관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 품질 편차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가성비 지적도 존재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113/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103/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94/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</si>
  <si>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Tom Watson Golf Course (Phoenix Seagaia) (</t>
    </r>
    <r>
      <rPr>
        <b val="true"/>
        <sz val="9"/>
        <color rgb="FF1A1A2E"/>
        <rFont val="DejaVu Sans"/>
        <family val="2"/>
      </rPr>
      <t xml:space="preserve">トム・ワトソンゴルフコース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</si>
  <si>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https://seagaia.co.jp/golf/tomwatson/</t>
  </si>
  <si>
    <t xml:space="preserve">Links-style course at Seagaia Resort</t>
  </si>
  <si>
    <r>
      <rPr>
        <b val="true"/>
        <sz val="9"/>
        <color rgb="FF1A1A2E"/>
        <rFont val="DejaVu Sans"/>
        <family val="2"/>
        <charset val="1"/>
      </rPr>
      <t xml:space="preserve">Ibaraki Golf Club - East Course (</t>
    </r>
    <r>
      <rPr>
        <b val="true"/>
        <sz val="9"/>
        <color rgb="FF1A1A2E"/>
        <rFont val="DejaVu Sans"/>
        <family val="2"/>
      </rPr>
      <t xml:space="preserve">茨木カンツリー倶楽部 東コース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</si>
  <si>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Osaka, Ibaraki</t>
  </si>
  <si>
    <t xml:space="preserve">https://www.ibarakicc.or.jp/</t>
  </si>
  <si>
    <t xml:space="preserve">Host of Panasonic Open</t>
  </si>
  <si>
    <r>
      <rPr>
        <b val="true"/>
        <sz val="9"/>
        <color rgb="FF1A1A2E"/>
        <rFont val="DejaVu Sans"/>
        <family val="2"/>
        <charset val="1"/>
      </rPr>
      <t xml:space="preserve">Ibaraki Golf Club - West Course (</t>
    </r>
    <r>
      <rPr>
        <b val="true"/>
        <sz val="9"/>
        <color rgb="FF1A1A2E"/>
        <rFont val="DejaVu Sans"/>
        <family val="2"/>
      </rPr>
      <t xml:space="preserve">茨木カンツリー倶楽部 西コース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</si>
  <si>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Companion course</t>
  </si>
  <si>
    <r>
      <rPr>
        <b val="true"/>
        <sz val="9"/>
        <color rgb="FF1A1A2E"/>
        <rFont val="DejaVu Sans"/>
        <family val="2"/>
        <charset val="1"/>
      </rPr>
      <t xml:space="preserve">Hodogaya Country Club (</t>
    </r>
    <r>
      <rPr>
        <b val="true"/>
        <sz val="9"/>
        <color rgb="FF1A1A2E"/>
        <rFont val="DejaVu Sans"/>
        <family val="2"/>
      </rPr>
      <t xml:space="preserve">保土ヶ谷カントリー倶楽部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</si>
  <si>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Yokohama</t>
  </si>
  <si>
    <t xml:space="preserve">https://www.hodogayacc.or.jp/</t>
  </si>
  <si>
    <t xml:space="preserve">Historic parkland course</t>
  </si>
  <si>
    <r>
      <rPr>
        <b val="true"/>
        <sz val="9"/>
        <color rgb="FF1A1A2E"/>
        <rFont val="DejaVu Sans"/>
        <family val="2"/>
        <charset val="1"/>
      </rPr>
      <t xml:space="preserve">Sagami Country Club (</t>
    </r>
    <r>
      <rPr>
        <b val="true"/>
        <sz val="9"/>
        <color rgb="FF1A1A2E"/>
        <rFont val="DejaVu Sans"/>
        <family val="2"/>
      </rPr>
      <t xml:space="preserve">相模カンツリー倶楽部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</si>
  <si>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Ebina</t>
  </si>
  <si>
    <t xml:space="preserve">https://www.sagamicc.or.jp/</t>
  </si>
  <si>
    <t xml:space="preserve">Host of Mitsui Sumitomo VISA Taiheiyo Masters predecessor events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</si>
  <si>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주부</t>
    </r>
  </si>
  <si>
    <r>
      <rPr>
        <b val="true"/>
        <sz val="9"/>
        <color rgb="FF1A1A2E"/>
        <rFont val="DejaVu Sans"/>
        <family val="2"/>
        <charset val="1"/>
      </rPr>
      <t xml:space="preserve">Kasugai Country Club (</t>
    </r>
    <r>
      <rPr>
        <b val="true"/>
        <sz val="9"/>
        <color rgb="FF1A1A2E"/>
        <rFont val="DejaVu Sans"/>
        <family val="2"/>
      </rPr>
      <t xml:space="preserve">春日井カントリー倶楽部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</si>
  <si>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Aichi, Kasugai</t>
  </si>
  <si>
    <t xml:space="preserve">https://www.kasugaicc.com/</t>
  </si>
  <si>
    <t xml:space="preserve">East and West courses</t>
  </si>
  <si>
    <r>
      <rPr>
        <b val="true"/>
        <sz val="9"/>
        <color rgb="FF1A1A2E"/>
        <rFont val="DejaVu Sans"/>
        <family val="2"/>
        <charset val="1"/>
      </rPr>
      <t xml:space="preserve">Nagoya Golf Club - Wago Course (</t>
    </r>
    <r>
      <rPr>
        <b val="true"/>
        <sz val="9"/>
        <color rgb="FF1A1A2E"/>
        <rFont val="DejaVu Sans"/>
        <family val="2"/>
      </rPr>
      <t xml:space="preserve">名古屋ゴルフ倶楽部 和合コース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</si>
  <si>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Aichi, Togo</t>
  </si>
  <si>
    <t xml:space="preserve">https://www.nagoyagolf.jp/</t>
  </si>
  <si>
    <t xml:space="preserve">Historic Chubu region club</t>
  </si>
  <si>
    <r>
      <rPr>
        <b val="true"/>
        <sz val="9"/>
        <color rgb="FF1A1A2E"/>
        <rFont val="DejaVu Sans"/>
        <family val="2"/>
        <charset val="1"/>
      </rPr>
      <t xml:space="preserve">Yokohama Country Club (</t>
    </r>
    <r>
      <rPr>
        <b val="true"/>
        <sz val="9"/>
        <color rgb="FF1A1A2E"/>
        <rFont val="DejaVu Sans"/>
        <family val="2"/>
      </rPr>
      <t xml:space="preserve">横浜カントリークラブ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</si>
  <si>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https://www.yokohamacc.or.jp/</t>
  </si>
  <si>
    <t xml:space="preserve">Host of LPGA Hisako Higuchi Pro-Am</t>
  </si>
  <si>
    <r>
      <rPr>
        <b val="true"/>
        <sz val="9"/>
        <color rgb="FF1A1A2E"/>
        <rFont val="DejaVu Sans"/>
        <family val="2"/>
        <charset val="1"/>
      </rPr>
      <t xml:space="preserve">Sobu Country Club (</t>
    </r>
    <r>
      <rPr>
        <b val="true"/>
        <sz val="9"/>
        <color rgb="FF1A1A2E"/>
        <rFont val="DejaVu Sans"/>
        <family val="2"/>
      </rPr>
      <t xml:space="preserve">総武カントリークラブ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</si>
  <si>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Yachimata</t>
  </si>
  <si>
    <t xml:space="preserve">https://www.sobucc.co.jp/</t>
  </si>
  <si>
    <t xml:space="preserve">Hosted Japan PGA Championship</t>
  </si>
  <si>
    <r>
      <rPr>
        <b val="true"/>
        <sz val="9"/>
        <color rgb="FF1A1A2E"/>
        <rFont val="DejaVu Sans"/>
        <family val="2"/>
        <charset val="1"/>
      </rPr>
      <t xml:space="preserve">Taiheiyo Club Gotemba Course (</t>
    </r>
    <r>
      <rPr>
        <b val="true"/>
        <sz val="9"/>
        <color rgb="FF1A1A2E"/>
        <rFont val="DejaVu Sans"/>
        <family val="2"/>
      </rPr>
      <t xml:space="preserve">太平洋クラブ御殿場コース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</si>
  <si>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Shizuoka, Gotemba</t>
  </si>
  <si>
    <t xml:space="preserve">https://www.taiheiyoclub.co.jp/gotemba/</t>
  </si>
  <si>
    <r>
      <rPr>
        <sz val="11"/>
        <color theme="1"/>
        <rFont val="DejaVu Sans"/>
        <family val="2"/>
        <charset val="1"/>
      </rPr>
      <t xml:space="preserve">Host of Mitsui Sumitomo VISA Taiheiyo Masters; views of Mt. Fuji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0.85): top100golfcourses, rakuten_gora, gdo | </t>
    </r>
    <r>
      <rPr>
        <sz val="11"/>
        <color theme="1"/>
        <rFont val="DejaVu Sans"/>
        <family val="2"/>
      </rPr>
      <t xml:space="preserve">미쓰이스미토모</t>
    </r>
    <r>
      <rPr>
        <sz val="11"/>
        <color theme="1"/>
        <rFont val="DejaVu Sans"/>
        <family val="2"/>
        <charset val="1"/>
      </rPr>
      <t xml:space="preserve">VISA </t>
    </r>
    <r>
      <rPr>
        <sz val="11"/>
        <color theme="1"/>
        <rFont val="DejaVu Sans"/>
        <family val="2"/>
      </rPr>
      <t xml:space="preserve">마스터즈 개최지</t>
    </r>
    <r>
      <rPr>
        <sz val="11"/>
        <color theme="1"/>
        <rFont val="DejaVu Sans"/>
        <family val="2"/>
        <charset val="1"/>
      </rPr>
      <t xml:space="preserve">. Rees Jones 2018 </t>
    </r>
    <r>
      <rPr>
        <sz val="11"/>
        <color theme="1"/>
        <rFont val="DejaVu Sans"/>
        <family val="2"/>
      </rPr>
      <t xml:space="preserve">리모델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후지산 조망 최고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고속 그린 난해하다는 평 다수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112/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102/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93/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81/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</si>
  <si>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Taiheiyo Club Gotemba West Course (</t>
    </r>
    <r>
      <rPr>
        <b val="true"/>
        <sz val="9"/>
        <color rgb="FF1A1A2E"/>
        <rFont val="DejaVu Sans"/>
        <family val="2"/>
      </rPr>
      <t xml:space="preserve">太平洋クラブ御殿場ウエストコース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</si>
  <si>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https://www.taiheiyoclub.co.jp/gotembawest/</t>
  </si>
  <si>
    <t xml:space="preserve">Taiheiyo Club flagship area</t>
  </si>
  <si>
    <r>
      <rPr>
        <b val="true"/>
        <sz val="9"/>
        <color rgb="FF1A1A2E"/>
        <rFont val="DejaVu Sans"/>
        <family val="2"/>
        <charset val="1"/>
      </rPr>
      <t xml:space="preserve">Taiheiyo Club Karuizawa Resort (</t>
    </r>
    <r>
      <rPr>
        <b val="true"/>
        <sz val="9"/>
        <color rgb="FF1A1A2E"/>
        <rFont val="DejaVu Sans"/>
        <family val="2"/>
      </rPr>
      <t xml:space="preserve">太平洋クラブ軽井沢リゾート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</si>
  <si>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Nagano, Karuizawa</t>
  </si>
  <si>
    <t xml:space="preserve">https://www.taiheiyoclub.co.jp/karuizawa/</t>
  </si>
  <si>
    <t xml:space="preserve">Highland resort course</t>
  </si>
  <si>
    <r>
      <rPr>
        <b val="true"/>
        <sz val="9"/>
        <color rgb="FF1A1A2E"/>
        <rFont val="DejaVu Sans"/>
        <family val="2"/>
        <charset val="1"/>
      </rPr>
      <t xml:space="preserve">Taiheiyo Club Rokko Course (</t>
    </r>
    <r>
      <rPr>
        <b val="true"/>
        <sz val="9"/>
        <color rgb="FF1A1A2E"/>
        <rFont val="DejaVu Sans"/>
        <family val="2"/>
      </rPr>
      <t xml:space="preserve">太平洋クラブ六甲コース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</si>
  <si>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https://www.taiheiyoclub.co.jp/rokko/</t>
  </si>
  <si>
    <t xml:space="preserve">Mountain course near Kobe</t>
  </si>
  <si>
    <r>
      <rPr>
        <b val="true"/>
        <sz val="9"/>
        <color rgb="FF1A1A2E"/>
        <rFont val="DejaVu Sans"/>
        <family val="2"/>
        <charset val="1"/>
      </rPr>
      <t xml:space="preserve">Taiheiyo Club Sayama Course (</t>
    </r>
    <r>
      <rPr>
        <b val="true"/>
        <sz val="9"/>
        <color rgb="FF1A1A2E"/>
        <rFont val="DejaVu Sans"/>
        <family val="2"/>
      </rPr>
      <t xml:space="preserve">太平洋クラブ佐野ヒルクレストコース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</si>
  <si>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Sano</t>
  </si>
  <si>
    <t xml:space="preserve">https://www.taiheiyoclub.co.jp/sanohill/</t>
  </si>
  <si>
    <t xml:space="preserve">Taiheiyo Club member course</t>
  </si>
  <si>
    <r>
      <rPr>
        <b val="true"/>
        <sz val="9"/>
        <color rgb="FF1A1A2E"/>
        <rFont val="DejaVu Sans"/>
        <family val="2"/>
        <charset val="1"/>
      </rPr>
      <t xml:space="preserve">Taiheiyo Club Minori Course (</t>
    </r>
    <r>
      <rPr>
        <b val="true"/>
        <sz val="9"/>
        <color rgb="FF1A1A2E"/>
        <rFont val="DejaVu Sans"/>
        <family val="2"/>
      </rPr>
      <t xml:space="preserve">太平洋クラブ美野里コース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</si>
  <si>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Omitama</t>
  </si>
  <si>
    <t xml:space="preserve">https://www.taiheiyoclub.co.jp/minori/</t>
  </si>
  <si>
    <t xml:space="preserve">Ibaraki Taiheiyo Club course</t>
  </si>
  <si>
    <r>
      <rPr>
        <b val="true"/>
        <sz val="9"/>
        <color rgb="FF1A1A2E"/>
        <rFont val="DejaVu Sans"/>
        <family val="2"/>
        <charset val="1"/>
      </rPr>
      <t xml:space="preserve">Taiheiyo Club Shimotsuke Course (</t>
    </r>
    <r>
      <rPr>
        <b val="true"/>
        <sz val="9"/>
        <color rgb="FF1A1A2E"/>
        <rFont val="DejaVu Sans"/>
        <family val="2"/>
      </rPr>
      <t xml:space="preserve">太平洋クラブ下野コース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</si>
  <si>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Tochigi</t>
  </si>
  <si>
    <t xml:space="preserve">https://www.taiheiyoclub.co.jp/shimotsuke/</t>
  </si>
  <si>
    <t xml:space="preserve">Tochigi region course</t>
  </si>
  <si>
    <r>
      <rPr>
        <b val="true"/>
        <sz val="9"/>
        <color rgb="FF1A1A2E"/>
        <rFont val="DejaVu Sans"/>
        <family val="2"/>
        <charset val="1"/>
      </rPr>
      <t xml:space="preserve">Taiheiyo Club Masters Gotemba (</t>
    </r>
    <r>
      <rPr>
        <b val="true"/>
        <sz val="9"/>
        <color rgb="FF1A1A2E"/>
        <rFont val="DejaVu Sans"/>
        <family val="2"/>
      </rPr>
      <t xml:space="preserve">太平洋クラブ マスターズコース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</si>
  <si>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https://www.taiheiyoclub.co.jp/</t>
  </si>
  <si>
    <t xml:space="preserve">Taiheiyo Club</t>
  </si>
  <si>
    <r>
      <rPr>
        <b val="true"/>
        <sz val="9"/>
        <color rgb="FF1A1A2E"/>
        <rFont val="DejaVu Sans"/>
        <family val="2"/>
        <charset val="1"/>
      </rPr>
      <t xml:space="preserve">Taiheiyo Club Mashiko Course (</t>
    </r>
    <r>
      <rPr>
        <b val="true"/>
        <sz val="9"/>
        <color rgb="FF1A1A2E"/>
        <rFont val="DejaVu Sans"/>
        <family val="2"/>
      </rPr>
      <t xml:space="preserve">太平洋クラブ益子</t>
    </r>
    <r>
      <rPr>
        <b val="true"/>
        <sz val="9"/>
        <color rgb="FF1A1A2E"/>
        <rFont val="DejaVu Sans"/>
        <family val="2"/>
        <charset val="1"/>
      </rPr>
      <t xml:space="preserve">PGA</t>
    </r>
    <r>
      <rPr>
        <b val="true"/>
        <sz val="9"/>
        <color rgb="FF1A1A2E"/>
        <rFont val="DejaVu Sans"/>
        <family val="2"/>
      </rPr>
      <t xml:space="preserve">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</si>
  <si>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Mashiko</t>
  </si>
  <si>
    <t xml:space="preserve">https://www.taiheiyoclub.co.jp/mashiko/</t>
  </si>
  <si>
    <t xml:space="preserve">PGA designated course</t>
  </si>
  <si>
    <r>
      <rPr>
        <b val="true"/>
        <sz val="9"/>
        <color rgb="FF1A1A2E"/>
        <rFont val="DejaVu Sans"/>
        <family val="2"/>
        <charset val="1"/>
      </rPr>
      <t xml:space="preserve">Taiheiyo Club Arima Course (</t>
    </r>
    <r>
      <rPr>
        <b val="true"/>
        <sz val="9"/>
        <color rgb="FF1A1A2E"/>
        <rFont val="DejaVu Sans"/>
        <family val="2"/>
      </rPr>
      <t xml:space="preserve">太平洋クラブ有馬コース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</si>
  <si>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Sanda</t>
  </si>
  <si>
    <t xml:space="preserve">https://www.taiheiyoclub.co.jp/arima/</t>
  </si>
  <si>
    <t xml:space="preserve">Near Arima Onsen</t>
  </si>
  <si>
    <r>
      <rPr>
        <b val="true"/>
        <sz val="9"/>
        <color rgb="FF1A1A2E"/>
        <rFont val="DejaVu Sans"/>
        <family val="2"/>
        <charset val="1"/>
      </rPr>
      <t xml:space="preserve">Taiheiyo Club Mihama Course (</t>
    </r>
    <r>
      <rPr>
        <b val="true"/>
        <sz val="9"/>
        <color rgb="FF1A1A2E"/>
        <rFont val="DejaVu Sans"/>
        <family val="2"/>
      </rPr>
      <t xml:space="preserve">太平洋クラブ御浜コース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</si>
  <si>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Mie, Mihama</t>
  </si>
  <si>
    <t xml:space="preserve">https://www.taiheiyoclub.co.jp/mihama/</t>
  </si>
  <si>
    <t xml:space="preserve">Mie prefecture coast</t>
  </si>
  <si>
    <r>
      <rPr>
        <b val="true"/>
        <sz val="9"/>
        <color rgb="FF1A1A2E"/>
        <rFont val="DejaVu Sans"/>
        <family val="2"/>
        <charset val="1"/>
      </rPr>
      <t xml:space="preserve">Taiheiyo Club Chiba Minori Course (</t>
    </r>
    <r>
      <rPr>
        <b val="true"/>
        <sz val="9"/>
        <color rgb="FF1A1A2E"/>
        <rFont val="DejaVu Sans"/>
        <family val="2"/>
      </rPr>
      <t xml:space="preserve">太平洋クラブ市原コース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</si>
  <si>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Ichihara</t>
  </si>
  <si>
    <t xml:space="preserve">https://www.taiheiyoclub.co.jp/ichihara/</t>
  </si>
  <si>
    <t xml:space="preserve">Chiba area Taiheiyo course</t>
  </si>
  <si>
    <r>
      <rPr>
        <b val="true"/>
        <sz val="9"/>
        <color rgb="FF1A1A2E"/>
        <rFont val="DejaVu Sans"/>
        <family val="2"/>
        <charset val="1"/>
      </rPr>
      <t xml:space="preserve">Taiheiyo Club Cherry Hills (</t>
    </r>
    <r>
      <rPr>
        <b val="true"/>
        <sz val="9"/>
        <color rgb="FF1A1A2E"/>
        <rFont val="DejaVu Sans"/>
        <family val="2"/>
      </rPr>
      <t xml:space="preserve">太平洋クラブ 成田コース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</si>
  <si>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Narita</t>
  </si>
  <si>
    <t xml:space="preserve">https://www.taiheiyoclub.co.jp/narita/</t>
  </si>
  <si>
    <t xml:space="preserve">Near Narita</t>
  </si>
  <si>
    <r>
      <rPr>
        <b val="true"/>
        <sz val="9"/>
        <color rgb="FF1A1A2E"/>
        <rFont val="DejaVu Sans"/>
        <family val="2"/>
        <charset val="1"/>
      </rPr>
      <t xml:space="preserve">Taiheiyo Club Saiko Course (</t>
    </r>
    <r>
      <rPr>
        <b val="true"/>
        <sz val="9"/>
        <color rgb="FF1A1A2E"/>
        <rFont val="DejaVu Sans"/>
        <family val="2"/>
      </rPr>
      <t xml:space="preserve">太平洋クラブ 西湖コース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</si>
  <si>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Yamanashi, Fujikawaguchiko</t>
  </si>
  <si>
    <t xml:space="preserve">https://www.taiheiyoclub.co.jp/saiko/</t>
  </si>
  <si>
    <t xml:space="preserve">Mt. Fuji area</t>
  </si>
  <si>
    <r>
      <rPr>
        <b val="true"/>
        <sz val="9"/>
        <color rgb="FF1A1A2E"/>
        <rFont val="DejaVu Sans"/>
        <family val="2"/>
        <charset val="1"/>
      </rPr>
      <t xml:space="preserve">Taiheiyo Club Hakuba Course (</t>
    </r>
    <r>
      <rPr>
        <b val="true"/>
        <sz val="9"/>
        <color rgb="FF1A1A2E"/>
        <rFont val="DejaVu Sans"/>
        <family val="2"/>
      </rPr>
      <t xml:space="preserve">太平洋クラブ白馬コース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</si>
  <si>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Nagano, Hakuba</t>
  </si>
  <si>
    <t xml:space="preserve">https://www.taiheiyoclub.co.jp/hakuba/</t>
  </si>
  <si>
    <t xml:space="preserve">Alpine resort</t>
  </si>
  <si>
    <r>
      <rPr>
        <b val="true"/>
        <sz val="9"/>
        <color rgb="FF1A1A2E"/>
        <rFont val="DejaVu Sans"/>
        <family val="2"/>
        <charset val="1"/>
      </rPr>
      <t xml:space="preserve">Taiheiyo Club Awaji Course (</t>
    </r>
    <r>
      <rPr>
        <b val="true"/>
        <sz val="9"/>
        <color rgb="FF1A1A2E"/>
        <rFont val="DejaVu Sans"/>
        <family val="2"/>
      </rPr>
      <t xml:space="preserve">太平洋クラブ淡路コース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</si>
  <si>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Awaji</t>
  </si>
  <si>
    <t xml:space="preserve">https://www.taiheiyoclub.co.jp/awaji/</t>
  </si>
  <si>
    <t xml:space="preserve">Awaji Island course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</si>
  <si>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주고쿠</t>
    </r>
    <r>
      <rPr>
        <sz val="9"/>
        <color rgb="FF1A1A2E"/>
        <rFont val="DejaVu Sans"/>
        <family val="2"/>
        <charset val="1"/>
      </rPr>
      <t xml:space="preserve">/</t>
    </r>
    <r>
      <rPr>
        <sz val="9"/>
        <color rgb="FF1A1A2E"/>
        <rFont val="DejaVu Sans"/>
        <family val="2"/>
      </rPr>
      <t xml:space="preserve">시코쿠</t>
    </r>
  </si>
  <si>
    <r>
      <rPr>
        <b val="true"/>
        <sz val="9"/>
        <color rgb="FF1A1A2E"/>
        <rFont val="DejaVu Sans"/>
        <family val="2"/>
        <charset val="1"/>
      </rPr>
      <t xml:space="preserve">Taiheiyo Club Takamatsu Course (</t>
    </r>
    <r>
      <rPr>
        <b val="true"/>
        <sz val="9"/>
        <color rgb="FF1A1A2E"/>
        <rFont val="DejaVu Sans"/>
        <family val="2"/>
      </rPr>
      <t xml:space="preserve">太平洋クラブ高松コース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</si>
  <si>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Kagawa, Takamatsu</t>
  </si>
  <si>
    <t xml:space="preserve">https://www.taiheiyoclub.co.jp/takamatsu/</t>
  </si>
  <si>
    <t xml:space="preserve">Shikoku Taiheiyo course</t>
  </si>
  <si>
    <r>
      <rPr>
        <b val="true"/>
        <sz val="9"/>
        <color rgb="FF1A1A2E"/>
        <rFont val="DejaVu Sans"/>
        <family val="2"/>
        <charset val="1"/>
      </rPr>
      <t xml:space="preserve">Taiheiyo Club Ryugasaki Course (</t>
    </r>
    <r>
      <rPr>
        <b val="true"/>
        <sz val="9"/>
        <color rgb="FF1A1A2E"/>
        <rFont val="DejaVu Sans"/>
        <family val="2"/>
      </rPr>
      <t xml:space="preserve">太平洋クラブ龍ヶ崎コース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</si>
  <si>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Ryugasaki</t>
  </si>
  <si>
    <t xml:space="preserve">https://www.taiheiyoclub.co.jp/ryugasaki/</t>
  </si>
  <si>
    <t xml:space="preserve">Ibaraki Taiheiyo course</t>
  </si>
  <si>
    <r>
      <rPr>
        <b val="true"/>
        <sz val="9"/>
        <color rgb="FF1A1A2E"/>
        <rFont val="DejaVu Sans"/>
        <family val="2"/>
        <charset val="1"/>
      </rPr>
      <t xml:space="preserve">Phoenix Seagaia Country Club (</t>
    </r>
    <r>
      <rPr>
        <b val="true"/>
        <sz val="9"/>
        <color rgb="FF1A1A2E"/>
        <rFont val="DejaVu Sans"/>
        <family val="2"/>
      </rPr>
      <t xml:space="preserve">フェニックス・シーガイア・カントリークラブ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</si>
  <si>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https://seagaia.co.jp/</t>
  </si>
  <si>
    <t xml:space="preserve">Seagaia resort complex</t>
  </si>
  <si>
    <r>
      <rPr>
        <b val="true"/>
        <sz val="9"/>
        <color rgb="FF1A1A2E"/>
        <rFont val="DejaVu Sans"/>
        <family val="2"/>
        <charset val="1"/>
      </rPr>
      <t xml:space="preserve">Dunlop Phoenix Course (</t>
    </r>
    <r>
      <rPr>
        <b val="true"/>
        <sz val="9"/>
        <color rgb="FF1A1A2E"/>
        <rFont val="DejaVu Sans"/>
        <family val="2"/>
      </rPr>
      <t xml:space="preserve">フェニックス</t>
    </r>
    <r>
      <rPr>
        <b val="true"/>
        <sz val="9"/>
        <color rgb="FF1A1A2E"/>
        <rFont val="DejaVu Sans"/>
        <family val="2"/>
        <charset val="1"/>
      </rPr>
      <t xml:space="preserve">CC)</t>
    </r>
  </si>
  <si>
    <t xml:space="preserve">Hosts Dunlop Phoenix Tournament</t>
  </si>
  <si>
    <r>
      <rPr>
        <b val="true"/>
        <sz val="9"/>
        <color rgb="FF1A1A2E"/>
        <rFont val="DejaVu Sans"/>
        <family val="2"/>
        <charset val="1"/>
      </rPr>
      <t xml:space="preserve">Gotemba Golf Club (</t>
    </r>
    <r>
      <rPr>
        <b val="true"/>
        <sz val="9"/>
        <color rgb="FF1A1A2E"/>
        <rFont val="DejaVu Sans"/>
        <family val="2"/>
      </rPr>
      <t xml:space="preserve">御殿場ゴルフ倶楽部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</si>
  <si>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https://www.gotembagc.co.jp/</t>
  </si>
  <si>
    <t xml:space="preserve">Views of Mt. Fuji</t>
  </si>
  <si>
    <r>
      <rPr>
        <b val="true"/>
        <sz val="9"/>
        <color rgb="FF1A1A2E"/>
        <rFont val="DejaVu Sans"/>
        <family val="2"/>
        <charset val="1"/>
      </rPr>
      <t xml:space="preserve">Fuji Country Club (</t>
    </r>
    <r>
      <rPr>
        <b val="true"/>
        <sz val="9"/>
        <color rgb="FF1A1A2E"/>
        <rFont val="DejaVu Sans"/>
        <family val="2"/>
      </rPr>
      <t xml:space="preserve">富士カントリークラブ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</si>
  <si>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Shizuoka, Susono</t>
  </si>
  <si>
    <t xml:space="preserve">https://www.fuji-cc.co.jp/</t>
  </si>
  <si>
    <t xml:space="preserve">At the base of Mt. Fuji</t>
  </si>
  <si>
    <r>
      <rPr>
        <b val="true"/>
        <sz val="9"/>
        <color rgb="FF1A1A2E"/>
        <rFont val="DejaVu Sans"/>
        <family val="2"/>
        <charset val="1"/>
      </rPr>
      <t xml:space="preserve">Fuji Classic (</t>
    </r>
    <r>
      <rPr>
        <b val="true"/>
        <sz val="9"/>
        <color rgb="FF1A1A2E"/>
        <rFont val="DejaVu Sans"/>
        <family val="2"/>
      </rPr>
      <t xml:space="preserve">フジクラシック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</si>
  <si>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Yamanashi, Tsuru</t>
  </si>
  <si>
    <t xml:space="preserve">https://www.fujiclassic.jp/</t>
  </si>
  <si>
    <t xml:space="preserve">Highland course in Yamanashi</t>
  </si>
  <si>
    <r>
      <rPr>
        <b val="true"/>
        <sz val="9"/>
        <color rgb="FF1A1A2E"/>
        <rFont val="DejaVu Sans"/>
        <family val="2"/>
        <charset val="1"/>
      </rPr>
      <t xml:space="preserve">Pine Lake Golf Club (</t>
    </r>
    <r>
      <rPr>
        <b val="true"/>
        <sz val="9"/>
        <color rgb="FF1A1A2E"/>
        <rFont val="DejaVu Sans"/>
        <family val="2"/>
      </rPr>
      <t xml:space="preserve">パインレークゴルフクラブ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</si>
  <si>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https://www.pinelake.co.jp/</t>
  </si>
  <si>
    <t xml:space="preserve">Miki area</t>
  </si>
  <si>
    <r>
      <rPr>
        <b val="true"/>
        <sz val="9"/>
        <color rgb="FF1A1A2E"/>
        <rFont val="DejaVu Sans"/>
        <family val="2"/>
        <charset val="1"/>
      </rPr>
      <t xml:space="preserve">Kosugi Country Club (</t>
    </r>
    <r>
      <rPr>
        <b val="true"/>
        <sz val="9"/>
        <color rgb="FF1A1A2E"/>
        <rFont val="DejaVu Sans"/>
        <family val="2"/>
      </rPr>
      <t xml:space="preserve">小杉カントリー倶楽部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</si>
  <si>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Toyama, Imizu</t>
  </si>
  <si>
    <t xml:space="preserve">https://www.kosugicc.co.jp/</t>
  </si>
  <si>
    <t xml:space="preserve">Hokuriku region</t>
  </si>
  <si>
    <r>
      <rPr>
        <b val="true"/>
        <sz val="9"/>
        <color rgb="FF1A1A2E"/>
        <rFont val="DejaVu Sans"/>
        <family val="2"/>
        <charset val="1"/>
      </rPr>
      <t xml:space="preserve">Hakone Country Club (</t>
    </r>
    <r>
      <rPr>
        <b val="true"/>
        <sz val="9"/>
        <color rgb="FF1A1A2E"/>
        <rFont val="DejaVu Sans"/>
        <family val="2"/>
      </rPr>
      <t xml:space="preserve">箱根カントリー倶楽部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</si>
  <si>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Hakone</t>
  </si>
  <si>
    <t xml:space="preserve">https://www.hakonecc.com/</t>
  </si>
  <si>
    <t xml:space="preserve">Mountain course with views</t>
  </si>
  <si>
    <r>
      <rPr>
        <b val="true"/>
        <sz val="9"/>
        <color rgb="FF1A1A2E"/>
        <rFont val="DejaVu Sans"/>
        <family val="2"/>
        <charset val="1"/>
      </rPr>
      <t xml:space="preserve">Karuizawa 72 Golf (</t>
    </r>
    <r>
      <rPr>
        <b val="true"/>
        <sz val="9"/>
        <color rgb="FF1A1A2E"/>
        <rFont val="DejaVu Sans"/>
        <family val="2"/>
      </rPr>
      <t xml:space="preserve">軽井沢</t>
    </r>
    <r>
      <rPr>
        <b val="true"/>
        <sz val="9"/>
        <color rgb="FF1A1A2E"/>
        <rFont val="DejaVu Sans"/>
        <family val="2"/>
        <charset val="1"/>
      </rPr>
      <t xml:space="preserve">72</t>
    </r>
    <r>
      <rPr>
        <b val="true"/>
        <sz val="9"/>
        <color rgb="FF1A1A2E"/>
        <rFont val="DejaVu Sans"/>
        <family val="2"/>
      </rPr>
      <t xml:space="preserve">ゴルフ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</si>
  <si>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https://www.karuizawa72.com/</t>
  </si>
  <si>
    <r>
      <rPr>
        <sz val="11"/>
        <color theme="1"/>
        <rFont val="DejaVu Sans"/>
        <family val="2"/>
        <charset val="1"/>
      </rPr>
      <t xml:space="preserve">Four 18-hole courses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rakuten_gora, gdo, tripadvisor | 6</t>
    </r>
    <r>
      <rPr>
        <sz val="11"/>
        <color theme="1"/>
        <rFont val="DejaVu Sans"/>
        <family val="2"/>
      </rPr>
      <t xml:space="preserve">코스 </t>
    </r>
    <r>
      <rPr>
        <sz val="11"/>
        <color theme="1"/>
        <rFont val="DejaVu Sans"/>
        <family val="2"/>
        <charset val="1"/>
      </rPr>
      <t xml:space="preserve">108</t>
    </r>
    <r>
      <rPr>
        <sz val="11"/>
        <color theme="1"/>
        <rFont val="DejaVu Sans"/>
        <family val="2"/>
      </rPr>
      <t xml:space="preserve">홀 리조트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프린스 계열 관리</t>
    </r>
    <r>
      <rPr>
        <sz val="11"/>
        <color theme="1"/>
        <rFont val="DejaVu Sans"/>
        <family val="2"/>
        <charset val="1"/>
      </rPr>
      <t xml:space="preserve">, Rakuten 3.6/5. </t>
    </r>
    <r>
      <rPr>
        <sz val="11"/>
        <color theme="1"/>
        <rFont val="DejaVu Sans"/>
        <family val="2"/>
      </rPr>
      <t xml:space="preserve">스루플레이 가능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계절별 관리 편차 지적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서코스 페어웨이 넓고 아사마산 조망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108/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98/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90/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79/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72 · </t>
    </r>
    <r>
      <rPr>
        <sz val="11"/>
        <color theme="1"/>
        <rFont val="DejaVu Sans"/>
        <family val="2"/>
      </rPr>
      <t xml:space="preserve">난이도등급 중급</t>
    </r>
  </si>
  <si>
    <r>
      <rPr>
        <b val="true"/>
        <sz val="9"/>
        <color rgb="FF1A1A2E"/>
        <rFont val="DejaVu Sans"/>
        <family val="2"/>
        <charset val="1"/>
      </rPr>
      <t xml:space="preserve">PGM Ishioka Golf Club (PGM</t>
    </r>
    <r>
      <rPr>
        <b val="true"/>
        <sz val="9"/>
        <color rgb="FF1A1A2E"/>
        <rFont val="DejaVu Sans"/>
        <family val="2"/>
      </rPr>
      <t xml:space="preserve">石岡ゴルフクラブ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</si>
  <si>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Ishioka</t>
  </si>
  <si>
    <t xml:space="preserve">https://www.pacificgolf.co.jp/ishioka/</t>
  </si>
  <si>
    <t xml:space="preserve">Host of Fujisankei Classic</t>
  </si>
  <si>
    <r>
      <rPr>
        <b val="true"/>
        <sz val="9"/>
        <color rgb="FF1A1A2E"/>
        <rFont val="DejaVu Sans"/>
        <family val="2"/>
        <charset val="1"/>
      </rPr>
      <t xml:space="preserve">PGM Hakuryuko Country Club (PGM</t>
    </r>
    <r>
      <rPr>
        <b val="true"/>
        <sz val="9"/>
        <color rgb="FF1A1A2E"/>
        <rFont val="DejaVu Sans"/>
        <family val="2"/>
      </rPr>
      <t xml:space="preserve">白龍湖カントリークラブ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</si>
  <si>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Hiroshima, Mihara</t>
  </si>
  <si>
    <t xml:space="preserve">https://www.pacificgolf.co.jp/hakuryuko/</t>
  </si>
  <si>
    <t xml:space="preserve">PGM chain course</t>
  </si>
  <si>
    <r>
      <rPr>
        <b val="true"/>
        <sz val="9"/>
        <color rgb="FF1A1A2E"/>
        <rFont val="DejaVu Sans"/>
        <family val="2"/>
        <charset val="1"/>
      </rPr>
      <t xml:space="preserve">PGM Makabe Country Club (PGM</t>
    </r>
    <r>
      <rPr>
        <b val="true"/>
        <sz val="9"/>
        <color rgb="FF1A1A2E"/>
        <rFont val="DejaVu Sans"/>
        <family val="2"/>
      </rPr>
      <t xml:space="preserve">真壁カントリークラブ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</si>
  <si>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Sakuragawa</t>
  </si>
  <si>
    <t xml:space="preserve">https://www.pacificgolf.co.jp/makabe/</t>
  </si>
  <si>
    <t xml:space="preserve">PGM chain</t>
  </si>
  <si>
    <r>
      <rPr>
        <b val="true"/>
        <sz val="9"/>
        <color rgb="FF1A1A2E"/>
        <rFont val="DejaVu Sans"/>
        <family val="2"/>
        <charset val="1"/>
      </rPr>
      <t xml:space="preserve">Otone Country Club (</t>
    </r>
    <r>
      <rPr>
        <b val="true"/>
        <sz val="9"/>
        <color rgb="FF1A1A2E"/>
        <rFont val="DejaVu Sans"/>
        <family val="2"/>
      </rPr>
      <t xml:space="preserve">大利根カントリークラブ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</si>
  <si>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Bando</t>
  </si>
  <si>
    <t xml:space="preserve">https://www.otonecc.com/</t>
  </si>
  <si>
    <t xml:space="preserve">Has hosted Japan Open</t>
  </si>
  <si>
    <r>
      <rPr>
        <b val="true"/>
        <sz val="9"/>
        <color rgb="FF1A1A2E"/>
        <rFont val="DejaVu Sans"/>
        <family val="2"/>
        <charset val="1"/>
      </rPr>
      <t xml:space="preserve">Ryugasaki Country Club (</t>
    </r>
    <r>
      <rPr>
        <b val="true"/>
        <sz val="9"/>
        <color rgb="FF1A1A2E"/>
        <rFont val="DejaVu Sans"/>
        <family val="2"/>
      </rPr>
      <t xml:space="preserve">龍ヶ崎カントリー倶楽部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</si>
  <si>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https://www.ryugasaki-cc.jp/</t>
  </si>
  <si>
    <r>
      <rPr>
        <b val="true"/>
        <sz val="9"/>
        <color rgb="FF1A1A2E"/>
        <rFont val="DejaVu Sans"/>
        <family val="2"/>
        <charset val="1"/>
      </rPr>
      <t xml:space="preserve">Ranzan Country Club (</t>
    </r>
    <r>
      <rPr>
        <b val="true"/>
        <sz val="9"/>
        <color rgb="FF1A1A2E"/>
        <rFont val="DejaVu Sans"/>
        <family val="2"/>
      </rPr>
      <t xml:space="preserve">嵐山カントリークラブ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</si>
  <si>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Ranzan</t>
  </si>
  <si>
    <t xml:space="preserve">https://www.ranzan-cc.com/</t>
  </si>
  <si>
    <t xml:space="preserve">Saitama classic</t>
  </si>
  <si>
    <r>
      <rPr>
        <b val="true"/>
        <sz val="9"/>
        <color rgb="FF1A1A2E"/>
        <rFont val="DejaVu Sans"/>
        <family val="2"/>
        <charset val="1"/>
      </rPr>
      <t xml:space="preserve">Abiko Golf Club (</t>
    </r>
    <r>
      <rPr>
        <b val="true"/>
        <sz val="9"/>
        <color rgb="FF1A1A2E"/>
        <rFont val="DejaVu Sans"/>
        <family val="2"/>
      </rPr>
      <t xml:space="preserve">我孫子ゴルフ倶楽部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</si>
  <si>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Abiko</t>
  </si>
  <si>
    <t xml:space="preserve">https://www.abikogolf.com/</t>
  </si>
  <si>
    <t xml:space="preserve">One of Japan's historic clubs</t>
  </si>
  <si>
    <r>
      <rPr>
        <b val="true"/>
        <sz val="9"/>
        <color rgb="FF1A1A2E"/>
        <rFont val="DejaVu Sans"/>
        <family val="2"/>
        <charset val="1"/>
      </rPr>
      <t xml:space="preserve">Programme Country Club (</t>
    </r>
    <r>
      <rPr>
        <b val="true"/>
        <sz val="9"/>
        <color rgb="FF1A1A2E"/>
        <rFont val="DejaVu Sans"/>
        <family val="2"/>
      </rPr>
      <t xml:space="preserve">プログラムカントリークラブ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</si>
  <si>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 parkland</t>
  </si>
  <si>
    <r>
      <rPr>
        <b val="true"/>
        <sz val="9"/>
        <color rgb="FF1A1A2E"/>
        <rFont val="DejaVu Sans"/>
        <family val="2"/>
        <charset val="1"/>
      </rPr>
      <t xml:space="preserve">Keya Golf Club (</t>
    </r>
    <r>
      <rPr>
        <b val="true"/>
        <sz val="9"/>
        <color rgb="FF1A1A2E"/>
        <rFont val="DejaVu Sans"/>
        <family val="2"/>
      </rPr>
      <t xml:space="preserve">芥屋ゴルフ倶楽部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</si>
  <si>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Fukuoka, Itoshima</t>
  </si>
  <si>
    <t xml:space="preserve">https://www.keyagolfclub.com/</t>
  </si>
  <si>
    <t xml:space="preserve">Seaside course on Genkai Sea</t>
  </si>
  <si>
    <r>
      <rPr>
        <b val="true"/>
        <sz val="9"/>
        <color rgb="FF1A1A2E"/>
        <rFont val="DejaVu Sans"/>
        <family val="2"/>
        <charset val="1"/>
      </rPr>
      <t xml:space="preserve">Fukuoka Country Club Wajiro Course (</t>
    </r>
    <r>
      <rPr>
        <b val="true"/>
        <sz val="9"/>
        <color rgb="FF1A1A2E"/>
        <rFont val="DejaVu Sans"/>
        <family val="2"/>
      </rPr>
      <t xml:space="preserve">福岡カンツリー倶楽部 和白コース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</si>
  <si>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Fukuoka, Fukuoka</t>
  </si>
  <si>
    <t xml:space="preserve">https://www.fukuokacc.jp/</t>
  </si>
  <si>
    <t xml:space="preserve">Historic Kyushu course</t>
  </si>
  <si>
    <r>
      <rPr>
        <b val="true"/>
        <sz val="9"/>
        <color rgb="FF1A1A2E"/>
        <rFont val="DejaVu Sans"/>
        <family val="2"/>
        <charset val="1"/>
      </rPr>
      <t xml:space="preserve">Kokura Country Club (</t>
    </r>
    <r>
      <rPr>
        <b val="true"/>
        <sz val="9"/>
        <color rgb="FF1A1A2E"/>
        <rFont val="DejaVu Sans"/>
        <family val="2"/>
      </rPr>
      <t xml:space="preserve">小倉カンツリークラブ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</si>
  <si>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Fukuoka, Kitakyushu</t>
  </si>
  <si>
    <t xml:space="preserve">https://www.kokuracc.com/</t>
  </si>
  <si>
    <t xml:space="preserve">Northern Kyushu classic</t>
  </si>
  <si>
    <r>
      <rPr>
        <b val="true"/>
        <sz val="9"/>
        <color rgb="FF1A1A2E"/>
        <rFont val="DejaVu Sans"/>
        <family val="2"/>
        <charset val="1"/>
      </rPr>
      <t xml:space="preserve">Aso Prince Hotel Golf Course (</t>
    </r>
    <r>
      <rPr>
        <b val="true"/>
        <sz val="9"/>
        <color rgb="FF1A1A2E"/>
        <rFont val="DejaVu Sans"/>
        <family val="2"/>
      </rPr>
      <t xml:space="preserve">阿蘇プリンスホテルゴルフコース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</si>
  <si>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Kumamoto, Aso</t>
  </si>
  <si>
    <t xml:space="preserve">https://www.princehotels.co.jp/golf/aso/</t>
  </si>
  <si>
    <t xml:space="preserve">Resort course near Mt. Aso</t>
  </si>
  <si>
    <r>
      <rPr>
        <b val="true"/>
        <sz val="9"/>
        <color rgb="FF1A1A2E"/>
        <rFont val="DejaVu Sans"/>
        <family val="2"/>
        <charset val="1"/>
      </rPr>
      <t xml:space="preserve">Kagoshima Golf Resort (</t>
    </r>
    <r>
      <rPr>
        <b val="true"/>
        <sz val="9"/>
        <color rgb="FF1A1A2E"/>
        <rFont val="DejaVu Sans"/>
        <family val="2"/>
      </rPr>
      <t xml:space="preserve">鹿児島ゴルフリゾート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</si>
  <si>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Kagoshima, Kirishima</t>
  </si>
  <si>
    <t xml:space="preserve">https://www.kagoshima-gr.com/</t>
  </si>
  <si>
    <t xml:space="preserve">Kyushu resort</t>
  </si>
  <si>
    <r>
      <rPr>
        <b val="true"/>
        <sz val="9"/>
        <color rgb="FF1A1A2E"/>
        <rFont val="DejaVu Sans"/>
        <family val="2"/>
        <charset val="1"/>
      </rPr>
      <t xml:space="preserve">Kirishima Golf Club (</t>
    </r>
    <r>
      <rPr>
        <b val="true"/>
        <sz val="9"/>
        <color rgb="FF1A1A2E"/>
        <rFont val="DejaVu Sans"/>
        <family val="2"/>
      </rPr>
      <t xml:space="preserve">霧島ゴルフクラブ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</si>
  <si>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Kirishima highlands</t>
  </si>
  <si>
    <r>
      <rPr>
        <b val="true"/>
        <sz val="9"/>
        <color rgb="FF1A1A2E"/>
        <rFont val="DejaVu Sans"/>
        <family val="2"/>
        <charset val="1"/>
      </rPr>
      <t xml:space="preserve">JFE Setonaikai Golf Club (JFE</t>
    </r>
    <r>
      <rPr>
        <b val="true"/>
        <sz val="9"/>
        <color rgb="FF1A1A2E"/>
        <rFont val="DejaVu Sans"/>
        <family val="2"/>
      </rPr>
      <t xml:space="preserve">瀬戸内海ゴルフ倶楽部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</si>
  <si>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Okayama, Kurashiki</t>
  </si>
  <si>
    <t xml:space="preserve">https://www.jfe-golf.co.jp/</t>
  </si>
  <si>
    <t xml:space="preserve">Seto Inland Sea views</t>
  </si>
  <si>
    <r>
      <rPr>
        <b val="true"/>
        <sz val="9"/>
        <color rgb="FF1A1A2E"/>
        <rFont val="DejaVu Sans"/>
        <family val="2"/>
        <charset val="1"/>
      </rPr>
      <t xml:space="preserve">Rokko Kokusai Golf Club (</t>
    </r>
    <r>
      <rPr>
        <b val="true"/>
        <sz val="9"/>
        <color rgb="FF1A1A2E"/>
        <rFont val="DejaVu Sans"/>
        <family val="2"/>
      </rPr>
      <t xml:space="preserve">六甲国際ゴルフ倶楽部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</si>
  <si>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https://www.rokkokokusai.co.jp/</t>
  </si>
  <si>
    <t xml:space="preserve">Mt. Rokko area</t>
  </si>
  <si>
    <r>
      <rPr>
        <b val="true"/>
        <sz val="9"/>
        <color rgb="FF1A1A2E"/>
        <rFont val="DejaVu Sans"/>
        <family val="2"/>
        <charset val="1"/>
      </rPr>
      <t xml:space="preserve">Hanna Country Club (</t>
    </r>
    <r>
      <rPr>
        <b val="true"/>
        <sz val="9"/>
        <color rgb="FF1A1A2E"/>
        <rFont val="DejaVu Sans"/>
        <family val="2"/>
      </rPr>
      <t xml:space="preserve">奈良国際ゴルフ倶楽部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</si>
  <si>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Nara, Ikoma</t>
  </si>
  <si>
    <t xml:space="preserve">https://www.nara-kokusai.co.jp/</t>
  </si>
  <si>
    <t xml:space="preserve">Nara region</t>
  </si>
  <si>
    <r>
      <rPr>
        <b val="true"/>
        <sz val="9"/>
        <color rgb="FF1A1A2E"/>
        <rFont val="DejaVu Sans"/>
        <family val="2"/>
        <charset val="1"/>
      </rPr>
      <t xml:space="preserve">Yomiuri Country Club (</t>
    </r>
    <r>
      <rPr>
        <b val="true"/>
        <sz val="9"/>
        <color rgb="FF1A1A2E"/>
        <rFont val="DejaVu Sans"/>
        <family val="2"/>
      </rPr>
      <t xml:space="preserve">よみうりカントリークラブ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</si>
  <si>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Inagi</t>
  </si>
  <si>
    <t xml:space="preserve">https://www.yomiuricc.co.jp/</t>
  </si>
  <si>
    <t xml:space="preserve">Host of Nippon Series JT Cup</t>
  </si>
  <si>
    <r>
      <rPr>
        <b val="true"/>
        <sz val="9"/>
        <color rgb="FF1A1A2E"/>
        <rFont val="DejaVu Sans"/>
        <family val="2"/>
        <charset val="1"/>
      </rPr>
      <t xml:space="preserve">Yomiuri Golf Club (Hyogo) (</t>
    </r>
    <r>
      <rPr>
        <b val="true"/>
        <sz val="9"/>
        <color rgb="FF1A1A2E"/>
        <rFont val="DejaVu Sans"/>
        <family val="2"/>
      </rPr>
      <t xml:space="preserve">よみうりゴルフ倶楽部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</si>
  <si>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Nishinomiya</t>
  </si>
  <si>
    <t xml:space="preserve">https://www.yomiurigolf.co.jp/</t>
  </si>
  <si>
    <t xml:space="preserve">Kansai branch</t>
  </si>
  <si>
    <r>
      <rPr>
        <b val="true"/>
        <sz val="9"/>
        <color rgb="FF1A1A2E"/>
        <rFont val="DejaVu Sans"/>
        <family val="2"/>
        <charset val="1"/>
      </rPr>
      <t xml:space="preserve">Kasumigaura Country Club (</t>
    </r>
    <r>
      <rPr>
        <b val="true"/>
        <sz val="9"/>
        <color rgb="FF1A1A2E"/>
        <rFont val="DejaVu Sans"/>
        <family val="2"/>
      </rPr>
      <t xml:space="preserve">霞ヶ浦カントリー倶楽部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</si>
  <si>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Kasumigaura</t>
  </si>
  <si>
    <t xml:space="preserve">https://www.kasumigaura-cc.com/</t>
  </si>
  <si>
    <t xml:space="preserve">Lake Kasumigaura area</t>
  </si>
  <si>
    <r>
      <rPr>
        <b val="true"/>
        <sz val="9"/>
        <color rgb="FF1A1A2E"/>
        <rFont val="DejaVu Sans"/>
        <family val="2"/>
        <charset val="1"/>
      </rPr>
      <t xml:space="preserve">Nikko Country Club (</t>
    </r>
    <r>
      <rPr>
        <b val="true"/>
        <sz val="9"/>
        <color rgb="FF1A1A2E"/>
        <rFont val="DejaVu Sans"/>
        <family val="2"/>
      </rPr>
      <t xml:space="preserve">日光カンツリー倶楽部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</si>
  <si>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Nikko</t>
  </si>
  <si>
    <t xml:space="preserve">https://www.nikkocc.or.jp/</t>
  </si>
  <si>
    <t xml:space="preserve">Historic highland course</t>
  </si>
  <si>
    <r>
      <rPr>
        <b val="true"/>
        <sz val="9"/>
        <color rgb="FF1A1A2E"/>
        <rFont val="DejaVu Sans"/>
        <family val="2"/>
        <charset val="1"/>
      </rPr>
      <t xml:space="preserve">Naeba Golf Course (</t>
    </r>
    <r>
      <rPr>
        <b val="true"/>
        <sz val="9"/>
        <color rgb="FF1A1A2E"/>
        <rFont val="DejaVu Sans"/>
        <family val="2"/>
      </rPr>
      <t xml:space="preserve">苗場ゴルフコース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</si>
  <si>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Niigata, Yuzawa</t>
  </si>
  <si>
    <t xml:space="preserve">https://www.princehotels.co.jp/golf/naeba/</t>
  </si>
  <si>
    <t xml:space="preserve">Prince Hotel resort course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</si>
  <si>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홋카이도</t>
    </r>
  </si>
  <si>
    <r>
      <rPr>
        <b val="true"/>
        <sz val="9"/>
        <color rgb="FF1A1A2E"/>
        <rFont val="DejaVu Sans"/>
        <family val="2"/>
        <charset val="1"/>
      </rPr>
      <t xml:space="preserve">Sapporo Golf Club - Wattsu Course (</t>
    </r>
    <r>
      <rPr>
        <b val="true"/>
        <sz val="9"/>
        <color rgb="FF1A1A2E"/>
        <rFont val="DejaVu Sans"/>
        <family val="2"/>
      </rPr>
      <t xml:space="preserve">札幌ゴルフ倶楽部 輪厚コース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</si>
  <si>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Kitahiroshima</t>
  </si>
  <si>
    <t xml:space="preserve">https://www.sapporogc.com/</t>
  </si>
  <si>
    <t xml:space="preserve">Host of Sun Chlorella Classic</t>
  </si>
  <si>
    <r>
      <rPr>
        <b val="true"/>
        <sz val="9"/>
        <color rgb="FF1A1A2E"/>
        <rFont val="DejaVu Sans"/>
        <family val="2"/>
        <charset val="1"/>
      </rPr>
      <t xml:space="preserve">Hokkaido Classic Golf Club (</t>
    </r>
    <r>
      <rPr>
        <b val="true"/>
        <sz val="9"/>
        <color rgb="FF1A1A2E"/>
        <rFont val="DejaVu Sans"/>
        <family val="2"/>
      </rPr>
      <t xml:space="preserve">北海道クラシックゴルフクラブ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</si>
  <si>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Chitose</t>
  </si>
  <si>
    <t xml:space="preserve">https://www.hokkaido-classic.co.jp/</t>
  </si>
  <si>
    <r>
      <rPr>
        <sz val="11"/>
        <color theme="1"/>
        <rFont val="DejaVu Sans"/>
        <family val="2"/>
        <charset val="1"/>
      </rPr>
      <t xml:space="preserve">Nicklaus-designed championship course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0.82): top100golfcourses, golfpass, rakuten_gora | Jack Nicklaus Signature(1991), Muirfield Village </t>
    </r>
    <r>
      <rPr>
        <sz val="11"/>
        <color theme="1"/>
        <rFont val="DejaVu Sans"/>
        <family val="2"/>
      </rPr>
      <t xml:space="preserve">영감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융단 같은 페어웨이와 꽃길</t>
    </r>
    <r>
      <rPr>
        <sz val="11"/>
        <color theme="1"/>
        <rFont val="DejaVu Sans"/>
        <family val="2"/>
        <charset val="1"/>
      </rPr>
      <t xml:space="preserve">-</t>
    </r>
    <r>
      <rPr>
        <sz val="11"/>
        <color theme="1"/>
        <rFont val="DejaVu Sans"/>
        <family val="2"/>
      </rPr>
      <t xml:space="preserve">그린 경계 모호할 정도 정비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 호불호 갈림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113/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103/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94/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82/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상급</t>
    </r>
  </si>
  <si>
    <r>
      <rPr>
        <b val="true"/>
        <sz val="9"/>
        <color rgb="FF1A1A2E"/>
        <rFont val="DejaVu Sans"/>
        <family val="2"/>
        <charset val="1"/>
      </rPr>
      <t xml:space="preserve">The North Country Golf Club (</t>
    </r>
    <r>
      <rPr>
        <b val="true"/>
        <sz val="9"/>
        <color rgb="FF1A1A2E"/>
        <rFont val="DejaVu Sans"/>
        <family val="2"/>
      </rPr>
      <t xml:space="preserve">ザ・ノースカントリーゴルフクラブ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</si>
  <si>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https://www.thenorthcountry.jp/</t>
  </si>
  <si>
    <t xml:space="preserve">Host of Japan Women's Open 2011</t>
  </si>
  <si>
    <r>
      <rPr>
        <b val="true"/>
        <sz val="9"/>
        <color rgb="FF1A1A2E"/>
        <rFont val="DejaVu Sans"/>
        <family val="2"/>
        <charset val="1"/>
      </rPr>
      <t xml:space="preserve">Rusutsu Resort Golf Courses (</t>
    </r>
    <r>
      <rPr>
        <b val="true"/>
        <sz val="9"/>
        <color rgb="FF1A1A2E"/>
        <rFont val="DejaVu Sans"/>
        <family val="2"/>
      </rPr>
      <t xml:space="preserve">ルスツリゾートゴルフ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</si>
  <si>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Rusutsu</t>
  </si>
  <si>
    <t xml:space="preserve">https://rusutsu.com/golf/</t>
  </si>
  <si>
    <t xml:space="preserve">Three 18-hole courses at Rusutsu Resort</t>
  </si>
  <si>
    <r>
      <rPr>
        <b val="true"/>
        <sz val="9"/>
        <color rgb="FF1A1A2E"/>
        <rFont val="DejaVu Sans"/>
        <family val="2"/>
        <charset val="1"/>
      </rPr>
      <t xml:space="preserve">Hokkaido Brooks Country Club (</t>
    </r>
    <r>
      <rPr>
        <b val="true"/>
        <sz val="9"/>
        <color rgb="FF1A1A2E"/>
        <rFont val="DejaVu Sans"/>
        <family val="2"/>
      </rPr>
      <t xml:space="preserve">北海道ブルックスカントリークラブ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</si>
  <si>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Eniwa</t>
  </si>
  <si>
    <t xml:space="preserve">https://www.brookscc.co.jp/</t>
  </si>
  <si>
    <t xml:space="preserve">Scenic Hokkaido course</t>
  </si>
  <si>
    <r>
      <rPr>
        <b val="true"/>
        <sz val="9"/>
        <color rgb="FF1A1A2E"/>
        <rFont val="DejaVu Sans"/>
        <family val="2"/>
        <charset val="1"/>
      </rPr>
      <t xml:space="preserve">Otaru Country Club (</t>
    </r>
    <r>
      <rPr>
        <b val="true"/>
        <sz val="9"/>
        <color rgb="FF1A1A2E"/>
        <rFont val="DejaVu Sans"/>
        <family val="2"/>
      </rPr>
      <t xml:space="preserve">小樽カントリー倶楽部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</si>
  <si>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Otaru</t>
  </si>
  <si>
    <t xml:space="preserve">https://www.otarucc.com/</t>
  </si>
  <si>
    <t xml:space="preserve">Hokkaido's oldest club</t>
  </si>
  <si>
    <r>
      <rPr>
        <b val="true"/>
        <sz val="9"/>
        <color rgb="FF1A1A2E"/>
        <rFont val="DejaVu Sans"/>
        <family val="2"/>
        <charset val="1"/>
      </rPr>
      <t xml:space="preserve">Hokkaido Golf Club (</t>
    </r>
    <r>
      <rPr>
        <b val="true"/>
        <sz val="9"/>
        <color rgb="FF1A1A2E"/>
        <rFont val="DejaVu Sans"/>
        <family val="2"/>
      </rPr>
      <t xml:space="preserve">北海道ゴルフ倶楽部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</si>
  <si>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https://www.hokkaidogolf.jp/</t>
  </si>
  <si>
    <t xml:space="preserve">Chitose area</t>
  </si>
  <si>
    <r>
      <rPr>
        <b val="true"/>
        <sz val="9"/>
        <color rgb="FF1A1A2E"/>
        <rFont val="DejaVu Sans"/>
        <family val="2"/>
        <charset val="1"/>
      </rPr>
      <t xml:space="preserve">Niseko Golf Club (</t>
    </r>
    <r>
      <rPr>
        <b val="true"/>
        <sz val="9"/>
        <color rgb="FF1A1A2E"/>
        <rFont val="DejaVu Sans"/>
        <family val="2"/>
      </rPr>
      <t xml:space="preserve">ニセコゴルフコース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</si>
  <si>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Hokkaido, Niseko</t>
  </si>
  <si>
    <t xml:space="preserve">https://www.niseko.ne.jp/golf/</t>
  </si>
  <si>
    <t xml:space="preserve">Mountain resort</t>
  </si>
  <si>
    <r>
      <rPr>
        <b val="true"/>
        <sz val="9"/>
        <color rgb="FF1A1A2E"/>
        <rFont val="DejaVu Sans"/>
        <family val="2"/>
        <charset val="1"/>
      </rPr>
      <t xml:space="preserve">Tomakomai Golf Resort 72 (</t>
    </r>
    <r>
      <rPr>
        <b val="true"/>
        <sz val="9"/>
        <color rgb="FF1A1A2E"/>
        <rFont val="DejaVu Sans"/>
        <family val="2"/>
      </rPr>
      <t xml:space="preserve">苫小牧ゴルフリゾート</t>
    </r>
    <r>
      <rPr>
        <b val="true"/>
        <sz val="9"/>
        <color rgb="FF1A1A2E"/>
        <rFont val="DejaVu Sans"/>
        <family val="2"/>
        <charset val="1"/>
      </rPr>
      <t xml:space="preserve">72)</t>
    </r>
  </si>
  <si>
    <t xml:space="preserve">Hokkaido, Tomakomai</t>
  </si>
  <si>
    <t xml:space="preserve">Four courses</t>
  </si>
  <si>
    <r>
      <rPr>
        <b val="true"/>
        <sz val="9"/>
        <color rgb="FF1A1A2E"/>
        <rFont val="DejaVu Sans"/>
        <family val="2"/>
        <charset val="1"/>
      </rPr>
      <t xml:space="preserve">Narashino Country Club (</t>
    </r>
    <r>
      <rPr>
        <b val="true"/>
        <sz val="9"/>
        <color rgb="FF1A1A2E"/>
        <rFont val="DejaVu Sans"/>
        <family val="2"/>
      </rPr>
      <t xml:space="preserve">習志野カントリークラブ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</si>
  <si>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Inzai</t>
  </si>
  <si>
    <t xml:space="preserve">https://www.narashino-cc.or.jp/</t>
  </si>
  <si>
    <t xml:space="preserve">Host of Zozo Championship PGA Tour event</t>
  </si>
  <si>
    <r>
      <rPr>
        <b val="true"/>
        <sz val="9"/>
        <color rgb="FF1A1A2E"/>
        <rFont val="DejaVu Sans"/>
        <family val="2"/>
        <charset val="1"/>
      </rPr>
      <t xml:space="preserve">Accordia Golf Narashino Country Club (</t>
    </r>
    <r>
      <rPr>
        <b val="true"/>
        <sz val="9"/>
        <color rgb="FF1A1A2E"/>
        <rFont val="DejaVu Sans"/>
        <family val="2"/>
      </rPr>
      <t xml:space="preserve">アコーディア・ゴルフ 習志野カントリークラブ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</si>
  <si>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Accordia-operated host of Zozo Championship</t>
  </si>
  <si>
    <r>
      <rPr>
        <b val="true"/>
        <sz val="9"/>
        <color rgb="FF1A1A2E"/>
        <rFont val="DejaVu Sans"/>
        <family val="2"/>
        <charset val="1"/>
      </rPr>
      <t xml:space="preserve">Accordia Golf Kasukabe Course (</t>
    </r>
    <r>
      <rPr>
        <b val="true"/>
        <sz val="9"/>
        <color rgb="FF1A1A2E"/>
        <rFont val="DejaVu Sans"/>
        <family val="2"/>
      </rPr>
      <t xml:space="preserve">アコーディア・ゴルフ春日部コース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</si>
  <si>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Kasukabe</t>
  </si>
  <si>
    <t xml:space="preserve">https://www.accordiagolf.com/</t>
  </si>
  <si>
    <t xml:space="preserve">Accordia chain</t>
  </si>
  <si>
    <r>
      <rPr>
        <b val="true"/>
        <sz val="9"/>
        <color rgb="FF1A1A2E"/>
        <rFont val="DejaVu Sans"/>
        <family val="2"/>
        <charset val="1"/>
      </rPr>
      <t xml:space="preserve">The Royal Golf Club (</t>
    </r>
    <r>
      <rPr>
        <b val="true"/>
        <sz val="9"/>
        <color rgb="FF1A1A2E"/>
        <rFont val="DejaVu Sans"/>
        <family val="2"/>
      </rPr>
      <t xml:space="preserve">ザ・ロイヤルゴルフクラブ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</si>
  <si>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Hokota</t>
  </si>
  <si>
    <t xml:space="preserve">https://www.the-royal-gc.co.jp/</t>
  </si>
  <si>
    <t xml:space="preserve">Nicklaus signature course</t>
  </si>
  <si>
    <r>
      <rPr>
        <b val="true"/>
        <sz val="9"/>
        <color rgb="FF1A1A2E"/>
        <rFont val="DejaVu Sans"/>
        <family val="2"/>
        <charset val="1"/>
      </rPr>
      <t xml:space="preserve">Shishido Hills Country Club (</t>
    </r>
    <r>
      <rPr>
        <b val="true"/>
        <sz val="9"/>
        <color rgb="FF1A1A2E"/>
        <rFont val="DejaVu Sans"/>
        <family val="2"/>
      </rPr>
      <t xml:space="preserve">宍戸ヒルズカントリークラブ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</si>
  <si>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Kasama</t>
  </si>
  <si>
    <t xml:space="preserve">https://www.shishido-hills.co.jp/</t>
  </si>
  <si>
    <t xml:space="preserve">Host of Japan Open several times</t>
  </si>
  <si>
    <r>
      <rPr>
        <b val="true"/>
        <sz val="9"/>
        <color rgb="FF1A1A2E"/>
        <rFont val="DejaVu Sans"/>
        <family val="2"/>
        <charset val="1"/>
      </rPr>
      <t xml:space="preserve">Tsukuba Country Club (</t>
    </r>
    <r>
      <rPr>
        <b val="true"/>
        <sz val="9"/>
        <color rgb="FF1A1A2E"/>
        <rFont val="DejaVu Sans"/>
        <family val="2"/>
      </rPr>
      <t xml:space="preserve">筑波カントリークラブ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</si>
  <si>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Tsukuba</t>
  </si>
  <si>
    <t xml:space="preserve">https://www.tsukubacc.com/</t>
  </si>
  <si>
    <t xml:space="preserve">Has hosted major Japan tournaments</t>
  </si>
  <si>
    <r>
      <rPr>
        <b val="true"/>
        <sz val="9"/>
        <color rgb="FF1A1A2E"/>
        <rFont val="DejaVu Sans"/>
        <family val="2"/>
        <charset val="1"/>
      </rPr>
      <t xml:space="preserve">Musashi Country Club (</t>
    </r>
    <r>
      <rPr>
        <b val="true"/>
        <sz val="9"/>
        <color rgb="FF1A1A2E"/>
        <rFont val="DejaVu Sans"/>
        <family val="2"/>
      </rPr>
      <t xml:space="preserve">武蔵カントリークラブ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</si>
  <si>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Hanno</t>
  </si>
  <si>
    <t xml:space="preserve">https://www.musashicc.or.jp/</t>
  </si>
  <si>
    <t xml:space="preserve">Toyooka and Sasai courses</t>
  </si>
  <si>
    <r>
      <rPr>
        <b val="true"/>
        <sz val="9"/>
        <color rgb="FF1A1A2E"/>
        <rFont val="DejaVu Sans"/>
        <family val="2"/>
        <charset val="1"/>
      </rPr>
      <t xml:space="preserve">Kogane Country Club (</t>
    </r>
    <r>
      <rPr>
        <b val="true"/>
        <sz val="9"/>
        <color rgb="FF1A1A2E"/>
        <rFont val="DejaVu Sans"/>
        <family val="2"/>
      </rPr>
      <t xml:space="preserve">小金井カントリー倶楽部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</si>
  <si>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Koganei</t>
  </si>
  <si>
    <t xml:space="preserve">https://www.kogacc.or.jp/</t>
  </si>
  <si>
    <t xml:space="preserve">One of Tokyo's most prestigious clubs</t>
  </si>
  <si>
    <r>
      <rPr>
        <b val="true"/>
        <sz val="9"/>
        <color rgb="FF1A1A2E"/>
        <rFont val="DejaVu Sans"/>
        <family val="2"/>
        <charset val="1"/>
      </rPr>
      <t xml:space="preserve">Takanodai Country Club (</t>
    </r>
    <r>
      <rPr>
        <b val="true"/>
        <sz val="9"/>
        <color rgb="FF1A1A2E"/>
        <rFont val="DejaVu Sans"/>
        <family val="2"/>
      </rPr>
      <t xml:space="preserve">鷹之台カンツリー倶楽部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</si>
  <si>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Yachiyo</t>
  </si>
  <si>
    <t xml:space="preserve">https://www.takanodai-cc.or.jp/</t>
  </si>
  <si>
    <t xml:space="preserve">Host of Japan Open multiple times</t>
  </si>
  <si>
    <r>
      <rPr>
        <b val="true"/>
        <sz val="9"/>
        <color rgb="FF1A1A2E"/>
        <rFont val="DejaVu Sans"/>
        <family val="2"/>
        <charset val="1"/>
      </rPr>
      <t xml:space="preserve">Chiba Country Club (</t>
    </r>
    <r>
      <rPr>
        <b val="true"/>
        <sz val="9"/>
        <color rgb="FF1A1A2E"/>
        <rFont val="DejaVu Sans"/>
        <family val="2"/>
      </rPr>
      <t xml:space="preserve">千葉カントリークラブ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</si>
  <si>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Noda</t>
  </si>
  <si>
    <t xml:space="preserve">https://www.chiba-cc.co.jp/</t>
  </si>
  <si>
    <t xml:space="preserve">Umesato and Kawama courses</t>
  </si>
  <si>
    <r>
      <rPr>
        <b val="true"/>
        <sz val="9"/>
        <color rgb="FF1A1A2E"/>
        <rFont val="DejaVu Sans"/>
        <family val="2"/>
        <charset val="1"/>
      </rPr>
      <t xml:space="preserve">Gunma Golf Club (</t>
    </r>
    <r>
      <rPr>
        <b val="true"/>
        <sz val="9"/>
        <color rgb="FF1A1A2E"/>
        <rFont val="DejaVu Sans"/>
        <family val="2"/>
      </rPr>
      <t xml:space="preserve">群馬ゴルフ倶楽部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</si>
  <si>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Gunma, Maebashi</t>
  </si>
  <si>
    <t xml:space="preserve">https://www.gunmagc.com/</t>
  </si>
  <si>
    <t xml:space="preserve">Gunma classic</t>
  </si>
  <si>
    <r>
      <rPr>
        <b val="true"/>
        <sz val="9"/>
        <color rgb="FF1A1A2E"/>
        <rFont val="DejaVu Sans"/>
        <family val="2"/>
        <charset val="1"/>
      </rPr>
      <t xml:space="preserve">Prestige Country Club (</t>
    </r>
    <r>
      <rPr>
        <b val="true"/>
        <sz val="9"/>
        <color rgb="FF1A1A2E"/>
        <rFont val="DejaVu Sans"/>
        <family val="2"/>
      </rPr>
      <t xml:space="preserve">プレステージカントリークラブ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</si>
  <si>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Gunma, Kiryu</t>
  </si>
  <si>
    <t xml:space="preserve">https://www.prestigecc.co.jp/</t>
  </si>
  <si>
    <t xml:space="preserve">Host of Japan Open 2021</t>
  </si>
  <si>
    <r>
      <rPr>
        <b val="true"/>
        <sz val="9"/>
        <color rgb="FF1A1A2E"/>
        <rFont val="DejaVu Sans"/>
        <family val="2"/>
        <charset val="1"/>
      </rPr>
      <t xml:space="preserve">Gotohda Country Club (</t>
    </r>
    <r>
      <rPr>
        <b val="true"/>
        <sz val="9"/>
        <color rgb="FF1A1A2E"/>
        <rFont val="DejaVu Sans"/>
        <family val="2"/>
      </rPr>
      <t xml:space="preserve">五島田カントリークラブ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</si>
  <si>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Katsuura</t>
  </si>
  <si>
    <t xml:space="preserve">Boso peninsula</t>
  </si>
  <si>
    <r>
      <rPr>
        <b val="true"/>
        <sz val="9"/>
        <color rgb="FF1A1A2E"/>
        <rFont val="DejaVu Sans"/>
        <family val="2"/>
        <charset val="1"/>
      </rPr>
      <t xml:space="preserve">Japan PGA Golf Club Yoshimi Course (JGM</t>
    </r>
    <r>
      <rPr>
        <b val="true"/>
        <sz val="9"/>
        <color rgb="FF1A1A2E"/>
        <rFont val="DejaVu Sans"/>
        <family val="2"/>
      </rPr>
      <t xml:space="preserve">セベバレステロス</t>
    </r>
    <r>
      <rPr>
        <b val="true"/>
        <sz val="9"/>
        <color rgb="FF1A1A2E"/>
        <rFont val="DejaVu Sans"/>
        <family val="2"/>
        <charset val="1"/>
      </rPr>
      <t xml:space="preserve">GC</t>
    </r>
    <r>
      <rPr>
        <b val="true"/>
        <sz val="9"/>
        <color rgb="FF1A1A2E"/>
        <rFont val="DejaVu Sans"/>
        <family val="2"/>
      </rPr>
      <t xml:space="preserve">よしみコース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</si>
  <si>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Saitama, Yoshimi</t>
  </si>
  <si>
    <t xml:space="preserve">Ballesteros design</t>
  </si>
  <si>
    <r>
      <rPr>
        <b val="true"/>
        <sz val="9"/>
        <color rgb="FF1A1A2E"/>
        <rFont val="DejaVu Sans"/>
        <family val="2"/>
        <charset val="1"/>
      </rPr>
      <t xml:space="preserve">Shinyo Country Club (</t>
    </r>
    <r>
      <rPr>
        <b val="true"/>
        <sz val="9"/>
        <color rgb="FF1A1A2E"/>
        <rFont val="DejaVu Sans"/>
        <family val="2"/>
      </rPr>
      <t xml:space="preserve">新陽カントリークラブ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</si>
  <si>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Ibaraki, Hitachiomiya</t>
  </si>
  <si>
    <t xml:space="preserve">Regional course</t>
  </si>
  <si>
    <r>
      <rPr>
        <b val="true"/>
        <sz val="9"/>
        <color rgb="FF1A1A2E"/>
        <rFont val="DejaVu Sans"/>
        <family val="2"/>
        <charset val="1"/>
      </rPr>
      <t xml:space="preserve">Kawagoe Golf Club (</t>
    </r>
    <r>
      <rPr>
        <b val="true"/>
        <sz val="9"/>
        <color rgb="FF1A1A2E"/>
        <rFont val="DejaVu Sans"/>
        <family val="2"/>
      </rPr>
      <t xml:space="preserve">川越ゴルフ倶楽部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</si>
  <si>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Saitama course</t>
  </si>
  <si>
    <r>
      <rPr>
        <b val="true"/>
        <sz val="9"/>
        <color rgb="FF1A1A2E"/>
        <rFont val="DejaVu Sans"/>
        <family val="2"/>
        <charset val="1"/>
      </rPr>
      <t xml:space="preserve">Koganei Country Club (</t>
    </r>
    <r>
      <rPr>
        <b val="true"/>
        <sz val="9"/>
        <color rgb="FF1A1A2E"/>
        <rFont val="DejaVu Sans"/>
        <family val="2"/>
      </rPr>
      <t xml:space="preserve">小金井カントリー倶楽部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</si>
  <si>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 prestigious club</t>
  </si>
  <si>
    <r>
      <rPr>
        <b val="true"/>
        <sz val="9"/>
        <color rgb="FF1A1A2E"/>
        <rFont val="DejaVu Sans"/>
        <family val="2"/>
        <charset val="1"/>
      </rPr>
      <t xml:space="preserve">Sodegaura Country Club (</t>
    </r>
    <r>
      <rPr>
        <b val="true"/>
        <sz val="9"/>
        <color rgb="FF1A1A2E"/>
        <rFont val="DejaVu Sans"/>
        <family val="2"/>
      </rPr>
      <t xml:space="preserve">袖ヶ浦カンツリークラブ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</si>
  <si>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Sodegaura</t>
  </si>
  <si>
    <t xml:space="preserve">https://www.sodegauracc.co.jp/</t>
  </si>
  <si>
    <t xml:space="preserve">Prestigious Chiba club</t>
  </si>
  <si>
    <r>
      <rPr>
        <b val="true"/>
        <sz val="9"/>
        <color rgb="FF1A1A2E"/>
        <rFont val="DejaVu Sans"/>
        <family val="2"/>
        <charset val="1"/>
      </rPr>
      <t xml:space="preserve">Ishikawa Country Club (</t>
    </r>
    <r>
      <rPr>
        <b val="true"/>
        <sz val="9"/>
        <color rgb="FF1A1A2E"/>
        <rFont val="DejaVu Sans"/>
        <family val="2"/>
      </rPr>
      <t xml:space="preserve">石川カントリークラブ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</si>
  <si>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Ishikawa, Kanazawa</t>
  </si>
  <si>
    <t xml:space="preserve">https://www.ishikawa-cc.com/</t>
  </si>
  <si>
    <t xml:space="preserve">Hokuriku course</t>
  </si>
  <si>
    <r>
      <rPr>
        <b val="true"/>
        <sz val="9"/>
        <color rgb="FF1A1A2E"/>
        <rFont val="DejaVu Sans"/>
        <family val="2"/>
        <charset val="1"/>
      </rPr>
      <t xml:space="preserve">Katayamazu Golf Club (</t>
    </r>
    <r>
      <rPr>
        <b val="true"/>
        <sz val="9"/>
        <color rgb="FF1A1A2E"/>
        <rFont val="DejaVu Sans"/>
        <family val="2"/>
      </rPr>
      <t xml:space="preserve">片山津ゴルフ倶楽部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</si>
  <si>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Ishikawa, Kaga</t>
  </si>
  <si>
    <t xml:space="preserve">https://www.katayamazu-gc.co.jp/</t>
  </si>
  <si>
    <t xml:space="preserve">Three 18-hole courses</t>
  </si>
  <si>
    <r>
      <rPr>
        <b val="true"/>
        <sz val="9"/>
        <color rgb="FF1A1A2E"/>
        <rFont val="DejaVu Sans"/>
        <family val="2"/>
        <charset val="1"/>
      </rPr>
      <t xml:space="preserve">Kansai Golf Club (</t>
    </r>
    <r>
      <rPr>
        <b val="true"/>
        <sz val="9"/>
        <color rgb="FF1A1A2E"/>
        <rFont val="DejaVu Sans"/>
        <family val="2"/>
      </rPr>
      <t xml:space="preserve">関西ゴルフ倶楽部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</si>
  <si>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https://www.kansaigc.or.jp/</t>
  </si>
  <si>
    <t xml:space="preserve">Kansai classic</t>
  </si>
  <si>
    <r>
      <rPr>
        <b val="true"/>
        <sz val="9"/>
        <color rgb="FF1A1A2E"/>
        <rFont val="DejaVu Sans"/>
        <family val="2"/>
        <charset val="1"/>
      </rPr>
      <t xml:space="preserve">Hanayashiki Golf Club (</t>
    </r>
    <r>
      <rPr>
        <b val="true"/>
        <sz val="9"/>
        <color rgb="FF1A1A2E"/>
        <rFont val="DejaVu Sans"/>
        <family val="2"/>
      </rPr>
      <t xml:space="preserve">花屋敷ゴルフ倶楽部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</si>
  <si>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https://www.hanayashikigc.com/</t>
  </si>
  <si>
    <t xml:space="preserve">Yokawa and Ogino courses</t>
  </si>
  <si>
    <r>
      <rPr>
        <b val="true"/>
        <sz val="9"/>
        <color rgb="FF1A1A2E"/>
        <rFont val="DejaVu Sans"/>
        <family val="2"/>
        <charset val="1"/>
      </rPr>
      <t xml:space="preserve">Takarazuka Golf Club (</t>
    </r>
    <r>
      <rPr>
        <b val="true"/>
        <sz val="9"/>
        <color rgb="FF1A1A2E"/>
        <rFont val="DejaVu Sans"/>
        <family val="2"/>
      </rPr>
      <t xml:space="preserve">宝塚ゴルフ倶楽部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</si>
  <si>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Hyogo, Takarazuka</t>
  </si>
  <si>
    <t xml:space="preserve">https://www.takarazuka-gc.co.jp/</t>
  </si>
  <si>
    <t xml:space="preserve">Historic Kansai club</t>
  </si>
  <si>
    <r>
      <rPr>
        <b val="true"/>
        <sz val="9"/>
        <color rgb="FF1A1A2E"/>
        <rFont val="DejaVu Sans"/>
        <family val="2"/>
        <charset val="1"/>
      </rPr>
      <t xml:space="preserve">Komono Country Club (</t>
    </r>
    <r>
      <rPr>
        <b val="true"/>
        <sz val="9"/>
        <color rgb="FF1A1A2E"/>
        <rFont val="DejaVu Sans"/>
        <family val="2"/>
      </rPr>
      <t xml:space="preserve">菰野カントリー倶楽部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</si>
  <si>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Mie, Komono</t>
  </si>
  <si>
    <t xml:space="preserve">https://www.komono-cc.co.jp/</t>
  </si>
  <si>
    <t xml:space="preserve">Mie area</t>
  </si>
  <si>
    <r>
      <rPr>
        <b val="true"/>
        <sz val="9"/>
        <color rgb="FF1A1A2E"/>
        <rFont val="DejaVu Sans"/>
        <family val="2"/>
        <charset val="1"/>
      </rPr>
      <t xml:space="preserve">Mie Country Club (</t>
    </r>
    <r>
      <rPr>
        <b val="true"/>
        <sz val="9"/>
        <color rgb="FF1A1A2E"/>
        <rFont val="DejaVu Sans"/>
        <family val="2"/>
      </rPr>
      <t xml:space="preserve">三重カンツリークラブ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</si>
  <si>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Mie, Tsu</t>
  </si>
  <si>
    <t xml:space="preserve">https://www.miecc.co.jp/</t>
  </si>
  <si>
    <t xml:space="preserve">Host of Chunichi Crowns</t>
  </si>
  <si>
    <r>
      <rPr>
        <b val="true"/>
        <sz val="9"/>
        <color rgb="FF1A1A2E"/>
        <rFont val="DejaVu Sans"/>
        <family val="2"/>
        <charset val="1"/>
      </rPr>
      <t xml:space="preserve">Wakasu Golf Links (</t>
    </r>
    <r>
      <rPr>
        <b val="true"/>
        <sz val="9"/>
        <color rgb="FF1A1A2E"/>
        <rFont val="DejaVu Sans"/>
        <family val="2"/>
      </rPr>
      <t xml:space="preserve">若洲ゴルフリンクス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</si>
  <si>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Koto</t>
  </si>
  <si>
    <t xml:space="preserve">https://www.wakasu-golf-links.com/</t>
  </si>
  <si>
    <t xml:space="preserve">Public Tokyo Bay course</t>
  </si>
  <si>
    <r>
      <rPr>
        <b val="true"/>
        <sz val="9"/>
        <color rgb="FF1A1A2E"/>
        <rFont val="DejaVu Sans"/>
        <family val="2"/>
        <charset val="1"/>
      </rPr>
      <t xml:space="preserve">Kosaido Akabane Golf Course (</t>
    </r>
    <r>
      <rPr>
        <b val="true"/>
        <sz val="9"/>
        <color rgb="FF1A1A2E"/>
        <rFont val="DejaVu Sans"/>
        <family val="2"/>
      </rPr>
      <t xml:space="preserve">広済堂赤羽ゴルフコース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</si>
  <si>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Tokyo, Kita</t>
  </si>
  <si>
    <t xml:space="preserve">https://www.kosaido-gps.co.jp/akabane/</t>
  </si>
  <si>
    <t xml:space="preserve">Tokyo metropolitan area public course</t>
  </si>
  <si>
    <r>
      <rPr>
        <b val="true"/>
        <sz val="9"/>
        <color rgb="FF1A1A2E"/>
        <rFont val="DejaVu Sans"/>
        <family val="2"/>
        <charset val="1"/>
      </rPr>
      <t xml:space="preserve">Tokyo Classic Club (</t>
    </r>
    <r>
      <rPr>
        <b val="true"/>
        <sz val="9"/>
        <color rgb="FF1A1A2E"/>
        <rFont val="DejaVu Sans"/>
        <family val="2"/>
      </rPr>
      <t xml:space="preserve">東京クラシッククラブ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</si>
  <si>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https://www.tokyoclassicclub.com/</t>
  </si>
  <si>
    <t xml:space="preserve">Gary Player design in Chiba</t>
  </si>
  <si>
    <r>
      <rPr>
        <b val="true"/>
        <sz val="9"/>
        <color rgb="FF1A1A2E"/>
        <rFont val="DejaVu Sans"/>
        <family val="2"/>
        <charset val="1"/>
      </rPr>
      <t xml:space="preserve">Kasumigaseki Country Club (Saitama) (</t>
    </r>
    <r>
      <rPr>
        <b val="true"/>
        <sz val="9"/>
        <color rgb="FF1A1A2E"/>
        <rFont val="DejaVu Sans"/>
        <family val="2"/>
      </rPr>
      <t xml:space="preserve">霞ヶ関カンツリー倶楽部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</si>
  <si>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Tokyo 2020 Olympics venue</t>
  </si>
  <si>
    <r>
      <rPr>
        <b val="true"/>
        <sz val="9"/>
        <color rgb="FF1A1A2E"/>
        <rFont val="DejaVu Sans"/>
        <family val="2"/>
        <charset val="1"/>
      </rPr>
      <t xml:space="preserve">Yatsugatake Country Club (</t>
    </r>
    <r>
      <rPr>
        <b val="true"/>
        <sz val="9"/>
        <color rgb="FF1A1A2E"/>
        <rFont val="DejaVu Sans"/>
        <family val="2"/>
      </rPr>
      <t xml:space="preserve">八ヶ岳カントリークラブ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</si>
  <si>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Yamanashi, Hokuto</t>
  </si>
  <si>
    <t xml:space="preserve">https://www.yatsugatakecc.co.jp/</t>
  </si>
  <si>
    <r>
      <rPr>
        <b val="true"/>
        <sz val="9"/>
        <color rgb="FF1A1A2E"/>
        <rFont val="DejaVu Sans"/>
        <family val="2"/>
        <charset val="1"/>
      </rPr>
      <t xml:space="preserve">Chateraise Golf Club Yatsugatake (</t>
    </r>
    <r>
      <rPr>
        <b val="true"/>
        <sz val="9"/>
        <color rgb="FF1A1A2E"/>
        <rFont val="DejaVu Sans"/>
        <family val="2"/>
      </rPr>
      <t xml:space="preserve">シャトレーゼゴルフ倶楽部八ヶ岳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</si>
  <si>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https://www.chateraise-golf.com/yatsugatake/</t>
  </si>
  <si>
    <t xml:space="preserve">Yamanashi highland</t>
  </si>
  <si>
    <r>
      <rPr>
        <b val="true"/>
        <sz val="9"/>
        <color rgb="FF1A1A2E"/>
        <rFont val="DejaVu Sans"/>
        <family val="2"/>
        <charset val="1"/>
      </rPr>
      <t xml:space="preserve">Okinawa Country Club (</t>
    </r>
    <r>
      <rPr>
        <b val="true"/>
        <sz val="9"/>
        <color rgb="FF1A1A2E"/>
        <rFont val="DejaVu Sans"/>
        <family val="2"/>
      </rPr>
      <t xml:space="preserve">沖縄カントリークラブ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</si>
  <si>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Ginowan</t>
  </si>
  <si>
    <t xml:space="preserve">https://www.okinawacc.co.jp/</t>
  </si>
  <si>
    <t xml:space="preserve">Okinawa's oldest golf course</t>
  </si>
  <si>
    <r>
      <rPr>
        <b val="true"/>
        <sz val="9"/>
        <color rgb="FF1A1A2E"/>
        <rFont val="DejaVu Sans"/>
        <family val="2"/>
        <charset val="1"/>
      </rPr>
      <t xml:space="preserve">Kanucha Bay Golf Course (</t>
    </r>
    <r>
      <rPr>
        <b val="true"/>
        <sz val="9"/>
        <color rgb="FF1A1A2E"/>
        <rFont val="DejaVu Sans"/>
        <family val="2"/>
      </rPr>
      <t xml:space="preserve">カヌチャゴルフコース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</si>
  <si>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Nago</t>
  </si>
  <si>
    <t xml:space="preserve">https://www.kanucha.jp/golf/</t>
  </si>
  <si>
    <t xml:space="preserve">Resort course on northern Okinawa</t>
  </si>
  <si>
    <r>
      <rPr>
        <b val="true"/>
        <sz val="9"/>
        <color rgb="FF1A1A2E"/>
        <rFont val="DejaVu Sans"/>
        <family val="2"/>
        <charset val="1"/>
      </rPr>
      <t xml:space="preserve">The Southern Links Golf Club (</t>
    </r>
    <r>
      <rPr>
        <b val="true"/>
        <sz val="9"/>
        <color rgb="FF1A1A2E"/>
        <rFont val="DejaVu Sans"/>
        <family val="2"/>
      </rPr>
      <t xml:space="preserve">ザ・サザンリンクスゴルフクラブ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</si>
  <si>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Yaese</t>
  </si>
  <si>
    <t xml:space="preserve">https://www.southernlinks.co.jp/</t>
  </si>
  <si>
    <t xml:space="preserve">Oceanside Okinawa course</t>
  </si>
  <si>
    <r>
      <rPr>
        <b val="true"/>
        <sz val="9"/>
        <color rgb="FF1A1A2E"/>
        <rFont val="DejaVu Sans"/>
        <family val="2"/>
        <charset val="1"/>
      </rPr>
      <t xml:space="preserve">PGM Golf Resort Okinawa (PGM</t>
    </r>
    <r>
      <rPr>
        <b val="true"/>
        <sz val="9"/>
        <color rgb="FF1A1A2E"/>
        <rFont val="DejaVu Sans"/>
        <family val="2"/>
      </rPr>
      <t xml:space="preserve">ゴルフリゾート沖縄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</si>
  <si>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Okinawa, Shimajiri</t>
  </si>
  <si>
    <t xml:space="preserve">https://www.pgm-okinawa.com/</t>
  </si>
  <si>
    <r>
      <rPr>
        <sz val="11"/>
        <color theme="1"/>
        <rFont val="DejaVu Sans"/>
        <family val="2"/>
        <charset val="1"/>
      </rPr>
      <t xml:space="preserve">Host of Daikin Orchid Ladies || </t>
    </r>
    <r>
      <rPr>
        <sz val="11"/>
        <color theme="1"/>
        <rFont val="DejaVu Sans"/>
        <family val="2"/>
      </rPr>
      <t xml:space="preserve">평점시드</t>
    </r>
    <r>
      <rPr>
        <sz val="11"/>
        <color theme="1"/>
        <rFont val="DejaVu Sans"/>
        <family val="2"/>
        <charset val="1"/>
      </rPr>
      <t xml:space="preserve">(5</t>
    </r>
    <r>
      <rPr>
        <sz val="11"/>
        <color theme="1"/>
        <rFont val="DejaVu Sans"/>
        <family val="2"/>
      </rPr>
      <t xml:space="preserve">소스</t>
    </r>
    <r>
      <rPr>
        <sz val="11"/>
        <color theme="1"/>
        <rFont val="DejaVu Sans"/>
        <family val="2"/>
        <charset val="1"/>
      </rPr>
      <t xml:space="preserve">, conf 0.80): rakuten_gora, gdo, jalan_golf | </t>
    </r>
    <r>
      <rPr>
        <sz val="11"/>
        <color theme="1"/>
        <rFont val="DejaVu Sans"/>
        <family val="2"/>
      </rPr>
      <t xml:space="preserve">아오키 이사오 감수 </t>
    </r>
    <r>
      <rPr>
        <sz val="11"/>
        <color theme="1"/>
        <rFont val="DejaVu Sans"/>
        <family val="2"/>
        <charset val="1"/>
      </rPr>
      <t xml:space="preserve">27</t>
    </r>
    <r>
      <rPr>
        <sz val="11"/>
        <color theme="1"/>
        <rFont val="DejaVu Sans"/>
        <family val="2"/>
      </rPr>
      <t xml:space="preserve">홀</t>
    </r>
    <r>
      <rPr>
        <sz val="11"/>
        <color theme="1"/>
        <rFont val="DejaVu Sans"/>
        <family val="2"/>
        <charset val="1"/>
      </rPr>
      <t xml:space="preserve">, 2017 </t>
    </r>
    <r>
      <rPr>
        <sz val="11"/>
        <color theme="1"/>
        <rFont val="DejaVu Sans"/>
        <family val="2"/>
      </rPr>
      <t xml:space="preserve">리뉴얼</t>
    </r>
    <r>
      <rPr>
        <sz val="11"/>
        <color theme="1"/>
        <rFont val="DejaVu Sans"/>
        <family val="2"/>
        <charset val="1"/>
      </rPr>
      <t xml:space="preserve">. Rakuten 4.7, Hole19 5.0. </t>
    </r>
    <r>
      <rPr>
        <sz val="11"/>
        <color theme="1"/>
        <rFont val="DejaVu Sans"/>
        <family val="2"/>
      </rPr>
      <t xml:space="preserve">동중국해 조망</t>
    </r>
    <r>
      <rPr>
        <sz val="11"/>
        <color theme="1"/>
        <rFont val="DejaVu Sans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고속 그린</t>
    </r>
    <r>
      <rPr>
        <sz val="11"/>
        <color theme="1"/>
        <rFont val="DejaVu Sans"/>
        <family val="2"/>
        <charset val="1"/>
      </rPr>
      <t xml:space="preserve">·</t>
    </r>
    <r>
      <rPr>
        <sz val="11"/>
        <color theme="1"/>
        <rFont val="DejaVu Sans"/>
        <family val="2"/>
      </rPr>
      <t xml:space="preserve">바람 변수 큼</t>
    </r>
    <r>
      <rPr>
        <sz val="11"/>
        <color theme="1"/>
        <rFont val="DejaVu Sans"/>
        <family val="2"/>
        <charset val="1"/>
      </rPr>
      <t xml:space="preserve">. </t>
    </r>
    <r>
      <rPr>
        <sz val="11"/>
        <color theme="1"/>
        <rFont val="DejaVu Sans"/>
        <family val="2"/>
      </rPr>
      <t xml:space="preserve">캐디</t>
    </r>
    <r>
      <rPr>
        <sz val="11"/>
        <color theme="1"/>
        <rFont val="DejaVu Sans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셀프 선택 가능</t>
    </r>
    <r>
      <rPr>
        <sz val="11"/>
        <color theme="1"/>
        <rFont val="DejaVu Sans"/>
        <family val="2"/>
        <charset val="1"/>
      </rPr>
      <t xml:space="preserve">. || </t>
    </r>
    <r>
      <rPr>
        <sz val="11"/>
        <color theme="1"/>
        <rFont val="DejaVu Sans"/>
        <family val="2"/>
      </rPr>
      <t xml:space="preserve">평균타수</t>
    </r>
    <r>
      <rPr>
        <sz val="11"/>
        <color theme="1"/>
        <rFont val="DejaVu Sans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핸디별</t>
    </r>
    <r>
      <rPr>
        <sz val="11"/>
        <color theme="1"/>
        <rFont val="DejaVu Sans"/>
        <family val="2"/>
        <charset val="1"/>
      </rPr>
      <t xml:space="preserve">): </t>
    </r>
    <r>
      <rPr>
        <sz val="11"/>
        <color theme="1"/>
        <rFont val="DejaVu Sans"/>
        <family val="2"/>
      </rPr>
      <t xml:space="preserve">초보 </t>
    </r>
    <r>
      <rPr>
        <sz val="11"/>
        <color theme="1"/>
        <rFont val="DejaVu Sans"/>
        <family val="2"/>
        <charset val="1"/>
      </rPr>
      <t xml:space="preserve">109/ </t>
    </r>
    <r>
      <rPr>
        <sz val="11"/>
        <color theme="1"/>
        <rFont val="DejaVu Sans"/>
        <family val="2"/>
      </rPr>
      <t xml:space="preserve">생활 </t>
    </r>
    <r>
      <rPr>
        <sz val="11"/>
        <color theme="1"/>
        <rFont val="DejaVu Sans"/>
        <family val="2"/>
        <charset val="1"/>
      </rPr>
      <t xml:space="preserve">99/ </t>
    </r>
    <r>
      <rPr>
        <sz val="11"/>
        <color theme="1"/>
        <rFont val="DejaVu Sans"/>
        <family val="2"/>
      </rPr>
      <t xml:space="preserve">중급 </t>
    </r>
    <r>
      <rPr>
        <sz val="11"/>
        <color theme="1"/>
        <rFont val="DejaVu Sans"/>
        <family val="2"/>
        <charset val="1"/>
      </rPr>
      <t xml:space="preserve">91/ </t>
    </r>
    <r>
      <rPr>
        <sz val="11"/>
        <color theme="1"/>
        <rFont val="DejaVu Sans"/>
        <family val="2"/>
      </rPr>
      <t xml:space="preserve">상급 </t>
    </r>
    <r>
      <rPr>
        <sz val="11"/>
        <color theme="1"/>
        <rFont val="DejaVu Sans"/>
        <family val="2"/>
        <charset val="1"/>
      </rPr>
      <t xml:space="preserve">80/ </t>
    </r>
    <r>
      <rPr>
        <sz val="11"/>
        <color theme="1"/>
        <rFont val="DejaVu Sans"/>
        <family val="2"/>
      </rPr>
      <t xml:space="preserve">프로급 </t>
    </r>
    <r>
      <rPr>
        <sz val="11"/>
        <color theme="1"/>
        <rFont val="DejaVu Sans"/>
        <family val="2"/>
        <charset val="1"/>
      </rPr>
      <t xml:space="preserve">73 · </t>
    </r>
    <r>
      <rPr>
        <sz val="11"/>
        <color theme="1"/>
        <rFont val="DejaVu Sans"/>
        <family val="2"/>
      </rPr>
      <t xml:space="preserve">난이도등급 중급</t>
    </r>
  </si>
  <si>
    <r>
      <rPr>
        <b val="true"/>
        <sz val="9"/>
        <color rgb="FF1A1A2E"/>
        <rFont val="DejaVu Sans"/>
        <family val="2"/>
        <charset val="1"/>
      </rPr>
      <t xml:space="preserve">Ryukyu Golf Club (</t>
    </r>
    <r>
      <rPr>
        <b val="true"/>
        <sz val="9"/>
        <color rgb="FF1A1A2E"/>
        <rFont val="DejaVu Sans"/>
        <family val="2"/>
      </rPr>
      <t xml:space="preserve">琉球ゴルフ倶楽部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</si>
  <si>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https://www.ryukyugolf.co.jp/</t>
  </si>
  <si>
    <t xml:space="preserve">Okinawa championship course</t>
  </si>
  <si>
    <r>
      <rPr>
        <b val="true"/>
        <sz val="9"/>
        <color rgb="FF1A1A2E"/>
        <rFont val="DejaVu Sans"/>
        <family val="2"/>
        <charset val="1"/>
      </rPr>
      <t xml:space="preserve">Belle Ver Okinawa Golf Resort (</t>
    </r>
    <r>
      <rPr>
        <b val="true"/>
        <sz val="9"/>
        <color rgb="FF1A1A2E"/>
        <rFont val="DejaVu Sans"/>
        <family val="2"/>
      </rPr>
      <t xml:space="preserve">ベルビーチゴルフクラブ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</si>
  <si>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Okinawa coastal</t>
  </si>
  <si>
    <r>
      <rPr>
        <b val="true"/>
        <sz val="9"/>
        <color rgb="FF1A1A2E"/>
        <rFont val="DejaVu Sans"/>
        <family val="2"/>
        <charset val="1"/>
      </rPr>
      <t xml:space="preserve">Karasuyamajo Country Club (</t>
    </r>
    <r>
      <rPr>
        <b val="true"/>
        <sz val="9"/>
        <color rgb="FF1A1A2E"/>
        <rFont val="DejaVu Sans"/>
        <family val="2"/>
      </rPr>
      <t xml:space="preserve">烏山城カントリークラブ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</si>
  <si>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Nasukarasuyama</t>
  </si>
  <si>
    <t xml:space="preserve">https://www.karasuyamajo.co.jp/</t>
  </si>
  <si>
    <t xml:space="preserve">Tochigi hilly course</t>
  </si>
  <si>
    <r>
      <rPr>
        <b val="true"/>
        <sz val="9"/>
        <color rgb="FF1A1A2E"/>
        <rFont val="DejaVu Sans"/>
        <family val="2"/>
        <charset val="1"/>
      </rPr>
      <t xml:space="preserve">Nasu Golf Club (</t>
    </r>
    <r>
      <rPr>
        <b val="true"/>
        <sz val="9"/>
        <color rgb="FF1A1A2E"/>
        <rFont val="DejaVu Sans"/>
        <family val="2"/>
      </rPr>
      <t xml:space="preserve">那須ゴルフ倶楽部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</si>
  <si>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Tochigi, Nasu</t>
  </si>
  <si>
    <t xml:space="preserve">https://www.nasugc.co.jp/</t>
  </si>
  <si>
    <t xml:space="preserve">Nasu resort area</t>
  </si>
  <si>
    <r>
      <rPr>
        <b val="true"/>
        <sz val="9"/>
        <color rgb="FF1A1A2E"/>
        <rFont val="DejaVu Sans"/>
        <family val="2"/>
        <charset val="1"/>
      </rPr>
      <t xml:space="preserve">Akagi Country Club (</t>
    </r>
    <r>
      <rPr>
        <b val="true"/>
        <sz val="9"/>
        <color rgb="FF1A1A2E"/>
        <rFont val="DejaVu Sans"/>
        <family val="2"/>
      </rPr>
      <t xml:space="preserve">赤城カントリー倶楽部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</si>
  <si>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https://www.akagicc.com/</t>
  </si>
  <si>
    <t xml:space="preserve">Mt. Akagi area</t>
  </si>
  <si>
    <r>
      <rPr>
        <b val="true"/>
        <sz val="9"/>
        <color rgb="FF1A1A2E"/>
        <rFont val="DejaVu Sans"/>
        <family val="2"/>
        <charset val="1"/>
      </rPr>
      <t xml:space="preserve">Lake Wood Golf Club (</t>
    </r>
    <r>
      <rPr>
        <b val="true"/>
        <sz val="9"/>
        <color rgb="FF1A1A2E"/>
        <rFont val="DejaVu Sans"/>
        <family val="2"/>
      </rPr>
      <t xml:space="preserve">レイクウッドゴルフクラブ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</si>
  <si>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Kanagawa, Nakai</t>
  </si>
  <si>
    <t xml:space="preserve">https://www.lakewoodgolf.co.jp/</t>
  </si>
  <si>
    <t xml:space="preserve">Host of some Japan Senior Open</t>
  </si>
  <si>
    <r>
      <rPr>
        <b val="true"/>
        <sz val="9"/>
        <color rgb="FF1A1A2E"/>
        <rFont val="DejaVu Sans"/>
        <family val="2"/>
        <charset val="1"/>
      </rPr>
      <t xml:space="preserve">Ishioka Golf Club (</t>
    </r>
    <r>
      <rPr>
        <b val="true"/>
        <sz val="9"/>
        <color rgb="FF1A1A2E"/>
        <rFont val="DejaVu Sans"/>
        <family val="2"/>
      </rPr>
      <t xml:space="preserve">石岡ゴルフ倶楽部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</si>
  <si>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https://www.ishioka-gc.com/</t>
  </si>
  <si>
    <t xml:space="preserve">Championship course, PGM</t>
  </si>
  <si>
    <r>
      <rPr>
        <sz val="9"/>
        <color rgb="FF1A1A2E"/>
        <rFont val="DejaVu Sans"/>
        <family val="2"/>
      </rPr>
      <t xml:space="preserve">일본</t>
    </r>
    <r>
      <rPr>
        <sz val="9"/>
        <color rgb="FF1A1A2E"/>
        <rFont val="DejaVu Sans"/>
        <family val="2"/>
        <charset val="1"/>
      </rPr>
      <t xml:space="preserve">·</t>
    </r>
    <r>
      <rPr>
        <sz val="9"/>
        <color rgb="FF1A1A2E"/>
        <rFont val="DejaVu Sans"/>
        <family val="2"/>
      </rPr>
      <t xml:space="preserve">도호쿠</t>
    </r>
  </si>
  <si>
    <r>
      <rPr>
        <b val="true"/>
        <sz val="9"/>
        <color rgb="FF1A1A2E"/>
        <rFont val="DejaVu Sans"/>
        <family val="2"/>
        <charset val="1"/>
      </rPr>
      <t xml:space="preserve">Ajigasawa Kogen Golf Club (</t>
    </r>
    <r>
      <rPr>
        <b val="true"/>
        <sz val="9"/>
        <color rgb="FF1A1A2E"/>
        <rFont val="DejaVu Sans"/>
        <family val="2"/>
      </rPr>
      <t xml:space="preserve">鯵ヶ沢高原ゴルフ倶楽部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</si>
  <si>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Aomori, Ajigasawa</t>
  </si>
  <si>
    <t xml:space="preserve">Northern Honshu</t>
  </si>
  <si>
    <r>
      <rPr>
        <b val="true"/>
        <sz val="9"/>
        <color rgb="FF1A1A2E"/>
        <rFont val="DejaVu Sans"/>
        <family val="2"/>
        <charset val="1"/>
      </rPr>
      <t xml:space="preserve">Sendai Hills Country Club (</t>
    </r>
    <r>
      <rPr>
        <b val="true"/>
        <sz val="9"/>
        <color rgb="FF1A1A2E"/>
        <rFont val="DejaVu Sans"/>
        <family val="2"/>
      </rPr>
      <t xml:space="preserve">仙台ヒルズゴルフ倶楽部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</si>
  <si>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Miyagi, Sendai</t>
  </si>
  <si>
    <t xml:space="preserve">https://www.sendai-hills.com/</t>
  </si>
  <si>
    <t xml:space="preserve">Tohoku region</t>
  </si>
  <si>
    <r>
      <rPr>
        <b val="true"/>
        <sz val="9"/>
        <color rgb="FF1A1A2E"/>
        <rFont val="DejaVu Sans"/>
        <family val="2"/>
        <charset val="1"/>
      </rPr>
      <t xml:space="preserve">Omigahama Country Club (</t>
    </r>
    <r>
      <rPr>
        <b val="true"/>
        <sz val="9"/>
        <color rgb="FF1A1A2E"/>
        <rFont val="DejaVu Sans"/>
        <family val="2"/>
      </rPr>
      <t xml:space="preserve">近江浜カントリークラブ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</si>
  <si>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Shiga, Otsu</t>
  </si>
  <si>
    <t xml:space="preserve">Shiga region</t>
  </si>
  <si>
    <r>
      <rPr>
        <b val="true"/>
        <sz val="9"/>
        <color rgb="FF1A1A2E"/>
        <rFont val="DejaVu Sans"/>
        <family val="2"/>
        <charset val="1"/>
      </rPr>
      <t xml:space="preserve">Biwako Country Club (</t>
    </r>
    <r>
      <rPr>
        <b val="true"/>
        <sz val="9"/>
        <color rgb="FF1A1A2E"/>
        <rFont val="DejaVu Sans"/>
        <family val="2"/>
      </rPr>
      <t xml:space="preserve">琵琶湖カントリー倶楽部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</si>
  <si>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https://www.biwako-cc.co.jp/</t>
  </si>
  <si>
    <t xml:space="preserve">Lake Biwa views</t>
  </si>
  <si>
    <r>
      <rPr>
        <b val="true"/>
        <sz val="9"/>
        <color rgb="FF1A1A2E"/>
        <rFont val="DejaVu Sans"/>
        <family val="2"/>
        <charset val="1"/>
      </rPr>
      <t xml:space="preserve">Hamano Golf Club (</t>
    </r>
    <r>
      <rPr>
        <b val="true"/>
        <sz val="9"/>
        <color rgb="FF1A1A2E"/>
        <rFont val="DejaVu Sans"/>
        <family val="2"/>
      </rPr>
      <t xml:space="preserve">浜野ゴルフクラブ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</si>
  <si>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Chiba, Chiba</t>
  </si>
  <si>
    <t xml:space="preserve">https://www.hamano-gc.co.jp/</t>
  </si>
  <si>
    <t xml:space="preserve">Championship Chiba course</t>
  </si>
  <si>
    <r>
      <rPr>
        <b val="true"/>
        <sz val="9"/>
        <color rgb="FF1A1A2E"/>
        <rFont val="DejaVu Sans"/>
        <family val="2"/>
        <charset val="1"/>
      </rPr>
      <t xml:space="preserve">Chiba Sakuranosato Golf Club (</t>
    </r>
    <r>
      <rPr>
        <b val="true"/>
        <sz val="9"/>
        <color rgb="FF1A1A2E"/>
        <rFont val="DejaVu Sans"/>
        <family val="2"/>
      </rPr>
      <t xml:space="preserve">千葉桜の里ゴルフクラブ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</si>
  <si>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Chiba course</t>
  </si>
  <si>
    <r>
      <rPr>
        <b val="true"/>
        <sz val="9"/>
        <color rgb="FF1A1A2E"/>
        <rFont val="DejaVu Sans"/>
        <family val="2"/>
        <charset val="1"/>
      </rPr>
      <t xml:space="preserve">Kinojo Golf Club (</t>
    </r>
    <r>
      <rPr>
        <b val="true"/>
        <sz val="9"/>
        <color rgb="FF1A1A2E"/>
        <rFont val="DejaVu Sans"/>
        <family val="2"/>
      </rPr>
      <t xml:space="preserve">鬼ノ城ゴルフ倶楽部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</si>
  <si>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Okayama, Soja</t>
  </si>
  <si>
    <t xml:space="preserve">https://www.kinojo.com/</t>
  </si>
  <si>
    <t xml:space="preserve">Okayama mountain course</t>
  </si>
  <si>
    <r>
      <rPr>
        <b val="true"/>
        <sz val="9"/>
        <color rgb="FF1A1A2E"/>
        <rFont val="DejaVu Sans"/>
        <family val="2"/>
        <charset val="1"/>
      </rPr>
      <t xml:space="preserve">Hiroshima Country Club (</t>
    </r>
    <r>
      <rPr>
        <b val="true"/>
        <sz val="9"/>
        <color rgb="FF1A1A2E"/>
        <rFont val="DejaVu Sans"/>
        <family val="2"/>
      </rPr>
      <t xml:space="preserve">広島カンツリー倶楽部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</si>
  <si>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Hiroshima, Hiroshima</t>
  </si>
  <si>
    <t xml:space="preserve">https://www.hiroshimacc.com/</t>
  </si>
  <si>
    <t xml:space="preserve">Chugoku region</t>
  </si>
  <si>
    <r>
      <rPr>
        <b val="true"/>
        <sz val="9"/>
        <color rgb="FF1A1A2E"/>
        <rFont val="DejaVu Sans"/>
        <family val="2"/>
        <charset val="1"/>
      </rPr>
      <t xml:space="preserve">Ube Country Club (</t>
    </r>
    <r>
      <rPr>
        <b val="true"/>
        <sz val="9"/>
        <color rgb="FF1A1A2E"/>
        <rFont val="DejaVu Sans"/>
        <family val="2"/>
      </rPr>
      <t xml:space="preserve">宇部カンツリー倶楽部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</si>
  <si>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Yamaguchi, Ube</t>
  </si>
  <si>
    <t xml:space="preserve">https://www.ubecc.co.jp/</t>
  </si>
  <si>
    <t xml:space="preserve">Yamaguchi classic, has hosted tour events</t>
  </si>
  <si>
    <r>
      <rPr>
        <b val="true"/>
        <sz val="9"/>
        <color rgb="FF1A1A2E"/>
        <rFont val="DejaVu Sans"/>
        <family val="2"/>
        <charset val="1"/>
      </rPr>
      <t xml:space="preserve">Matsuyama International Golf Club (</t>
    </r>
    <r>
      <rPr>
        <b val="true"/>
        <sz val="9"/>
        <color rgb="FF1A1A2E"/>
        <rFont val="DejaVu Sans"/>
        <family val="2"/>
      </rPr>
      <t xml:space="preserve">松山国際ゴルフ倶楽部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</si>
  <si>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Ehime, Matsuyama</t>
  </si>
  <si>
    <t xml:space="preserve">https://www.matsuyama-gc.co.jp/</t>
  </si>
  <si>
    <t xml:space="preserve">Shikoku course</t>
  </si>
  <si>
    <r>
      <rPr>
        <b val="true"/>
        <sz val="9"/>
        <color rgb="FF1A1A2E"/>
        <rFont val="DejaVu Sans"/>
        <family val="2"/>
        <charset val="1"/>
      </rPr>
      <t xml:space="preserve">Kochi Kuroshio Country Club (</t>
    </r>
    <r>
      <rPr>
        <b val="true"/>
        <sz val="9"/>
        <color rgb="FF1A1A2E"/>
        <rFont val="DejaVu Sans"/>
        <family val="2"/>
      </rPr>
      <t xml:space="preserve">高知黒潮カントリークラブ</t>
    </r>
    <r>
      <rPr>
        <b val="true"/>
        <sz val="9"/>
        <color rgb="FF1A1A2E"/>
        <rFont val="DejaVu Sans"/>
        <family val="2"/>
        <charset val="1"/>
      </rPr>
      <t xml:space="preserve">)</t>
    </r>
  </si>
  <si>
    <t xml:space="preserve">Kochi, Geisei</t>
  </si>
  <si>
    <t xml:space="preserve">https://www.kuroshio-cc.co.jp/</t>
  </si>
  <si>
    <t xml:space="preserve">Host of Casio World Open</t>
  </si>
  <si>
    <r>
      <rPr>
        <b val="true"/>
        <sz val="12"/>
        <color rgb="FFFFFFFF"/>
        <rFont val="Arial"/>
        <family val="0"/>
        <charset val="1"/>
      </rPr>
      <t xml:space="preserve">📊 GolfNow — </t>
    </r>
    <r>
      <rPr>
        <b val="true"/>
        <sz val="12"/>
        <color rgb="FFFFFFFF"/>
        <rFont val="DejaVu Sans"/>
        <family val="2"/>
      </rPr>
      <t xml:space="preserve">지역별 골프장 집계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국내 </t>
    </r>
    <r>
      <rPr>
        <b val="true"/>
        <sz val="12"/>
        <color rgb="FFFFFFFF"/>
        <rFont val="Arial"/>
        <family val="0"/>
        <charset val="1"/>
      </rPr>
      <t xml:space="preserve">510</t>
    </r>
    <r>
      <rPr>
        <b val="true"/>
        <sz val="12"/>
        <color rgb="FFFFFFFF"/>
        <rFont val="DejaVu Sans"/>
        <family val="2"/>
      </rPr>
      <t xml:space="preserve">개 </t>
    </r>
    <r>
      <rPr>
        <b val="true"/>
        <sz val="12"/>
        <color rgb="FFFFFFFF"/>
        <rFont val="Arial"/>
        <family val="0"/>
        <charset val="1"/>
      </rPr>
      <t xml:space="preserve">+ </t>
    </r>
    <r>
      <rPr>
        <b val="true"/>
        <sz val="12"/>
        <color rgb="FFFFFFFF"/>
        <rFont val="DejaVu Sans"/>
        <family val="2"/>
      </rPr>
      <t xml:space="preserve">일본 </t>
    </r>
    <r>
      <rPr>
        <b val="true"/>
        <sz val="12"/>
        <color rgb="FFFFFFFF"/>
        <rFont val="Arial"/>
        <family val="0"/>
        <charset val="1"/>
      </rPr>
      <t xml:space="preserve">140</t>
    </r>
    <r>
      <rPr>
        <b val="true"/>
        <sz val="12"/>
        <color rgb="FFFFFFFF"/>
        <rFont val="DejaVu Sans"/>
        <family val="2"/>
      </rPr>
      <t xml:space="preserve">개 </t>
    </r>
    <r>
      <rPr>
        <b val="true"/>
        <sz val="12"/>
        <color rgb="FFFFFFFF"/>
        <rFont val="Arial"/>
        <family val="0"/>
        <charset val="1"/>
      </rPr>
      <t xml:space="preserve">= </t>
    </r>
    <r>
      <rPr>
        <b val="true"/>
        <sz val="12"/>
        <color rgb="FFFFFFFF"/>
        <rFont val="DejaVu Sans"/>
        <family val="2"/>
      </rPr>
      <t xml:space="preserve">총 </t>
    </r>
    <r>
      <rPr>
        <b val="true"/>
        <sz val="12"/>
        <color rgb="FFFFFFFF"/>
        <rFont val="Arial"/>
        <family val="0"/>
        <charset val="1"/>
      </rPr>
      <t xml:space="preserve">650</t>
    </r>
    <r>
      <rPr>
        <b val="true"/>
        <sz val="12"/>
        <color rgb="FFFFFFFF"/>
        <rFont val="DejaVu Sans"/>
        <family val="2"/>
      </rPr>
      <t xml:space="preserve">개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</si>
  <si>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국가</t>
  </si>
  <si>
    <t xml:space="preserve">골프장 수</t>
  </si>
  <si>
    <t xml:space="preserve">서비스중</t>
  </si>
  <si>
    <r>
      <rPr>
        <b val="true"/>
        <sz val="10"/>
        <color rgb="FFFFFFFF"/>
        <rFont val="Arial"/>
        <family val="2"/>
        <charset val="1"/>
      </rPr>
      <t xml:space="preserve">9</t>
    </r>
    <r>
      <rPr>
        <b val="true"/>
        <sz val="10"/>
        <color rgb="FFFFFFFF"/>
        <rFont val="DejaVu Sans"/>
        <family val="2"/>
      </rPr>
      <t xml:space="preserve">홀</t>
    </r>
  </si>
  <si>
    <r>
      <rPr>
        <b val="true"/>
        <sz val="10"/>
        <color rgb="FFFFFFFF"/>
        <rFont val="Arial"/>
        <family val="2"/>
        <charset val="1"/>
      </rPr>
      <t xml:space="preserve">18</t>
    </r>
    <r>
      <rPr>
        <b val="true"/>
        <sz val="10"/>
        <color rgb="FFFFFFFF"/>
        <rFont val="DejaVu Sans"/>
        <family val="2"/>
      </rPr>
      <t xml:space="preserve">홀</t>
    </r>
  </si>
  <si>
    <r>
      <rPr>
        <b val="true"/>
        <sz val="10"/>
        <color rgb="FFFFFFFF"/>
        <rFont val="Arial"/>
        <family val="2"/>
        <charset val="1"/>
      </rPr>
      <t xml:space="preserve">27</t>
    </r>
    <r>
      <rPr>
        <b val="true"/>
        <sz val="10"/>
        <color rgb="FFFFFFFF"/>
        <rFont val="DejaVu Sans"/>
        <family val="2"/>
      </rPr>
      <t xml:space="preserve">홀</t>
    </r>
    <r>
      <rPr>
        <b val="true"/>
        <sz val="10"/>
        <color rgb="FFFFFFFF"/>
        <rFont val="Arial"/>
        <family val="2"/>
        <charset val="1"/>
      </rPr>
      <t xml:space="preserve">+</t>
    </r>
  </si>
  <si>
    <t xml:space="preserve">한국</t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</si>
  <si>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간토</t>
    </r>
  </si>
  <si>
    <t xml:space="preserve">일본</t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</si>
  <si>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간사이</t>
    </r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</si>
  <si>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큐슈</t>
    </r>
  </si>
  <si>
    <r>
      <rPr>
        <b val="true"/>
        <sz val="9"/>
        <color rgb="FF1A1A2E"/>
        <rFont val="DejaVu Sans"/>
        <family val="2"/>
      </rPr>
      <t xml:space="preserve">일본</t>
    </r>
    <r>
      <rPr>
        <b val="true"/>
        <sz val="9"/>
        <color rgb="FF1A1A2E"/>
        <rFont val="DejaVu Sans"/>
        <family val="2"/>
        <charset val="1"/>
      </rPr>
      <t xml:space="preserve">·</t>
    </r>
    <r>
      <rPr>
        <b val="true"/>
        <sz val="9"/>
        <color rgb="FF1A1A2E"/>
        <rFont val="DejaVu Sans"/>
        <family val="2"/>
      </rPr>
      <t xml:space="preserve">오키나와</t>
    </r>
  </si>
  <si>
    <t xml:space="preserve">합계</t>
  </si>
  <si>
    <r>
      <rPr>
        <b val="true"/>
        <sz val="12"/>
        <color rgb="FFFFFFFF"/>
        <rFont val="Arial"/>
        <family val="0"/>
        <charset val="1"/>
      </rPr>
      <t xml:space="preserve">🚀 GolfNow — </t>
    </r>
    <r>
      <rPr>
        <b val="true"/>
        <sz val="12"/>
        <color rgb="FFFFFFFF"/>
        <rFont val="DejaVu Sans"/>
        <family val="2"/>
      </rPr>
      <t xml:space="preserve">서비스 확장 로드맵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DejaVu Sans"/>
        <family val="2"/>
      </rPr>
      <t xml:space="preserve">데이터수집 우선순위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</si>
  <si>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우선순위</t>
  </si>
  <si>
    <r>
      <rPr>
        <b val="true"/>
        <sz val="9"/>
        <color rgb="FF1A1A2E"/>
        <rFont val="Arial"/>
        <family val="2"/>
        <charset val="1"/>
      </rPr>
      <t xml:space="preserve">⚪ 3</t>
    </r>
    <r>
      <rPr>
        <b val="true"/>
        <sz val="9"/>
        <color rgb="FF1A1A2E"/>
        <rFont val="DejaVu Sans"/>
        <family val="2"/>
      </rPr>
      <t xml:space="preserve">순위</t>
    </r>
  </si>
  <si>
    <r>
      <rPr>
        <sz val="9"/>
        <color rgb="FF1A1A2E"/>
        <rFont val="DejaVu Sans"/>
        <family val="2"/>
      </rPr>
      <t xml:space="preserve">센추리</t>
    </r>
    <r>
      <rPr>
        <sz val="9"/>
        <color rgb="FF1A1A2E"/>
        <rFont val="DejaVu Sans"/>
        <family val="2"/>
        <charset val="1"/>
      </rPr>
      <t xml:space="preserve">21</t>
    </r>
    <r>
      <rPr>
        <sz val="9"/>
        <color rgb="FF1A1A2E"/>
        <rFont val="DejaVu Sans"/>
        <family val="2"/>
      </rPr>
      <t xml:space="preserve">퍼블릭</t>
    </r>
  </si>
  <si>
    <r>
      <rPr>
        <sz val="9"/>
        <color rgb="FF1A1A2E"/>
        <rFont val="DejaVu Sans"/>
        <family val="2"/>
      </rPr>
      <t xml:space="preserve">골프존카운티 안성</t>
    </r>
    <r>
      <rPr>
        <sz val="9"/>
        <color rgb="FF1A1A2E"/>
        <rFont val="DejaVu Sans"/>
        <family val="2"/>
        <charset val="1"/>
      </rPr>
      <t xml:space="preserve">W</t>
    </r>
  </si>
  <si>
    <r>
      <rPr>
        <sz val="9"/>
        <color rgb="FF1A1A2E"/>
        <rFont val="DejaVu Sans"/>
        <family val="2"/>
      </rPr>
      <t xml:space="preserve">남양주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</si>
  <si>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더반</t>
    </r>
    <r>
      <rPr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</si>
  <si>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석천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</si>
  <si>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신안 퍼블릭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</si>
  <si>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용인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</si>
  <si>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한양컨트리클럽 대중제 </t>
    </r>
    <r>
      <rPr>
        <sz val="9"/>
        <color rgb="FF1A1A2E"/>
        <rFont val="DejaVu Sans"/>
        <family val="2"/>
        <charset val="1"/>
      </rPr>
      <t xml:space="preserve">9</t>
    </r>
    <r>
      <rPr>
        <sz val="9"/>
        <color rgb="FF1A1A2E"/>
        <rFont val="DejaVu Sans"/>
        <family val="2"/>
      </rPr>
      <t xml:space="preserve">홀 골프장</t>
    </r>
  </si>
  <si>
    <r>
      <rPr>
        <sz val="9"/>
        <color rgb="FF1A1A2E"/>
        <rFont val="DejaVu Sans"/>
        <family val="2"/>
      </rPr>
      <t xml:space="preserve">아난티남해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</si>
  <si>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아난티남해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</si>
  <si>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대가야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</si>
  <si>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선리치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</si>
  <si>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시엘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</si>
  <si>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안강레전드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</si>
  <si>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애플밸리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</si>
  <si>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오션힐스포항</t>
    </r>
    <r>
      <rPr>
        <sz val="9"/>
        <color rgb="FF1A1A2E"/>
        <rFont val="DejaVu Sans"/>
        <family val="2"/>
        <charset val="1"/>
      </rPr>
      <t xml:space="preserve">C.C(</t>
    </r>
    <r>
      <rPr>
        <sz val="9"/>
        <color rgb="FF1A1A2E"/>
        <rFont val="DejaVu Sans"/>
        <family val="2"/>
      </rPr>
      <t xml:space="preserve">대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</si>
  <si>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우리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</si>
  <si>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유니밸리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</si>
  <si>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청하이스턴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</si>
  <si>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칠곡아이위시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</si>
  <si>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금실대덕밸리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</si>
  <si>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</si>
  <si>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나주힐스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</si>
  <si>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백양우리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</si>
  <si>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보성에덴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</si>
  <si>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</si>
  <si>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옥과기안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</si>
  <si>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조아밸리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</si>
  <si>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죽향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</si>
  <si>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창평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</si>
  <si>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함평천지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</si>
  <si>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아네스빌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</si>
  <si>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에스페란사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</si>
  <si>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제주힐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</si>
  <si>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플라자</t>
    </r>
    <r>
      <rPr>
        <sz val="9"/>
        <color rgb="FF1A1A2E"/>
        <rFont val="DejaVu Sans"/>
        <family val="2"/>
        <charset val="1"/>
      </rPr>
      <t xml:space="preserve">CC </t>
    </r>
    <r>
      <rPr>
        <sz val="9"/>
        <color rgb="FF1A1A2E"/>
        <rFont val="DejaVu Sans"/>
        <family val="2"/>
      </rPr>
      <t xml:space="preserve">제주</t>
    </r>
  </si>
  <si>
    <r>
      <rPr>
        <sz val="9"/>
        <color rgb="FF1A1A2E"/>
        <rFont val="DejaVu Sans"/>
        <family val="2"/>
      </rPr>
      <t xml:space="preserve">골드리버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</si>
  <si>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보령베이스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</si>
  <si>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b val="true"/>
        <sz val="9"/>
        <color rgb="FF1A1A2E"/>
        <rFont val="Arial"/>
        <family val="2"/>
        <charset val="1"/>
      </rPr>
      <t xml:space="preserve">🔴 1</t>
    </r>
    <r>
      <rPr>
        <b val="true"/>
        <sz val="9"/>
        <color rgb="FF1A1A2E"/>
        <rFont val="DejaVu Sans"/>
        <family val="2"/>
      </rPr>
      <t xml:space="preserve">순위</t>
    </r>
  </si>
  <si>
    <r>
      <rPr>
        <sz val="9"/>
        <color rgb="FF1A1A2E"/>
        <rFont val="DejaVu Sans"/>
        <family val="2"/>
      </rPr>
      <t xml:space="preserve">메이플비치골프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</si>
  <si>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샤인데일골프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</si>
  <si>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세이지우드</t>
    </r>
    <r>
      <rPr>
        <sz val="9"/>
        <color rgb="FF1A1A2E"/>
        <rFont val="DejaVu Sans"/>
        <family val="2"/>
        <charset val="1"/>
      </rPr>
      <t xml:space="preserve">CC</t>
    </r>
    <r>
      <rPr>
        <sz val="9"/>
        <color rgb="FF1A1A2E"/>
        <rFont val="DejaVu Sans"/>
        <family val="2"/>
      </rPr>
      <t xml:space="preserve">홍천</t>
    </r>
  </si>
  <si>
    <r>
      <rPr>
        <sz val="9"/>
        <color rgb="FF1A1A2E"/>
        <rFont val="DejaVu Sans"/>
        <family val="2"/>
      </rPr>
      <t xml:space="preserve">센추리</t>
    </r>
    <r>
      <rPr>
        <sz val="9"/>
        <color rgb="FF1A1A2E"/>
        <rFont val="DejaVu Sans"/>
        <family val="2"/>
        <charset val="1"/>
      </rPr>
      <t xml:space="preserve">21</t>
    </r>
    <r>
      <rPr>
        <sz val="9"/>
        <color rgb="FF1A1A2E"/>
        <rFont val="DejaVu Sans"/>
        <family val="2"/>
      </rPr>
      <t xml:space="preserve">컨트리클럽Ⅱ</t>
    </r>
  </si>
  <si>
    <r>
      <rPr>
        <sz val="9"/>
        <color rgb="FF1A1A2E"/>
        <rFont val="DejaVu Sans"/>
        <family val="2"/>
      </rPr>
      <t xml:space="preserve">알펜시아 </t>
    </r>
    <r>
      <rPr>
        <sz val="9"/>
        <color rgb="FF1A1A2E"/>
        <rFont val="DejaVu Sans"/>
        <family val="2"/>
        <charset val="1"/>
      </rPr>
      <t xml:space="preserve">700</t>
    </r>
    <r>
      <rPr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</si>
  <si>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에스엘세레스 옥스필드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</si>
  <si>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오투리조트 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</si>
  <si>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클럽모우골프 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라이프스타일</t>
    </r>
  </si>
  <si>
    <r>
      <rPr>
        <sz val="9"/>
        <color rgb="FF1A1A2E"/>
        <rFont val="Arial"/>
        <family val="2"/>
        <charset val="1"/>
      </rPr>
      <t xml:space="preserve">360</t>
    </r>
    <r>
      <rPr>
        <sz val="9"/>
        <color rgb="FF1A1A2E"/>
        <rFont val="DejaVu Sans"/>
        <family val="2"/>
      </rPr>
      <t xml:space="preserve">도</t>
    </r>
  </si>
  <si>
    <r>
      <rPr>
        <sz val="9"/>
        <color rgb="FF1A1A2E"/>
        <rFont val="DejaVu Sans"/>
        <family val="2"/>
      </rPr>
      <t xml:space="preserve">골프존카운티 안성</t>
    </r>
    <r>
      <rPr>
        <sz val="9"/>
        <color rgb="FF1A1A2E"/>
        <rFont val="DejaVu Sans"/>
        <family val="2"/>
        <charset val="1"/>
      </rPr>
      <t xml:space="preserve">H</t>
    </r>
  </si>
  <si>
    <r>
      <rPr>
        <sz val="9"/>
        <color rgb="FF1A1A2E"/>
        <rFont val="DejaVu Sans"/>
        <family val="2"/>
      </rPr>
      <t xml:space="preserve">골프클럽</t>
    </r>
    <r>
      <rPr>
        <sz val="9"/>
        <color rgb="FF1A1A2E"/>
        <rFont val="DejaVu Sans"/>
        <family val="2"/>
        <charset val="1"/>
      </rPr>
      <t xml:space="preserve">Q</t>
    </r>
  </si>
  <si>
    <r>
      <rPr>
        <sz val="9"/>
        <color rgb="FF1A1A2E"/>
        <rFont val="DejaVu Sans"/>
        <family val="2"/>
      </rPr>
      <t xml:space="preserve">리앤리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</si>
  <si>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마에스트로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</si>
  <si>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베뉴지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</si>
  <si>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사우스스프링스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</si>
  <si>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상록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</si>
  <si>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세라지오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</si>
  <si>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세현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</si>
  <si>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스마트</t>
    </r>
    <r>
      <rPr>
        <sz val="9"/>
        <color rgb="FF1A1A2E"/>
        <rFont val="DejaVu Sans"/>
        <family val="2"/>
        <charset val="1"/>
      </rPr>
      <t xml:space="preserve">KU</t>
    </r>
    <r>
      <rPr>
        <sz val="9"/>
        <color rgb="FF1A1A2E"/>
        <rFont val="DejaVu Sans"/>
        <family val="2"/>
      </rPr>
      <t xml:space="preserve">골프 파빌리온</t>
    </r>
  </si>
  <si>
    <r>
      <rPr>
        <sz val="9"/>
        <color rgb="FF1A1A2E"/>
        <rFont val="DejaVu Sans"/>
        <family val="2"/>
      </rPr>
      <t xml:space="preserve">실크밸리</t>
    </r>
    <r>
      <rPr>
        <sz val="9"/>
        <color rgb="FF1A1A2E"/>
        <rFont val="DejaVu Sans"/>
        <family val="2"/>
        <charset val="1"/>
      </rPr>
      <t xml:space="preserve">G.C.</t>
    </r>
  </si>
  <si>
    <r>
      <rPr>
        <sz val="9"/>
        <color rgb="FF1A1A2E"/>
        <rFont val="DejaVu Sans"/>
        <family val="2"/>
      </rPr>
      <t xml:space="preserve">써닝포인트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</si>
  <si>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썬힐대중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</si>
  <si>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양지파인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</si>
  <si>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큐로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</si>
  <si>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타이거</t>
    </r>
    <r>
      <rPr>
        <sz val="9"/>
        <color rgb="FF1A1A2E"/>
        <rFont val="DejaVu Sans"/>
        <family val="2"/>
        <charset val="1"/>
      </rPr>
      <t xml:space="preserve">CC </t>
    </r>
    <r>
      <rPr>
        <sz val="9"/>
        <color rgb="FF1A1A2E"/>
        <rFont val="DejaVu Sans"/>
        <family val="2"/>
      </rPr>
      <t xml:space="preserve">골프장</t>
    </r>
  </si>
  <si>
    <r>
      <rPr>
        <sz val="9"/>
        <color rgb="FF1A1A2E"/>
        <rFont val="DejaVu Sans"/>
        <family val="2"/>
      </rPr>
      <t xml:space="preserve">파인크리크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</si>
  <si>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파주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</si>
  <si>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포레스트힐 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</si>
  <si>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한림용인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</si>
  <si>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해솔리아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</si>
  <si>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경남스카이뷰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</si>
  <si>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서경타니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</si>
  <si>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양산동원로얄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</si>
  <si>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경주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</si>
  <si>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구니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</si>
  <si>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구미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</si>
  <si>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군위오펠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</si>
  <si>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그레이스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</si>
  <si>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다산 샤인힐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</si>
  <si>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루나엑스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</si>
  <si>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마스터피스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</si>
  <si>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보문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</si>
  <si>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서라벌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</si>
  <si>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세븐밸리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</si>
  <si>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오션비치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</si>
  <si>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오션힐스청도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</si>
  <si>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이스트힐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</si>
  <si>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이지스카이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</si>
  <si>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파라지오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</si>
  <si>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포도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</si>
  <si>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포항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</si>
  <si>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한맥</t>
    </r>
    <r>
      <rPr>
        <sz val="9"/>
        <color rgb="FF1A1A2E"/>
        <rFont val="DejaVu Sans"/>
        <family val="2"/>
        <charset val="1"/>
      </rPr>
      <t xml:space="preserve">C.C&amp;</t>
    </r>
    <r>
      <rPr>
        <sz val="9"/>
        <color rgb="FF1A1A2E"/>
        <rFont val="DejaVu Sans"/>
        <family val="2"/>
      </rPr>
      <t xml:space="preserve">노블리아</t>
    </r>
  </si>
  <si>
    <r>
      <rPr>
        <sz val="9"/>
        <color rgb="FF1A1A2E"/>
        <rFont val="DejaVu Sans"/>
        <family val="2"/>
      </rPr>
      <t xml:space="preserve">인서울</t>
    </r>
    <r>
      <rPr>
        <sz val="9"/>
        <color rgb="FF1A1A2E"/>
        <rFont val="DejaVu Sans"/>
        <family val="2"/>
        <charset val="1"/>
      </rPr>
      <t xml:space="preserve">27</t>
    </r>
    <r>
      <rPr>
        <sz val="9"/>
        <color rgb="FF1A1A2E"/>
        <rFont val="DejaVu Sans"/>
        <family val="2"/>
      </rPr>
      <t xml:space="preserve">골프클럽</t>
    </r>
  </si>
  <si>
    <r>
      <rPr>
        <sz val="9"/>
        <color rgb="FF1A1A2E"/>
        <rFont val="DejaVu Sans"/>
        <family val="2"/>
      </rPr>
      <t xml:space="preserve">세종레이캐슬골프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</si>
  <si>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베이스타즈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</si>
  <si>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SKY72 </t>
    </r>
    <r>
      <rPr>
        <sz val="9"/>
        <color rgb="FF1A1A2E"/>
        <rFont val="DejaVu Sans"/>
        <family val="2"/>
      </rPr>
      <t xml:space="preserve">골프클럽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바다코스</t>
    </r>
    <r>
      <rPr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</si>
  <si>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SKY72 </t>
    </r>
    <r>
      <rPr>
        <sz val="9"/>
        <color rgb="FF1A1A2E"/>
        <rFont val="DejaVu Sans"/>
        <family val="2"/>
      </rPr>
      <t xml:space="preserve">골프클럽</t>
    </r>
    <r>
      <rPr>
        <sz val="9"/>
        <color rgb="FF1A1A2E"/>
        <rFont val="Arial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하늘코스</t>
    </r>
    <r>
      <rPr>
        <sz val="9"/>
        <color rgb="FF1A1A2E"/>
        <rFont val="Arial"/>
        <family val="2"/>
        <charset val="1"/>
      </rPr>
      <t xml:space="preserve">)</t>
    </r>
  </si>
  <si>
    <r>
      <rPr>
        <sz val="9"/>
        <color rgb="FF1A1A2E"/>
        <rFont val="Arial"/>
        <family val="2"/>
        <charset val="1"/>
      </rPr>
      <t xml:space="preserve">JNJ</t>
    </r>
    <r>
      <rPr>
        <sz val="9"/>
        <color rgb="FF1A1A2E"/>
        <rFont val="DejaVu Sans"/>
        <family val="2"/>
      </rPr>
      <t xml:space="preserve">골프리조트</t>
    </r>
  </si>
  <si>
    <r>
      <rPr>
        <sz val="9"/>
        <color rgb="FF1A1A2E"/>
        <rFont val="DejaVu Sans"/>
        <family val="2"/>
      </rPr>
      <t xml:space="preserve">골드레이크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</si>
  <si>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담양레이나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</si>
  <si>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디오션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</si>
  <si>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무등산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</si>
  <si>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무안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</si>
  <si>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보성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</si>
  <si>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사우스링스영암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</si>
  <si>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솔라시도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</si>
  <si>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순천부영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</si>
  <si>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아크로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</si>
  <si>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여수시티파크골프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호텔</t>
    </r>
  </si>
  <si>
    <r>
      <rPr>
        <sz val="9"/>
        <color rgb="FF1A1A2E"/>
        <rFont val="DejaVu Sans"/>
        <family val="2"/>
      </rPr>
      <t xml:space="preserve">웨스트오션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</si>
  <si>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클린밸리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</si>
  <si>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파인힐스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</si>
  <si>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함평엘리체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</si>
  <si>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해피니스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</si>
  <si>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CLUBD </t>
    </r>
    <r>
      <rPr>
        <sz val="9"/>
        <color rgb="FF1A1A2E"/>
        <rFont val="DejaVu Sans"/>
        <family val="2"/>
      </rPr>
      <t xml:space="preserve">금강</t>
    </r>
  </si>
  <si>
    <r>
      <rPr>
        <sz val="9"/>
        <color rgb="FF1A1A2E"/>
        <rFont val="DejaVu Sans"/>
        <family val="2"/>
      </rPr>
      <t xml:space="preserve">고창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</si>
  <si>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군산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</si>
  <si>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김제스파힐스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</si>
  <si>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내장산골프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</si>
  <si>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석정힐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</si>
  <si>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써미트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</si>
  <si>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태인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</si>
  <si>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㈜부영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</si>
  <si>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더클래식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</si>
  <si>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샤인빌파크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</si>
  <si>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제주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</si>
  <si>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중문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</si>
  <si>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크라운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</si>
  <si>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한라산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</si>
  <si>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㈜호텔롯데 스카이힐 부여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</si>
  <si>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골든베이골프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</si>
  <si>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로얄링스</t>
    </r>
    <r>
      <rPr>
        <sz val="9"/>
        <color rgb="FF1A1A2E"/>
        <rFont val="DejaVu Sans"/>
        <family val="2"/>
        <charset val="1"/>
      </rPr>
      <t xml:space="preserve">1</t>
    </r>
  </si>
  <si>
    <r>
      <rPr>
        <sz val="9"/>
        <color rgb="FF1A1A2E"/>
        <rFont val="DejaVu Sans"/>
        <family val="2"/>
      </rPr>
      <t xml:space="preserve">로얄링스</t>
    </r>
    <r>
      <rPr>
        <sz val="9"/>
        <color rgb="FF1A1A2E"/>
        <rFont val="DejaVu Sans"/>
        <family val="2"/>
        <charset val="1"/>
      </rPr>
      <t xml:space="preserve">2</t>
    </r>
  </si>
  <si>
    <r>
      <rPr>
        <sz val="9"/>
        <color rgb="FF1A1A2E"/>
        <rFont val="DejaVu Sans"/>
        <family val="2"/>
      </rPr>
      <t xml:space="preserve">솔라고</t>
    </r>
    <r>
      <rPr>
        <sz val="9"/>
        <color rgb="FF1A1A2E"/>
        <rFont val="DejaVu Sans"/>
        <family val="2"/>
        <charset val="1"/>
      </rPr>
      <t xml:space="preserve">CC1</t>
    </r>
  </si>
  <si>
    <r>
      <rPr>
        <sz val="9"/>
        <color rgb="FF1A1A2E"/>
        <rFont val="DejaVu Sans"/>
        <family val="2"/>
      </rPr>
      <t xml:space="preserve">솔라고</t>
    </r>
    <r>
      <rPr>
        <sz val="9"/>
        <color rgb="FF1A1A2E"/>
        <rFont val="DejaVu Sans"/>
        <family val="2"/>
        <charset val="1"/>
      </rPr>
      <t xml:space="preserve">CC2</t>
    </r>
  </si>
  <si>
    <r>
      <rPr>
        <sz val="9"/>
        <color rgb="FF1A1A2E"/>
        <rFont val="DejaVu Sans"/>
        <family val="2"/>
      </rPr>
      <t xml:space="preserve">아리스타 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</si>
  <si>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에스지아름다운골프</t>
    </r>
    <r>
      <rPr>
        <sz val="9"/>
        <color rgb="FF1A1A2E"/>
        <rFont val="DejaVu Sans"/>
        <family val="2"/>
        <charset val="1"/>
      </rPr>
      <t xml:space="preserve">&amp;</t>
    </r>
    <r>
      <rPr>
        <sz val="9"/>
        <color rgb="FF1A1A2E"/>
        <rFont val="DejaVu Sans"/>
        <family val="2"/>
      </rPr>
      <t xml:space="preserve">리조트</t>
    </r>
  </si>
  <si>
    <r>
      <rPr>
        <sz val="9"/>
        <color rgb="FF1A1A2E"/>
        <rFont val="DejaVu Sans"/>
        <family val="2"/>
      </rPr>
      <t xml:space="preserve">감곡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</si>
  <si>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아름다운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</si>
  <si>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Oak Hills</t>
    </r>
    <r>
      <rPr>
        <sz val="9"/>
        <color rgb="FF1A1A2E"/>
        <rFont val="DejaVu Sans"/>
        <family val="2"/>
      </rPr>
      <t xml:space="preserve">컨트리클럽</t>
    </r>
  </si>
  <si>
    <r>
      <rPr>
        <b val="true"/>
        <sz val="9"/>
        <color rgb="FF1A1A2E"/>
        <rFont val="Arial"/>
        <family val="2"/>
        <charset val="1"/>
      </rPr>
      <t xml:space="preserve">🟡 2</t>
    </r>
    <r>
      <rPr>
        <b val="true"/>
        <sz val="9"/>
        <color rgb="FF1A1A2E"/>
        <rFont val="DejaVu Sans"/>
        <family val="2"/>
      </rPr>
      <t xml:space="preserve">순위</t>
    </r>
  </si>
  <si>
    <r>
      <rPr>
        <sz val="9"/>
        <color rgb="FF1A1A2E"/>
        <rFont val="DejaVu Sans"/>
        <family val="2"/>
      </rPr>
      <t xml:space="preserve">센추리</t>
    </r>
    <r>
      <rPr>
        <sz val="9"/>
        <color rgb="FF1A1A2E"/>
        <rFont val="DejaVu Sans"/>
        <family val="2"/>
        <charset val="1"/>
      </rPr>
      <t xml:space="preserve">21</t>
    </r>
    <r>
      <rPr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</si>
  <si>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강남</t>
    </r>
    <r>
      <rPr>
        <sz val="9"/>
        <color rgb="FF1A1A2E"/>
        <rFont val="DejaVu Sans"/>
        <family val="2"/>
        <charset val="1"/>
      </rPr>
      <t xml:space="preserve">300</t>
    </r>
    <r>
      <rPr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</si>
  <si>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곤지암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</si>
  <si>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골드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</si>
  <si>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기흥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</si>
  <si>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김포 </t>
    </r>
    <r>
      <rPr>
        <sz val="9"/>
        <color rgb="FF1A1A2E"/>
        <rFont val="DejaVu Sans"/>
        <family val="2"/>
        <charset val="1"/>
      </rPr>
      <t xml:space="preserve">SEASIDE </t>
    </r>
    <r>
      <rPr>
        <sz val="9"/>
        <color rgb="FF1A1A2E"/>
        <rFont val="DejaVu Sans"/>
        <family val="2"/>
      </rPr>
      <t xml:space="preserve">컨트리클럽</t>
    </r>
  </si>
  <si>
    <r>
      <rPr>
        <sz val="9"/>
        <color rgb="FF1A1A2E"/>
        <rFont val="DejaVu Sans"/>
        <family val="2"/>
      </rPr>
      <t xml:space="preserve">남부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</si>
  <si>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뉴스프링빌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</si>
  <si>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리베라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</si>
  <si>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발리오스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</si>
  <si>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베네스트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</si>
  <si>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블루원용인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</si>
  <si>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비에이비스타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</si>
  <si>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비전힐스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</si>
  <si>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삼성물산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주</t>
    </r>
    <r>
      <rPr>
        <sz val="9"/>
        <color rgb="FF1A1A2E"/>
        <rFont val="DejaVu Sans"/>
        <family val="2"/>
        <charset val="1"/>
      </rPr>
      <t xml:space="preserve">)</t>
    </r>
    <r>
      <rPr>
        <sz val="9"/>
        <color rgb="FF1A1A2E"/>
        <rFont val="DejaVu Sans"/>
        <family val="2"/>
      </rPr>
      <t xml:space="preserve">안양컨트리클럽</t>
    </r>
  </si>
  <si>
    <r>
      <rPr>
        <sz val="9"/>
        <color rgb="FF1A1A2E"/>
        <rFont val="DejaVu Sans"/>
        <family val="2"/>
      </rPr>
      <t xml:space="preserve">송추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</si>
  <si>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수원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</si>
  <si>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신원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</si>
  <si>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썬힐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</si>
  <si>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아시아나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</si>
  <si>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안성베네스트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</si>
  <si>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양주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</si>
  <si>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웰링턴</t>
    </r>
    <r>
      <rPr>
        <sz val="9"/>
        <color rgb="FF1A1A2E"/>
        <rFont val="DejaVu Sans"/>
        <family val="2"/>
        <charset val="1"/>
      </rPr>
      <t xml:space="preserve">C.C.</t>
    </r>
  </si>
  <si>
    <r>
      <rPr>
        <sz val="9"/>
        <color rgb="FF1A1A2E"/>
        <rFont val="DejaVu Sans"/>
        <family val="2"/>
      </rPr>
      <t xml:space="preserve">은화삼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</si>
  <si>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지산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</si>
  <si>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청평마이다스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</si>
  <si>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코리아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</si>
  <si>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크리스탈밸리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</si>
  <si>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태광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</si>
  <si>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포천아도니스 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</si>
  <si>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프리스틴밸리    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</si>
  <si>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플라자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</si>
  <si>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한림광릉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</si>
  <si>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한성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</si>
  <si>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한원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</si>
  <si>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해비치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</si>
  <si>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화산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</si>
  <si>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경주신라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</si>
  <si>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남안동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</si>
  <si>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대구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</si>
  <si>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디아너스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</si>
  <si>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마우나오션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</si>
  <si>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안동리버힐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</si>
  <si>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영천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</si>
  <si>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오션힐스포항</t>
    </r>
    <r>
      <rPr>
        <sz val="9"/>
        <color rgb="FF1A1A2E"/>
        <rFont val="DejaVu Sans"/>
        <family val="2"/>
        <charset val="1"/>
      </rPr>
      <t xml:space="preserve">C.C(</t>
    </r>
    <r>
      <rPr>
        <sz val="9"/>
        <color rgb="FF1A1A2E"/>
        <rFont val="DejaVu Sans"/>
        <family val="2"/>
      </rPr>
      <t xml:space="preserve">회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</si>
  <si>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오펠</t>
    </r>
    <r>
      <rPr>
        <sz val="9"/>
        <color rgb="FF1A1A2E"/>
        <rFont val="DejaVu Sans"/>
        <family val="2"/>
        <charset val="1"/>
      </rPr>
      <t xml:space="preserve">G.C</t>
    </r>
  </si>
  <si>
    <r>
      <rPr>
        <sz val="9"/>
        <color rgb="FF1A1A2E"/>
        <rFont val="DejaVu Sans"/>
        <family val="2"/>
      </rPr>
      <t xml:space="preserve">파미힐스</t>
    </r>
    <r>
      <rPr>
        <sz val="9"/>
        <color rgb="FF1A1A2E"/>
        <rFont val="DejaVu Sans"/>
        <family val="2"/>
        <charset val="1"/>
      </rPr>
      <t xml:space="preserve">C.C</t>
    </r>
  </si>
  <si>
    <r>
      <rPr>
        <sz val="9"/>
        <color rgb="FF1A1A2E"/>
        <rFont val="DejaVu Sans"/>
        <family val="2"/>
      </rPr>
      <t xml:space="preserve">광주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</si>
  <si>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승주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</si>
  <si>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</si>
  <si>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화순엘리체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</si>
  <si>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무주덕유산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</si>
  <si>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전주샹그릴라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</si>
  <si>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Arial"/>
        <family val="2"/>
        <charset val="1"/>
      </rPr>
      <t xml:space="preserve">sk</t>
    </r>
    <r>
      <rPr>
        <sz val="9"/>
        <color rgb="FF1A1A2E"/>
        <rFont val="DejaVu Sans"/>
        <family val="2"/>
      </rPr>
      <t xml:space="preserve">핀크스골프장</t>
    </r>
  </si>
  <si>
    <r>
      <rPr>
        <sz val="9"/>
        <color rgb="FF1A1A2E"/>
        <rFont val="DejaVu Sans"/>
        <family val="2"/>
      </rPr>
      <t xml:space="preserve">㈜호텔롯데스카이힐제주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</si>
  <si>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세인트포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</si>
  <si>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엘리시안 제주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</si>
  <si>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캐슬렉스제주</t>
    </r>
    <r>
      <rPr>
        <sz val="9"/>
        <color rgb="FF1A1A2E"/>
        <rFont val="DejaVu Sans"/>
        <family val="2"/>
        <charset val="1"/>
      </rPr>
      <t xml:space="preserve">GC</t>
    </r>
  </si>
  <si>
    <r>
      <rPr>
        <sz val="9"/>
        <color rgb="FF1A1A2E"/>
        <rFont val="DejaVu Sans"/>
        <family val="2"/>
      </rPr>
      <t xml:space="preserve">타미우스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</si>
  <si>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해비치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</si>
  <si>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세레니티</t>
    </r>
    <r>
      <rPr>
        <sz val="9"/>
        <color rgb="FF1A1A2E"/>
        <rFont val="DejaVu Sans"/>
        <family val="2"/>
        <charset val="1"/>
      </rPr>
      <t xml:space="preserve">cc(</t>
    </r>
    <r>
      <rPr>
        <sz val="9"/>
        <color rgb="FF1A1A2E"/>
        <rFont val="DejaVu Sans"/>
        <family val="2"/>
      </rPr>
      <t xml:space="preserve">구</t>
    </r>
    <r>
      <rPr>
        <sz val="9"/>
        <color rgb="FF1A1A2E"/>
        <rFont val="DejaVu Sans"/>
        <family val="2"/>
        <charset val="1"/>
      </rPr>
      <t xml:space="preserve">, </t>
    </r>
    <r>
      <rPr>
        <sz val="9"/>
        <color rgb="FF1A1A2E"/>
        <rFont val="DejaVu Sans"/>
        <family val="2"/>
      </rPr>
      <t xml:space="preserve">실크리버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</si>
  <si>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1A1A2E"/>
        <rFont val="DejaVu Sans"/>
        <family val="2"/>
      </rPr>
      <t xml:space="preserve">스타</t>
    </r>
    <r>
      <rPr>
        <sz val="9"/>
        <color rgb="FF1A1A2E"/>
        <rFont val="DejaVu Sans"/>
        <family val="2"/>
        <charset val="1"/>
      </rPr>
      <t xml:space="preserve">cc</t>
    </r>
  </si>
  <si>
    <r>
      <rPr>
        <sz val="9"/>
        <color rgb="FF1A1A2E"/>
        <rFont val="DejaVu Sans"/>
        <family val="2"/>
      </rPr>
      <t xml:space="preserve">아난티 중앙골프클럽</t>
    </r>
    <r>
      <rPr>
        <sz val="9"/>
        <color rgb="FF1A1A2E"/>
        <rFont val="DejaVu Sans"/>
        <family val="2"/>
        <charset val="1"/>
      </rPr>
      <t xml:space="preserve">(</t>
    </r>
    <r>
      <rPr>
        <sz val="9"/>
        <color rgb="FF1A1A2E"/>
        <rFont val="DejaVu Sans"/>
        <family val="2"/>
      </rPr>
      <t xml:space="preserve">구</t>
    </r>
    <r>
      <rPr>
        <sz val="9"/>
        <color rgb="FF1A1A2E"/>
        <rFont val="DejaVu Sans"/>
        <family val="2"/>
        <charset val="1"/>
      </rPr>
      <t xml:space="preserve">,</t>
    </r>
    <r>
      <rPr>
        <sz val="9"/>
        <color rgb="FF1A1A2E"/>
        <rFont val="DejaVu Sans"/>
        <family val="2"/>
      </rPr>
      <t xml:space="preserve">디에머슨</t>
    </r>
    <r>
      <rPr>
        <sz val="9"/>
        <color rgb="FF1A1A2E"/>
        <rFont val="DejaVu Sans"/>
        <family val="2"/>
        <charset val="1"/>
      </rPr>
      <t xml:space="preserve">)</t>
    </r>
  </si>
  <si>
    <r>
      <rPr>
        <sz val="9"/>
        <color rgb="FF374151"/>
        <rFont val="Arial"/>
        <family val="2"/>
        <charset val="1"/>
      </rPr>
      <t xml:space="preserve">🔴 1</t>
    </r>
    <r>
      <rPr>
        <sz val="9"/>
        <color rgb="FF374151"/>
        <rFont val="DejaVu Sans"/>
        <family val="2"/>
      </rPr>
      <t xml:space="preserve">순위</t>
    </r>
    <r>
      <rPr>
        <sz val="9"/>
        <color rgb="FF374151"/>
        <rFont val="Arial"/>
        <family val="2"/>
        <charset val="1"/>
      </rPr>
      <t xml:space="preserve">: 229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  <charset val="1"/>
      </rPr>
      <t xml:space="preserve">(</t>
    </r>
    <r>
      <rPr>
        <sz val="9"/>
        <color rgb="FF374151"/>
        <rFont val="DejaVu Sans"/>
        <family val="2"/>
      </rPr>
      <t xml:space="preserve">대중제 </t>
    </r>
    <r>
      <rPr>
        <sz val="9"/>
        <color rgb="FF374151"/>
        <rFont val="Arial"/>
        <family val="2"/>
        <charset val="1"/>
      </rPr>
      <t xml:space="preserve">18</t>
    </r>
    <r>
      <rPr>
        <sz val="9"/>
        <color rgb="FF374151"/>
        <rFont val="DejaVu Sans"/>
        <family val="2"/>
      </rPr>
      <t xml:space="preserve">홀</t>
    </r>
    <r>
      <rPr>
        <sz val="9"/>
        <color rgb="FF374151"/>
        <rFont val="Arial"/>
        <family val="2"/>
        <charset val="1"/>
      </rPr>
      <t xml:space="preserve">+)  |  🟡 2</t>
    </r>
    <r>
      <rPr>
        <sz val="9"/>
        <color rgb="FF374151"/>
        <rFont val="DejaVu Sans"/>
        <family val="2"/>
      </rPr>
      <t xml:space="preserve">순위</t>
    </r>
    <r>
      <rPr>
        <sz val="9"/>
        <color rgb="FF374151"/>
        <rFont val="Arial"/>
        <family val="2"/>
        <charset val="1"/>
      </rPr>
      <t xml:space="preserve">: 143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  <charset val="1"/>
      </rPr>
      <t xml:space="preserve">(</t>
    </r>
    <r>
      <rPr>
        <sz val="9"/>
        <color rgb="FF374151"/>
        <rFont val="DejaVu Sans"/>
        <family val="2"/>
      </rPr>
      <t xml:space="preserve">회원제 </t>
    </r>
    <r>
      <rPr>
        <sz val="9"/>
        <color rgb="FF374151"/>
        <rFont val="Arial"/>
        <family val="2"/>
        <charset val="1"/>
      </rPr>
      <t xml:space="preserve">18</t>
    </r>
    <r>
      <rPr>
        <sz val="9"/>
        <color rgb="FF374151"/>
        <rFont val="DejaVu Sans"/>
        <family val="2"/>
      </rPr>
      <t xml:space="preserve">홀</t>
    </r>
    <r>
      <rPr>
        <sz val="9"/>
        <color rgb="FF374151"/>
        <rFont val="Arial"/>
        <family val="2"/>
        <charset val="1"/>
      </rPr>
      <t xml:space="preserve">+)  |  ⚪ 3</t>
    </r>
    <r>
      <rPr>
        <sz val="9"/>
        <color rgb="FF374151"/>
        <rFont val="DejaVu Sans"/>
        <family val="2"/>
      </rPr>
      <t xml:space="preserve">순위</t>
    </r>
    <r>
      <rPr>
        <sz val="9"/>
        <color rgb="FF374151"/>
        <rFont val="Arial"/>
        <family val="2"/>
        <charset val="1"/>
      </rPr>
      <t xml:space="preserve">: 100</t>
    </r>
    <r>
      <rPr>
        <sz val="9"/>
        <color rgb="FF374151"/>
        <rFont val="DejaVu Sans"/>
        <family val="2"/>
      </rPr>
      <t xml:space="preserve">개 </t>
    </r>
    <r>
      <rPr>
        <sz val="9"/>
        <color rgb="FF374151"/>
        <rFont val="Arial"/>
        <family val="2"/>
        <charset val="1"/>
      </rPr>
      <t xml:space="preserve">(9</t>
    </r>
    <r>
      <rPr>
        <sz val="9"/>
        <color rgb="FF374151"/>
        <rFont val="DejaVu Sans"/>
        <family val="2"/>
      </rPr>
      <t xml:space="preserve">홀</t>
    </r>
    <r>
      <rPr>
        <sz val="9"/>
        <color rgb="FF374151"/>
        <rFont val="Arial"/>
        <family val="2"/>
        <charset val="1"/>
      </rPr>
      <t xml:space="preserve">·</t>
    </r>
    <r>
      <rPr>
        <sz val="9"/>
        <color rgb="FF374151"/>
        <rFont val="DejaVu Sans"/>
        <family val="2"/>
      </rPr>
      <t xml:space="preserve">소규모</t>
    </r>
    <r>
      <rPr>
        <sz val="9"/>
        <color rgb="FF374151"/>
        <rFont val="Arial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</si>
</sst>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0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DejaVu Sans"/>
      <family val="2"/>
    </font>
    <font>
      <b val="true"/>
      <sz val="10"/>
      <color rgb="FFFFFFFF"/>
      <name val="Arial"/>
      <family val="2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sz val="9"/>
      <color rgb="FF1A1A2E"/>
      <name val="Arial"/>
      <family val="2"/>
      <charset val="1"/>
    </font>
    <font>
      <sz val="9"/>
      <color rgb="FF1A1A2E"/>
      <name val="DejaVu Sans"/>
      <family val="2"/>
    </font>
    <font>
      <b val="true"/>
      <sz val="9"/>
      <color rgb="FF1A1A2E"/>
      <name val="Arial"/>
      <family val="2"/>
      <charset val="1"/>
    </font>
    <font>
      <b val="true"/>
      <sz val="9"/>
      <color rgb="FF1A1A2E"/>
      <name val="DejaVu Sans"/>
      <family val="2"/>
    </font>
    <font>
      <sz val="9"/>
      <color rgb="FF1A1A2E"/>
      <name val="DejaVu Sans"/>
      <family val="2"/>
      <charset val="1"/>
    </font>
    <font>
      <b val="true"/>
      <sz val="9"/>
      <color rgb="FF4B5563"/>
      <name val="DejaVu Sans"/>
      <family val="2"/>
    </font>
    <font>
      <sz val="11"/>
      <color theme="1"/>
      <name val="DejaVu Sans"/>
      <family val="2"/>
      <charset val="1"/>
    </font>
    <font>
      <b val="true"/>
      <sz val="9"/>
      <color rgb="FF1A1A2E"/>
      <name val="DejaVu Sans"/>
      <family val="2"/>
      <charset val="1"/>
    </font>
    <font>
      <b val="true"/>
      <sz val="9"/>
      <color rgb="FF065F46"/>
      <name val="DejaVu Sans"/>
      <family val="2"/>
      <charset val="1"/>
    </font>
    <font>
      <u val="single"/>
      <sz val="9"/>
      <color rgb="FF0563C1"/>
      <name val="Arial"/>
      <family val="2"/>
      <charset val="1"/>
    </font>
    <font>
      <b val="true"/>
      <sz val="9"/>
      <color rgb="FF4B5563"/>
      <name val="DejaVu Sans"/>
      <family val="2"/>
      <charset val="1"/>
    </font>
    <font>
      <sz val="11"/>
      <color theme="1"/>
      <name val="DejaVu Sans"/>
      <family val="2"/>
    </font>
    <font>
      <sz val="8"/>
      <color rgb="FF6B7280"/>
      <name val="DejaVu Sans"/>
      <family val="2"/>
    </font>
    <font>
      <sz val="8"/>
      <color rgb="FF6B7280"/>
      <name val="DejaVu Sans"/>
      <family val="2"/>
      <charset val="1"/>
    </font>
    <font>
      <sz val="8"/>
      <color rgb="FF1A1A2E"/>
      <name val="Arial"/>
      <family val="2"/>
      <charset val="1"/>
    </font>
    <font>
      <sz val="8"/>
      <color rgb="FF1A1A2E"/>
      <name val="DejaVu Sans"/>
      <family val="2"/>
    </font>
    <font>
      <b val="true"/>
      <sz val="9"/>
      <color rgb="FFFFFFFF"/>
      <name val="DejaVu Sans"/>
      <family val="2"/>
    </font>
    <font>
      <b val="true"/>
      <sz val="11"/>
      <color rgb="FF00E4C9"/>
      <name val="Arial"/>
      <family val="2"/>
      <charset val="1"/>
    </font>
    <font>
      <sz val="9"/>
      <color rgb="FF374151"/>
      <name val="Arial"/>
      <family val="2"/>
      <charset val="1"/>
    </font>
    <font>
      <sz val="9"/>
      <color rgb="FF374151"/>
      <name val="DejaVu Sans"/>
      <family val="2"/>
    </font>
  </fonts>
  <fills count="23">
    <fill>
      <patternFill patternType="none"/>
    </fill>
    <fill>
      <patternFill patternType="gray125"/>
    </fill>
    <fill>
      <patternFill patternType="solid">
        <fgColor rgb="FF100443"/>
        <bgColor rgb="FF1E0C6B"/>
      </patternFill>
    </fill>
    <fill>
      <patternFill patternType="solid">
        <fgColor rgb="FF1E0C6B"/>
        <bgColor rgb="FF100443"/>
      </patternFill>
    </fill>
    <fill>
      <patternFill patternType="solid">
        <fgColor rgb="FFFFFFFF"/>
        <bgColor rgb="FFF9FAFB"/>
      </patternFill>
    </fill>
    <fill>
      <patternFill patternType="solid">
        <fgColor rgb="FFE0F2FE"/>
        <bgColor rgb="FFDBEAFE"/>
      </patternFill>
    </fill>
    <fill>
      <patternFill patternType="solid">
        <fgColor rgb="FFF5F5F5"/>
        <bgColor rgb="FFF3F4F6"/>
      </patternFill>
    </fill>
    <fill>
      <patternFill patternType="solid">
        <fgColor rgb="FFF3F4F6"/>
        <bgColor rgb="FFF5F5F5"/>
      </patternFill>
    </fill>
    <fill>
      <patternFill patternType="solid">
        <fgColor rgb="FFF2F0FC"/>
        <bgColor rgb="FFF3F4F6"/>
      </patternFill>
    </fill>
    <fill>
      <patternFill patternType="solid">
        <fgColor rgb="FFEDE9FE"/>
        <bgColor rgb="FFF2F0FC"/>
      </patternFill>
    </fill>
    <fill>
      <patternFill patternType="solid">
        <fgColor rgb="FF6EE7B7"/>
        <bgColor rgb="FFBBF7D0"/>
      </patternFill>
    </fill>
    <fill>
      <patternFill patternType="solid">
        <fgColor rgb="FFBBF7D0"/>
        <bgColor rgb="FFD1FAE5"/>
      </patternFill>
    </fill>
    <fill>
      <patternFill patternType="solid">
        <fgColor rgb="FFFEF9C3"/>
        <bgColor rgb="FFFEF3C7"/>
      </patternFill>
    </fill>
    <fill>
      <patternFill patternType="solid">
        <fgColor rgb="FFD1FAE5"/>
        <bgColor rgb="FFE0F2FE"/>
      </patternFill>
    </fill>
    <fill>
      <patternFill patternType="solid">
        <fgColor rgb="FFFED7AA"/>
        <bgColor rgb="FFFECACA"/>
      </patternFill>
    </fill>
    <fill>
      <patternFill patternType="solid">
        <fgColor rgb="FFFECACA"/>
        <bgColor rgb="FFFED7AA"/>
      </patternFill>
    </fill>
    <fill>
      <patternFill patternType="solid">
        <fgColor rgb="FFFEF08A"/>
        <bgColor rgb="FFFEF9C3"/>
      </patternFill>
    </fill>
    <fill>
      <patternFill patternType="solid">
        <fgColor rgb="FFFFE4E6"/>
        <bgColor rgb="FFFEE2E2"/>
      </patternFill>
    </fill>
    <fill>
      <patternFill patternType="solid">
        <fgColor rgb="FFDBEAFE"/>
        <bgColor rgb="FFE0F2FE"/>
      </patternFill>
    </fill>
    <fill>
      <patternFill patternType="solid">
        <fgColor rgb="FFFFF0F0"/>
        <bgColor rgb="FFF5F5F5"/>
      </patternFill>
    </fill>
    <fill>
      <patternFill patternType="solid">
        <fgColor rgb="FFF9FAFB"/>
        <bgColor rgb="FFF5F5F5"/>
      </patternFill>
    </fill>
    <fill>
      <patternFill patternType="solid">
        <fgColor rgb="FFFEE2E2"/>
        <bgColor rgb="FFFFE4E6"/>
      </patternFill>
    </fill>
    <fill>
      <patternFill patternType="solid">
        <fgColor rgb="FFFEF3C7"/>
        <bgColor rgb="FFFEF9C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DE8"/>
      </left>
      <right style="thin">
        <color rgb="FFD0CDE8"/>
      </right>
      <top style="thin">
        <color rgb="FFD0CDE8"/>
      </top>
      <bottom style="thin">
        <color rgb="FFD0CDE8"/>
      </bottom>
      <diagonal/>
    </border>
    <border diagonalUp="false" diagonalDown="false">
      <left style="thin">
        <color rgb="FFD0CDE8"/>
      </left>
      <right style="thin">
        <color rgb="FFD0CDE8"/>
      </right>
      <top style="medium">
        <color rgb="FF8B85C1"/>
      </top>
      <bottom style="thin">
        <color rgb="FFD0CD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3C7"/>
      <rgbColor rgb="FFFF00FF"/>
      <rgbColor rgb="FF00FFFF"/>
      <rgbColor rgb="FF800000"/>
      <rgbColor rgb="FF008000"/>
      <rgbColor rgb="FF1E0C6B"/>
      <rgbColor rgb="FF808000"/>
      <rgbColor rgb="FF800080"/>
      <rgbColor rgb="FF065F46"/>
      <rgbColor rgb="FFFECACA"/>
      <rgbColor rgb="FF808080"/>
      <rgbColor rgb="FFF2F0FC"/>
      <rgbColor rgb="FF993366"/>
      <rgbColor rgb="FFFEF9C3"/>
      <rgbColor rgb="FFE0F2FE"/>
      <rgbColor rgb="FF660066"/>
      <rgbColor rgb="FFF3F4F6"/>
      <rgbColor rgb="FF0563C1"/>
      <rgbColor rgb="FFD0CDE8"/>
      <rgbColor rgb="FF100443"/>
      <rgbColor rgb="FFFF00FF"/>
      <rgbColor rgb="FFFFF0F0"/>
      <rgbColor rgb="FF00FFFF"/>
      <rgbColor rgb="FF800080"/>
      <rgbColor rgb="FF800000"/>
      <rgbColor rgb="FF008080"/>
      <rgbColor rgb="FF0000FF"/>
      <rgbColor rgb="FF00E4C9"/>
      <rgbColor rgb="FFDBEAFE"/>
      <rgbColor rgb="FFD1FAE5"/>
      <rgbColor rgb="FFFEF08A"/>
      <rgbColor rgb="FFBBF7D0"/>
      <rgbColor rgb="FFFEE2E2"/>
      <rgbColor rgb="FFEDE9FE"/>
      <rgbColor rgb="FFFED7AA"/>
      <rgbColor rgb="FF3366FF"/>
      <rgbColor rgb="FF6EE7B7"/>
      <rgbColor rgb="FFF5F5F5"/>
      <rgbColor rgb="FFFFE4E6"/>
      <rgbColor rgb="FFF9FAFB"/>
      <rgbColor rgb="FFFF6600"/>
      <rgbColor rgb="FF6B7280"/>
      <rgbColor rgb="FF8B85C1"/>
      <rgbColor rgb="FF003366"/>
      <rgbColor rgb="FF339966"/>
      <rgbColor rgb="FF003300"/>
      <rgbColor rgb="FF1A1A2E"/>
      <rgbColor rgb="FF993300"/>
      <rgbColor rgb="FF993366"/>
      <rgbColor rgb="FF4B5563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nscc.co.kr/" TargetMode="External"/><Relationship Id="rId2" Type="http://schemas.openxmlformats.org/officeDocument/2006/relationships/hyperlink" Target="https://www.lakeside.kr/" TargetMode="External"/><Relationship Id="rId3" Type="http://schemas.openxmlformats.org/officeDocument/2006/relationships/hyperlink" Target="https://www.eastvalley.co.kr/" TargetMode="External"/><Relationship Id="rId4" Type="http://schemas.openxmlformats.org/officeDocument/2006/relationships/hyperlink" Target="https://www.hanyangcc.com/" TargetMode="External"/><Relationship Id="rId5" Type="http://schemas.openxmlformats.org/officeDocument/2006/relationships/hyperlink" Target="https://www.elysian.co.kr/" TargetMode="External"/><Relationship Id="rId6" Type="http://schemas.openxmlformats.org/officeDocument/2006/relationships/hyperlink" Target="https://www.golfzoncounty.com/" TargetMode="External"/><Relationship Id="rId7" Type="http://schemas.openxmlformats.org/officeDocument/2006/relationships/hyperlink" Target="https://www.yusungcc.co.kr/" TargetMode="External"/><Relationship Id="rId8" Type="http://schemas.openxmlformats.org/officeDocument/2006/relationships/hyperlink" Target="https://sj.blueone.com/" TargetMode="External"/><Relationship Id="rId9" Type="http://schemas.openxmlformats.org/officeDocument/2006/relationships/hyperlink" Target="https://www.gayacc.com/" TargetMode="External"/><Relationship Id="rId10" Type="http://schemas.openxmlformats.org/officeDocument/2006/relationships/hyperlink" Target="https://www.ninebridges.co.kr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taiheiyoclub.com/gotemba" TargetMode="External"/><Relationship Id="rId2" Type="http://schemas.openxmlformats.org/officeDocument/2006/relationships/hyperlink" Target="https://hironogolfclub.jp/" TargetMode="External"/><Relationship Id="rId3" Type="http://schemas.openxmlformats.org/officeDocument/2006/relationships/hyperlink" Target="https://www.kasumigasekicc.or.jp/" TargetMode="External"/><Relationship Id="rId4" Type="http://schemas.openxmlformats.org/officeDocument/2006/relationships/hyperlink" Target="https://www.princehotels.com/kawana/facilities/kawanagolf/" TargetMode="External"/><Relationship Id="rId5" Type="http://schemas.openxmlformats.org/officeDocument/2006/relationships/hyperlink" Target="https://www.kogagolfclub.jp/" TargetMode="External"/><Relationship Id="rId6" Type="http://schemas.openxmlformats.org/officeDocument/2006/relationships/hyperlink" Target="http://www.pacificgolf.co.jp/okinawa/" TargetMode="External"/><Relationship Id="rId7" Type="http://schemas.openxmlformats.org/officeDocument/2006/relationships/hyperlink" Target="https://www.princehotels.com/en/golf/karu72/" TargetMode="External"/><Relationship Id="rId8" Type="http://schemas.openxmlformats.org/officeDocument/2006/relationships/hyperlink" Target="https://www.tokyogolfclub.jp/" TargetMode="External"/><Relationship Id="rId9" Type="http://schemas.openxmlformats.org/officeDocument/2006/relationships/hyperlink" Target="https://www.biwakocc.com/" TargetMode="External"/><Relationship Id="rId10" Type="http://schemas.openxmlformats.org/officeDocument/2006/relationships/hyperlink" Target="https://www.accordia-golf.com/course/akodanarashinogolf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1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T20" activeCellId="0" sqref="T2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47.29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10"/>
    <col collapsed="false" customWidth="true" hidden="false" outlineLevel="0" max="9" min="9" style="1" width="25.71"/>
    <col collapsed="false" customWidth="true" hidden="false" outlineLevel="0" max="10" min="10" style="1" width="8"/>
    <col collapsed="false" customWidth="true" hidden="false" outlineLevel="0" max="11" min="11" style="1" width="9"/>
    <col collapsed="false" customWidth="true" hidden="false" outlineLevel="0" max="15" min="12" style="1" width="8"/>
    <col collapsed="false" customWidth="true" hidden="false" outlineLevel="0" max="16" min="16" style="1" width="12"/>
    <col collapsed="false" customWidth="true" hidden="false" outlineLevel="0" max="17" min="17" style="1" width="8"/>
    <col collapsed="false" customWidth="true" hidden="false" outlineLevel="0" max="18" min="18" style="1" width="10.71"/>
    <col collapsed="false" customWidth="true" hidden="false" outlineLevel="0" max="19" min="19" style="1" width="20.71"/>
    <col collapsed="false" customWidth="true" hidden="false" outlineLevel="0" max="20" min="20" style="1" width="32"/>
    <col collapsed="false" customWidth="true" hidden="false" outlineLevel="0" max="21" min="21" style="1" width="12"/>
    <col collapsed="false" customWidth="true" hidden="false" outlineLevel="0" max="22" min="22" style="1" width="16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36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</row>
    <row r="3" customFormat="false" ht="18" hidden="false" customHeight="true" outlineLevel="0" collapsed="false">
      <c r="A3" s="5" t="n">
        <v>1</v>
      </c>
      <c r="B3" s="6" t="s">
        <v>25</v>
      </c>
      <c r="C3" s="7" t="s">
        <v>26</v>
      </c>
      <c r="D3" s="8" t="s">
        <v>27</v>
      </c>
      <c r="E3" s="9" t="s">
        <v>28</v>
      </c>
      <c r="F3" s="5" t="n">
        <v>18</v>
      </c>
      <c r="G3" s="5" t="n">
        <f aca="false">F3*4</f>
        <v>72</v>
      </c>
      <c r="H3" s="10" t="n">
        <v>818914</v>
      </c>
      <c r="I3" s="11" t="s">
        <v>29</v>
      </c>
      <c r="J3" s="12"/>
      <c r="K3" s="12"/>
      <c r="L3" s="12"/>
      <c r="M3" s="12"/>
      <c r="N3" s="12"/>
      <c r="O3" s="12"/>
      <c r="Q3" s="5"/>
      <c r="R3" s="13"/>
      <c r="S3" s="12"/>
      <c r="T3" s="14" t="s">
        <v>30</v>
      </c>
      <c r="U3" s="11"/>
      <c r="X3" s="15"/>
    </row>
    <row r="4" customFormat="false" ht="18" hidden="false" customHeight="true" outlineLevel="0" collapsed="false">
      <c r="A4" s="16" t="n">
        <v>2</v>
      </c>
      <c r="B4" s="17" t="s">
        <v>25</v>
      </c>
      <c r="C4" s="18" t="s">
        <v>31</v>
      </c>
      <c r="D4" s="19" t="s">
        <v>32</v>
      </c>
      <c r="E4" s="20" t="s">
        <v>33</v>
      </c>
      <c r="F4" s="16" t="n">
        <v>36</v>
      </c>
      <c r="G4" s="16" t="n">
        <f aca="false">F4*4</f>
        <v>144</v>
      </c>
      <c r="H4" s="21" t="n">
        <v>2814762</v>
      </c>
      <c r="I4" s="22" t="s">
        <v>34</v>
      </c>
      <c r="J4" s="12"/>
      <c r="K4" s="12"/>
      <c r="L4" s="12"/>
      <c r="M4" s="12"/>
      <c r="N4" s="12"/>
      <c r="O4" s="12"/>
      <c r="Q4" s="16"/>
      <c r="R4" s="23"/>
      <c r="S4" s="12"/>
      <c r="T4" s="14" t="s">
        <v>30</v>
      </c>
      <c r="U4" s="24" t="s">
        <v>35</v>
      </c>
      <c r="V4" s="1" t="n">
        <v>1988</v>
      </c>
      <c r="W4" s="1" t="s">
        <v>36</v>
      </c>
      <c r="X4" s="25"/>
    </row>
    <row r="5" customFormat="false" ht="18" hidden="false" customHeight="true" outlineLevel="0" collapsed="false">
      <c r="A5" s="5" t="n">
        <v>3</v>
      </c>
      <c r="B5" s="6" t="s">
        <v>25</v>
      </c>
      <c r="C5" s="7" t="s">
        <v>37</v>
      </c>
      <c r="D5" s="8" t="s">
        <v>27</v>
      </c>
      <c r="E5" s="9" t="s">
        <v>38</v>
      </c>
      <c r="F5" s="5" t="n">
        <v>18</v>
      </c>
      <c r="G5" s="5" t="n">
        <f aca="false">F5*4</f>
        <v>72</v>
      </c>
      <c r="H5" s="10" t="n">
        <v>981310</v>
      </c>
      <c r="I5" s="11" t="s">
        <v>39</v>
      </c>
      <c r="J5" s="12"/>
      <c r="K5" s="12"/>
      <c r="L5" s="12"/>
      <c r="M5" s="12"/>
      <c r="N5" s="12"/>
      <c r="O5" s="12"/>
      <c r="Q5" s="5"/>
      <c r="R5" s="13"/>
      <c r="S5" s="12"/>
      <c r="T5" s="14" t="s">
        <v>30</v>
      </c>
      <c r="U5" s="11"/>
      <c r="X5" s="15"/>
    </row>
    <row r="6" customFormat="false" ht="18" hidden="false" customHeight="true" outlineLevel="0" collapsed="false">
      <c r="A6" s="16" t="n">
        <v>4</v>
      </c>
      <c r="B6" s="17" t="s">
        <v>25</v>
      </c>
      <c r="C6" s="26" t="s">
        <v>40</v>
      </c>
      <c r="D6" s="19" t="s">
        <v>32</v>
      </c>
      <c r="E6" s="20" t="s">
        <v>41</v>
      </c>
      <c r="F6" s="16" t="n">
        <v>18</v>
      </c>
      <c r="G6" s="16" t="n">
        <f aca="false">F6*4</f>
        <v>72</v>
      </c>
      <c r="H6" s="21" t="n">
        <v>1756532</v>
      </c>
      <c r="I6" s="22" t="s">
        <v>42</v>
      </c>
      <c r="J6" s="12"/>
      <c r="K6" s="12"/>
      <c r="L6" s="12"/>
      <c r="M6" s="12"/>
      <c r="N6" s="12"/>
      <c r="O6" s="12"/>
      <c r="Q6" s="16"/>
      <c r="R6" s="23"/>
      <c r="S6" s="12"/>
      <c r="T6" s="14" t="s">
        <v>30</v>
      </c>
      <c r="U6" s="22"/>
      <c r="X6" s="25"/>
    </row>
    <row r="7" customFormat="false" ht="18" hidden="false" customHeight="true" outlineLevel="0" collapsed="false">
      <c r="A7" s="5" t="n">
        <v>5</v>
      </c>
      <c r="B7" s="6" t="s">
        <v>25</v>
      </c>
      <c r="C7" s="27" t="s">
        <v>43</v>
      </c>
      <c r="D7" s="19" t="s">
        <v>32</v>
      </c>
      <c r="E7" s="9" t="s">
        <v>44</v>
      </c>
      <c r="F7" s="5" t="n">
        <v>18</v>
      </c>
      <c r="G7" s="5" t="n">
        <f aca="false">F7*4</f>
        <v>72</v>
      </c>
      <c r="H7" s="10" t="n">
        <v>830063</v>
      </c>
      <c r="I7" s="11" t="s">
        <v>45</v>
      </c>
      <c r="J7" s="12"/>
      <c r="K7" s="12"/>
      <c r="L7" s="12"/>
      <c r="M7" s="12"/>
      <c r="N7" s="12"/>
      <c r="O7" s="12"/>
      <c r="Q7" s="5"/>
      <c r="R7" s="13"/>
      <c r="S7" s="12"/>
      <c r="T7" s="14" t="s">
        <v>30</v>
      </c>
      <c r="U7" s="11"/>
      <c r="X7" s="15"/>
    </row>
    <row r="8" customFormat="false" ht="18" hidden="false" customHeight="true" outlineLevel="0" collapsed="false">
      <c r="A8" s="16" t="n">
        <v>6</v>
      </c>
      <c r="B8" s="17" t="s">
        <v>25</v>
      </c>
      <c r="C8" s="26" t="s">
        <v>46</v>
      </c>
      <c r="D8" s="8" t="s">
        <v>27</v>
      </c>
      <c r="E8" s="20" t="s">
        <v>47</v>
      </c>
      <c r="F8" s="16" t="n">
        <v>9</v>
      </c>
      <c r="G8" s="16" t="n">
        <f aca="false">F8*4</f>
        <v>36</v>
      </c>
      <c r="H8" s="21" t="n">
        <v>295598</v>
      </c>
      <c r="I8" s="22" t="s">
        <v>48</v>
      </c>
      <c r="J8" s="12"/>
      <c r="K8" s="12"/>
      <c r="L8" s="12"/>
      <c r="M8" s="12"/>
      <c r="N8" s="12"/>
      <c r="O8" s="12"/>
      <c r="Q8" s="16"/>
      <c r="R8" s="23"/>
      <c r="S8" s="12"/>
      <c r="T8" s="14" t="s">
        <v>30</v>
      </c>
      <c r="U8" s="22"/>
      <c r="X8" s="25"/>
    </row>
    <row r="9" customFormat="false" ht="18" hidden="false" customHeight="true" outlineLevel="0" collapsed="false">
      <c r="A9" s="5" t="n">
        <v>7</v>
      </c>
      <c r="B9" s="6" t="s">
        <v>25</v>
      </c>
      <c r="C9" s="27" t="s">
        <v>49</v>
      </c>
      <c r="D9" s="19" t="s">
        <v>32</v>
      </c>
      <c r="E9" s="9" t="s">
        <v>50</v>
      </c>
      <c r="F9" s="5" t="n">
        <v>18</v>
      </c>
      <c r="G9" s="5" t="n">
        <f aca="false">F9*4</f>
        <v>72</v>
      </c>
      <c r="H9" s="10" t="n">
        <v>1038998</v>
      </c>
      <c r="I9" s="11" t="s">
        <v>51</v>
      </c>
      <c r="J9" s="12"/>
      <c r="K9" s="12"/>
      <c r="L9" s="12"/>
      <c r="M9" s="12"/>
      <c r="N9" s="12"/>
      <c r="O9" s="12"/>
      <c r="Q9" s="5"/>
      <c r="R9" s="13"/>
      <c r="S9" s="12"/>
      <c r="T9" s="14" t="s">
        <v>30</v>
      </c>
      <c r="U9" s="28" t="s">
        <v>52</v>
      </c>
      <c r="V9" s="1" t="n">
        <v>2008</v>
      </c>
      <c r="W9" s="1" t="s">
        <v>53</v>
      </c>
      <c r="X9" s="29"/>
    </row>
    <row r="10" customFormat="false" ht="18" hidden="false" customHeight="true" outlineLevel="0" collapsed="false">
      <c r="A10" s="16" t="n">
        <v>8</v>
      </c>
      <c r="B10" s="17" t="s">
        <v>25</v>
      </c>
      <c r="C10" s="26" t="s">
        <v>54</v>
      </c>
      <c r="D10" s="19" t="s">
        <v>32</v>
      </c>
      <c r="E10" s="20" t="s">
        <v>55</v>
      </c>
      <c r="F10" s="16" t="n">
        <v>36</v>
      </c>
      <c r="G10" s="16" t="n">
        <f aca="false">F10*4</f>
        <v>144</v>
      </c>
      <c r="H10" s="21" t="n">
        <v>1366197</v>
      </c>
      <c r="I10" s="22" t="s">
        <v>56</v>
      </c>
      <c r="J10" s="12"/>
      <c r="K10" s="12"/>
      <c r="L10" s="12"/>
      <c r="M10" s="12"/>
      <c r="N10" s="12"/>
      <c r="O10" s="12"/>
      <c r="Q10" s="16"/>
      <c r="R10" s="23"/>
      <c r="S10" s="12"/>
      <c r="T10" s="14" t="s">
        <v>30</v>
      </c>
      <c r="U10" s="22"/>
      <c r="X10" s="25"/>
    </row>
    <row r="11" customFormat="false" ht="18" hidden="false" customHeight="true" outlineLevel="0" collapsed="false">
      <c r="A11" s="5" t="n">
        <v>9</v>
      </c>
      <c r="B11" s="6" t="s">
        <v>25</v>
      </c>
      <c r="C11" s="27" t="s">
        <v>57</v>
      </c>
      <c r="D11" s="8" t="s">
        <v>27</v>
      </c>
      <c r="E11" s="9" t="s">
        <v>58</v>
      </c>
      <c r="F11" s="5" t="n">
        <v>18</v>
      </c>
      <c r="G11" s="5" t="n">
        <f aca="false">F11*4</f>
        <v>72</v>
      </c>
      <c r="H11" s="10" t="n">
        <v>1106490</v>
      </c>
      <c r="I11" s="11" t="s">
        <v>59</v>
      </c>
      <c r="J11" s="12"/>
      <c r="K11" s="12"/>
      <c r="L11" s="12"/>
      <c r="M11" s="12"/>
      <c r="N11" s="12"/>
      <c r="O11" s="12"/>
      <c r="Q11" s="5"/>
      <c r="R11" s="13"/>
      <c r="S11" s="12"/>
      <c r="T11" s="14" t="s">
        <v>30</v>
      </c>
      <c r="U11" s="11"/>
      <c r="X11" s="15"/>
    </row>
    <row r="12" customFormat="false" ht="18" hidden="false" customHeight="true" outlineLevel="0" collapsed="false">
      <c r="A12" s="16" t="n">
        <v>10</v>
      </c>
      <c r="B12" s="17" t="s">
        <v>25</v>
      </c>
      <c r="C12" s="26" t="s">
        <v>60</v>
      </c>
      <c r="D12" s="8" t="s">
        <v>27</v>
      </c>
      <c r="E12" s="20" t="s">
        <v>61</v>
      </c>
      <c r="F12" s="16" t="n">
        <v>9</v>
      </c>
      <c r="G12" s="16" t="n">
        <f aca="false">F12*4</f>
        <v>36</v>
      </c>
      <c r="H12" s="21" t="n">
        <v>565751</v>
      </c>
      <c r="I12" s="22" t="s">
        <v>59</v>
      </c>
      <c r="J12" s="12"/>
      <c r="K12" s="12"/>
      <c r="L12" s="12"/>
      <c r="M12" s="12"/>
      <c r="N12" s="12"/>
      <c r="O12" s="12"/>
      <c r="Q12" s="16"/>
      <c r="R12" s="23"/>
      <c r="S12" s="12"/>
      <c r="T12" s="14" t="s">
        <v>30</v>
      </c>
      <c r="U12" s="22"/>
      <c r="X12" s="25"/>
    </row>
    <row r="13" customFormat="false" ht="18" hidden="false" customHeight="true" outlineLevel="0" collapsed="false">
      <c r="A13" s="5" t="n">
        <v>11</v>
      </c>
      <c r="B13" s="6" t="s">
        <v>25</v>
      </c>
      <c r="C13" s="27" t="s">
        <v>62</v>
      </c>
      <c r="D13" s="8" t="s">
        <v>27</v>
      </c>
      <c r="E13" s="9" t="s">
        <v>63</v>
      </c>
      <c r="F13" s="5" t="n">
        <v>18</v>
      </c>
      <c r="G13" s="5" t="n">
        <f aca="false">F13*4</f>
        <v>72</v>
      </c>
      <c r="H13" s="10" t="n">
        <v>1001876</v>
      </c>
      <c r="I13" s="11" t="s">
        <v>64</v>
      </c>
      <c r="J13" s="12"/>
      <c r="K13" s="12"/>
      <c r="L13" s="12"/>
      <c r="M13" s="12"/>
      <c r="N13" s="12"/>
      <c r="O13" s="12"/>
      <c r="Q13" s="5"/>
      <c r="R13" s="13"/>
      <c r="S13" s="12"/>
      <c r="T13" s="14" t="s">
        <v>30</v>
      </c>
      <c r="U13" s="11"/>
      <c r="X13" s="15"/>
    </row>
    <row r="14" customFormat="false" ht="18" hidden="false" customHeight="true" outlineLevel="0" collapsed="false">
      <c r="A14" s="16" t="n">
        <v>12</v>
      </c>
      <c r="B14" s="17" t="s">
        <v>25</v>
      </c>
      <c r="C14" s="26" t="s">
        <v>65</v>
      </c>
      <c r="D14" s="19" t="s">
        <v>32</v>
      </c>
      <c r="E14" s="20" t="s">
        <v>66</v>
      </c>
      <c r="F14" s="16" t="n">
        <v>18</v>
      </c>
      <c r="G14" s="16" t="n">
        <f aca="false">F14*4</f>
        <v>72</v>
      </c>
      <c r="H14" s="21" t="n">
        <v>862228</v>
      </c>
      <c r="I14" s="22" t="s">
        <v>67</v>
      </c>
      <c r="J14" s="12"/>
      <c r="K14" s="12"/>
      <c r="L14" s="12"/>
      <c r="M14" s="12"/>
      <c r="N14" s="12"/>
      <c r="O14" s="12"/>
      <c r="Q14" s="16"/>
      <c r="R14" s="23"/>
      <c r="S14" s="12"/>
      <c r="T14" s="14" t="s">
        <v>30</v>
      </c>
      <c r="U14" s="22"/>
      <c r="X14" s="25"/>
    </row>
    <row r="15" customFormat="false" ht="18" hidden="false" customHeight="true" outlineLevel="0" collapsed="false">
      <c r="A15" s="5" t="n">
        <v>13</v>
      </c>
      <c r="B15" s="6" t="s">
        <v>25</v>
      </c>
      <c r="C15" s="27" t="s">
        <v>68</v>
      </c>
      <c r="D15" s="8" t="s">
        <v>27</v>
      </c>
      <c r="E15" s="9" t="s">
        <v>69</v>
      </c>
      <c r="F15" s="5" t="n">
        <v>9</v>
      </c>
      <c r="G15" s="5" t="n">
        <f aca="false">F15*4</f>
        <v>36</v>
      </c>
      <c r="H15" s="10" t="n">
        <v>465916</v>
      </c>
      <c r="I15" s="11" t="s">
        <v>70</v>
      </c>
      <c r="J15" s="12"/>
      <c r="K15" s="12"/>
      <c r="L15" s="12"/>
      <c r="M15" s="12"/>
      <c r="N15" s="12"/>
      <c r="O15" s="12"/>
      <c r="Q15" s="5"/>
      <c r="R15" s="13"/>
      <c r="S15" s="12"/>
      <c r="T15" s="14" t="s">
        <v>30</v>
      </c>
      <c r="U15" s="11"/>
      <c r="X15" s="15"/>
    </row>
    <row r="16" customFormat="false" ht="18" hidden="false" customHeight="true" outlineLevel="0" collapsed="false">
      <c r="A16" s="16" t="n">
        <v>14</v>
      </c>
      <c r="B16" s="17" t="s">
        <v>25</v>
      </c>
      <c r="C16" s="26" t="s">
        <v>71</v>
      </c>
      <c r="D16" s="19" t="s">
        <v>32</v>
      </c>
      <c r="E16" s="20" t="s">
        <v>72</v>
      </c>
      <c r="F16" s="16" t="n">
        <v>18</v>
      </c>
      <c r="G16" s="16" t="n">
        <f aca="false">F16*4</f>
        <v>72</v>
      </c>
      <c r="H16" s="21" t="n">
        <v>890860</v>
      </c>
      <c r="I16" s="30" t="s">
        <v>73</v>
      </c>
      <c r="J16" s="12"/>
      <c r="K16" s="12"/>
      <c r="L16" s="12"/>
      <c r="M16" s="12"/>
      <c r="N16" s="12"/>
      <c r="O16" s="12"/>
      <c r="Q16" s="16"/>
      <c r="R16" s="23"/>
      <c r="S16" s="12"/>
      <c r="T16" s="14" t="s">
        <v>30</v>
      </c>
      <c r="U16" s="30"/>
      <c r="X16" s="25"/>
    </row>
    <row r="17" customFormat="false" ht="18" hidden="false" customHeight="true" outlineLevel="0" collapsed="false">
      <c r="A17" s="5" t="n">
        <v>15</v>
      </c>
      <c r="B17" s="6" t="s">
        <v>25</v>
      </c>
      <c r="C17" s="27" t="s">
        <v>74</v>
      </c>
      <c r="D17" s="19" t="s">
        <v>32</v>
      </c>
      <c r="E17" s="9" t="s">
        <v>75</v>
      </c>
      <c r="F17" s="5" t="n">
        <v>36</v>
      </c>
      <c r="G17" s="5" t="n">
        <f aca="false">F17*4</f>
        <v>144</v>
      </c>
      <c r="H17" s="10" t="n">
        <v>2437045</v>
      </c>
      <c r="I17" s="11" t="s">
        <v>76</v>
      </c>
      <c r="J17" s="12"/>
      <c r="K17" s="12"/>
      <c r="L17" s="12"/>
      <c r="M17" s="12"/>
      <c r="N17" s="12"/>
      <c r="O17" s="12"/>
      <c r="Q17" s="5"/>
      <c r="R17" s="13"/>
      <c r="S17" s="12"/>
      <c r="T17" s="14" t="s">
        <v>30</v>
      </c>
      <c r="U17" s="28" t="s">
        <v>77</v>
      </c>
      <c r="V17" s="1" t="n">
        <v>1987</v>
      </c>
      <c r="W17" s="1" t="s">
        <v>78</v>
      </c>
      <c r="X17" s="29"/>
    </row>
    <row r="18" customFormat="false" ht="18" hidden="false" customHeight="true" outlineLevel="0" collapsed="false">
      <c r="A18" s="16" t="n">
        <v>16</v>
      </c>
      <c r="B18" s="17" t="s">
        <v>25</v>
      </c>
      <c r="C18" s="26" t="s">
        <v>79</v>
      </c>
      <c r="D18" s="19" t="s">
        <v>32</v>
      </c>
      <c r="E18" s="20" t="s">
        <v>80</v>
      </c>
      <c r="F18" s="16" t="n">
        <v>18</v>
      </c>
      <c r="G18" s="16" t="n">
        <f aca="false">F18*4</f>
        <v>72</v>
      </c>
      <c r="H18" s="21" t="n">
        <v>932683</v>
      </c>
      <c r="I18" s="22" t="s">
        <v>81</v>
      </c>
      <c r="J18" s="12"/>
      <c r="K18" s="12"/>
      <c r="L18" s="12"/>
      <c r="M18" s="12"/>
      <c r="N18" s="12"/>
      <c r="O18" s="12"/>
      <c r="Q18" s="16"/>
      <c r="R18" s="23"/>
      <c r="S18" s="12"/>
      <c r="T18" s="14" t="s">
        <v>30</v>
      </c>
      <c r="U18" s="30"/>
      <c r="X18" s="25"/>
    </row>
    <row r="19" customFormat="false" ht="18" hidden="false" customHeight="true" outlineLevel="0" collapsed="false">
      <c r="A19" s="5" t="n">
        <v>17</v>
      </c>
      <c r="B19" s="6" t="s">
        <v>25</v>
      </c>
      <c r="C19" s="27" t="s">
        <v>82</v>
      </c>
      <c r="D19" s="19" t="s">
        <v>32</v>
      </c>
      <c r="E19" s="9" t="s">
        <v>83</v>
      </c>
      <c r="F19" s="5" t="n">
        <v>18</v>
      </c>
      <c r="G19" s="5" t="n">
        <f aca="false">F19*4</f>
        <v>72</v>
      </c>
      <c r="H19" s="10" t="n">
        <v>964521</v>
      </c>
      <c r="I19" s="11" t="s">
        <v>84</v>
      </c>
      <c r="J19" s="12"/>
      <c r="K19" s="12"/>
      <c r="L19" s="12"/>
      <c r="M19" s="12"/>
      <c r="N19" s="12"/>
      <c r="O19" s="12"/>
      <c r="Q19" s="5"/>
      <c r="R19" s="13"/>
      <c r="S19" s="12"/>
      <c r="T19" s="14" t="s">
        <v>30</v>
      </c>
      <c r="U19" s="28" t="s">
        <v>85</v>
      </c>
      <c r="V19" s="1" t="n">
        <v>1988</v>
      </c>
      <c r="W19" s="1" t="s">
        <v>86</v>
      </c>
      <c r="X19" s="29"/>
    </row>
    <row r="20" customFormat="false" ht="18" hidden="false" customHeight="true" outlineLevel="0" collapsed="false">
      <c r="A20" s="16" t="n">
        <v>18</v>
      </c>
      <c r="B20" s="17" t="s">
        <v>25</v>
      </c>
      <c r="C20" s="26" t="s">
        <v>87</v>
      </c>
      <c r="D20" s="19" t="s">
        <v>32</v>
      </c>
      <c r="E20" s="20" t="s">
        <v>88</v>
      </c>
      <c r="F20" s="16" t="n">
        <v>18</v>
      </c>
      <c r="G20" s="16" t="n">
        <f aca="false">F20*4</f>
        <v>72</v>
      </c>
      <c r="H20" s="21" t="n">
        <v>968466</v>
      </c>
      <c r="I20" s="30" t="s">
        <v>89</v>
      </c>
      <c r="J20" s="31" t="n">
        <v>4.7</v>
      </c>
      <c r="K20" s="31" t="n">
        <v>4.8</v>
      </c>
      <c r="L20" s="31" t="n">
        <v>4.9</v>
      </c>
      <c r="M20" s="32" t="n">
        <v>4.2</v>
      </c>
      <c r="N20" s="32" t="n">
        <v>4.5</v>
      </c>
      <c r="O20" s="33" t="n">
        <f aca="false">ROUND(AVERAGE(J20:N20),2)</f>
        <v>4.62</v>
      </c>
      <c r="Q20" s="16" t="n">
        <v>127</v>
      </c>
      <c r="R20" s="23" t="n">
        <v>71.5</v>
      </c>
      <c r="S20" s="34" t="s">
        <v>90</v>
      </c>
      <c r="T20" s="35" t="s">
        <v>91</v>
      </c>
      <c r="U20" s="36" t="s">
        <v>92</v>
      </c>
      <c r="V20" s="1" t="n">
        <v>1968</v>
      </c>
      <c r="W20" s="1" t="s">
        <v>93</v>
      </c>
      <c r="X20" s="25"/>
    </row>
    <row r="21" customFormat="false" ht="18" hidden="false" customHeight="true" outlineLevel="0" collapsed="false">
      <c r="A21" s="5" t="n">
        <v>19</v>
      </c>
      <c r="B21" s="6" t="s">
        <v>25</v>
      </c>
      <c r="C21" s="27" t="s">
        <v>94</v>
      </c>
      <c r="D21" s="8" t="s">
        <v>27</v>
      </c>
      <c r="E21" s="9" t="s">
        <v>95</v>
      </c>
      <c r="F21" s="5" t="n">
        <v>9</v>
      </c>
      <c r="G21" s="5" t="n">
        <f aca="false">F21*4</f>
        <v>36</v>
      </c>
      <c r="H21" s="10" t="n">
        <v>979769</v>
      </c>
      <c r="I21" s="11" t="s">
        <v>96</v>
      </c>
      <c r="J21" s="12"/>
      <c r="K21" s="12"/>
      <c r="L21" s="12"/>
      <c r="M21" s="12"/>
      <c r="N21" s="12"/>
      <c r="O21" s="12"/>
      <c r="Q21" s="5"/>
      <c r="R21" s="13"/>
      <c r="S21" s="12"/>
      <c r="T21" s="14" t="s">
        <v>30</v>
      </c>
      <c r="U21" s="11"/>
      <c r="X21" s="15"/>
    </row>
    <row r="22" customFormat="false" ht="18" hidden="false" customHeight="true" outlineLevel="0" collapsed="false">
      <c r="A22" s="16" t="n">
        <v>20</v>
      </c>
      <c r="B22" s="17" t="s">
        <v>25</v>
      </c>
      <c r="C22" s="26" t="s">
        <v>97</v>
      </c>
      <c r="D22" s="8" t="s">
        <v>27</v>
      </c>
      <c r="E22" s="20" t="s">
        <v>98</v>
      </c>
      <c r="F22" s="16" t="n">
        <v>27</v>
      </c>
      <c r="G22" s="16" t="n">
        <f aca="false">F22*4</f>
        <v>108</v>
      </c>
      <c r="H22" s="21" t="n">
        <v>1160743</v>
      </c>
      <c r="I22" s="22" t="s">
        <v>99</v>
      </c>
      <c r="J22" s="12"/>
      <c r="K22" s="12"/>
      <c r="L22" s="12"/>
      <c r="M22" s="12"/>
      <c r="N22" s="12"/>
      <c r="O22" s="12"/>
      <c r="Q22" s="16"/>
      <c r="R22" s="23"/>
      <c r="S22" s="12"/>
      <c r="T22" s="14" t="s">
        <v>30</v>
      </c>
      <c r="U22" s="30"/>
      <c r="X22" s="25"/>
    </row>
    <row r="23" customFormat="false" ht="18" hidden="false" customHeight="true" outlineLevel="0" collapsed="false">
      <c r="A23" s="5" t="n">
        <v>21</v>
      </c>
      <c r="B23" s="6" t="s">
        <v>25</v>
      </c>
      <c r="C23" s="27" t="s">
        <v>100</v>
      </c>
      <c r="D23" s="19" t="s">
        <v>32</v>
      </c>
      <c r="E23" s="9" t="s">
        <v>101</v>
      </c>
      <c r="F23" s="5" t="n">
        <v>18</v>
      </c>
      <c r="G23" s="5" t="n">
        <f aca="false">F23*4</f>
        <v>72</v>
      </c>
      <c r="H23" s="10" t="n">
        <v>1079154</v>
      </c>
      <c r="I23" s="11" t="s">
        <v>102</v>
      </c>
      <c r="J23" s="12"/>
      <c r="K23" s="12"/>
      <c r="L23" s="12"/>
      <c r="M23" s="12"/>
      <c r="N23" s="12"/>
      <c r="O23" s="12"/>
      <c r="Q23" s="5"/>
      <c r="R23" s="13"/>
      <c r="S23" s="12"/>
      <c r="T23" s="14" t="s">
        <v>30</v>
      </c>
      <c r="U23" s="11"/>
      <c r="X23" s="15"/>
    </row>
    <row r="24" customFormat="false" ht="18" hidden="false" customHeight="true" outlineLevel="0" collapsed="false">
      <c r="A24" s="16" t="n">
        <v>22</v>
      </c>
      <c r="B24" s="17" t="s">
        <v>25</v>
      </c>
      <c r="C24" s="26" t="s">
        <v>103</v>
      </c>
      <c r="D24" s="8" t="s">
        <v>27</v>
      </c>
      <c r="E24" s="20" t="s">
        <v>104</v>
      </c>
      <c r="F24" s="16" t="n">
        <v>18</v>
      </c>
      <c r="G24" s="16" t="n">
        <f aca="false">F24*4</f>
        <v>72</v>
      </c>
      <c r="H24" s="21" t="n">
        <v>986314</v>
      </c>
      <c r="I24" s="22" t="s">
        <v>105</v>
      </c>
      <c r="J24" s="12"/>
      <c r="K24" s="12"/>
      <c r="L24" s="12"/>
      <c r="M24" s="12"/>
      <c r="N24" s="12"/>
      <c r="O24" s="12"/>
      <c r="Q24" s="16"/>
      <c r="R24" s="23"/>
      <c r="S24" s="12"/>
      <c r="T24" s="14" t="s">
        <v>30</v>
      </c>
      <c r="U24" s="30"/>
      <c r="X24" s="25"/>
    </row>
    <row r="25" customFormat="false" ht="18" hidden="false" customHeight="true" outlineLevel="0" collapsed="false">
      <c r="A25" s="5" t="n">
        <v>23</v>
      </c>
      <c r="B25" s="6" t="s">
        <v>25</v>
      </c>
      <c r="C25" s="27" t="s">
        <v>106</v>
      </c>
      <c r="D25" s="19" t="s">
        <v>32</v>
      </c>
      <c r="E25" s="9" t="s">
        <v>107</v>
      </c>
      <c r="F25" s="5" t="n">
        <v>36</v>
      </c>
      <c r="G25" s="5" t="n">
        <f aca="false">F25*4</f>
        <v>144</v>
      </c>
      <c r="H25" s="10" t="n">
        <v>2548234</v>
      </c>
      <c r="I25" s="11" t="s">
        <v>108</v>
      </c>
      <c r="J25" s="12"/>
      <c r="K25" s="12"/>
      <c r="L25" s="12"/>
      <c r="M25" s="12"/>
      <c r="N25" s="12"/>
      <c r="O25" s="12"/>
      <c r="Q25" s="5"/>
      <c r="R25" s="13"/>
      <c r="S25" s="12"/>
      <c r="T25" s="14" t="s">
        <v>30</v>
      </c>
      <c r="U25" s="28" t="s">
        <v>109</v>
      </c>
      <c r="V25" s="1" t="n">
        <v>1994</v>
      </c>
      <c r="W25" s="1" t="s">
        <v>110</v>
      </c>
      <c r="X25" s="29"/>
    </row>
    <row r="26" customFormat="false" ht="18" hidden="false" customHeight="true" outlineLevel="0" collapsed="false">
      <c r="A26" s="16" t="n">
        <v>24</v>
      </c>
      <c r="B26" s="17" t="s">
        <v>25</v>
      </c>
      <c r="C26" s="26" t="s">
        <v>111</v>
      </c>
      <c r="D26" s="19" t="s">
        <v>32</v>
      </c>
      <c r="E26" s="20" t="s">
        <v>112</v>
      </c>
      <c r="F26" s="16" t="n">
        <v>36</v>
      </c>
      <c r="G26" s="16" t="n">
        <f aca="false">F26*4</f>
        <v>144</v>
      </c>
      <c r="H26" s="21" t="n">
        <v>1584094</v>
      </c>
      <c r="I26" s="22" t="s">
        <v>113</v>
      </c>
      <c r="J26" s="12"/>
      <c r="K26" s="12"/>
      <c r="L26" s="12"/>
      <c r="M26" s="12"/>
      <c r="N26" s="12"/>
      <c r="O26" s="12"/>
      <c r="Q26" s="16"/>
      <c r="R26" s="23"/>
      <c r="S26" s="12"/>
      <c r="T26" s="14" t="s">
        <v>30</v>
      </c>
      <c r="U26" s="30"/>
      <c r="X26" s="25"/>
    </row>
    <row r="27" customFormat="false" ht="18" hidden="false" customHeight="true" outlineLevel="0" collapsed="false">
      <c r="A27" s="5" t="n">
        <v>25</v>
      </c>
      <c r="B27" s="6" t="s">
        <v>25</v>
      </c>
      <c r="C27" s="27" t="s">
        <v>114</v>
      </c>
      <c r="D27" s="19" t="s">
        <v>32</v>
      </c>
      <c r="E27" s="9" t="s">
        <v>115</v>
      </c>
      <c r="F27" s="5" t="n">
        <v>18</v>
      </c>
      <c r="G27" s="5" t="n">
        <f aca="false">F27*4</f>
        <v>72</v>
      </c>
      <c r="H27" s="10" t="n">
        <v>880053</v>
      </c>
      <c r="I27" s="11" t="s">
        <v>116</v>
      </c>
      <c r="J27" s="12"/>
      <c r="K27" s="12"/>
      <c r="L27" s="12"/>
      <c r="M27" s="12"/>
      <c r="N27" s="12"/>
      <c r="O27" s="12"/>
      <c r="Q27" s="5"/>
      <c r="R27" s="13"/>
      <c r="S27" s="12"/>
      <c r="T27" s="14" t="s">
        <v>30</v>
      </c>
      <c r="U27" s="28" t="s">
        <v>117</v>
      </c>
      <c r="V27" s="1" t="n">
        <v>1965</v>
      </c>
      <c r="W27" s="1" t="s">
        <v>118</v>
      </c>
      <c r="X27" s="29"/>
    </row>
    <row r="28" customFormat="false" ht="18" hidden="false" customHeight="true" outlineLevel="0" collapsed="false">
      <c r="A28" s="16" t="n">
        <v>26</v>
      </c>
      <c r="B28" s="17" t="s">
        <v>25</v>
      </c>
      <c r="C28" s="26" t="s">
        <v>119</v>
      </c>
      <c r="D28" s="8" t="s">
        <v>27</v>
      </c>
      <c r="E28" s="20" t="s">
        <v>120</v>
      </c>
      <c r="F28" s="16" t="n">
        <v>9</v>
      </c>
      <c r="G28" s="16" t="n">
        <f aca="false">F28*4</f>
        <v>36</v>
      </c>
      <c r="H28" s="21" t="n">
        <v>299311</v>
      </c>
      <c r="I28" s="22" t="s">
        <v>121</v>
      </c>
      <c r="J28" s="12"/>
      <c r="K28" s="12"/>
      <c r="L28" s="12"/>
      <c r="M28" s="12"/>
      <c r="N28" s="12"/>
      <c r="O28" s="12"/>
      <c r="Q28" s="16"/>
      <c r="R28" s="23"/>
      <c r="S28" s="12"/>
      <c r="T28" s="14" t="s">
        <v>30</v>
      </c>
      <c r="U28" s="30"/>
      <c r="X28" s="25"/>
    </row>
    <row r="29" customFormat="false" ht="18" hidden="false" customHeight="true" outlineLevel="0" collapsed="false">
      <c r="A29" s="5" t="n">
        <v>27</v>
      </c>
      <c r="B29" s="6" t="s">
        <v>25</v>
      </c>
      <c r="C29" s="27" t="s">
        <v>122</v>
      </c>
      <c r="D29" s="8" t="s">
        <v>27</v>
      </c>
      <c r="E29" s="9" t="s">
        <v>123</v>
      </c>
      <c r="F29" s="5" t="n">
        <v>27</v>
      </c>
      <c r="G29" s="5" t="n">
        <f aca="false">F29*4</f>
        <v>108</v>
      </c>
      <c r="H29" s="10" t="n">
        <v>1062819</v>
      </c>
      <c r="I29" s="11" t="s">
        <v>124</v>
      </c>
      <c r="J29" s="12"/>
      <c r="K29" s="12"/>
      <c r="L29" s="12"/>
      <c r="M29" s="12"/>
      <c r="N29" s="12"/>
      <c r="O29" s="12"/>
      <c r="Q29" s="5"/>
      <c r="R29" s="13"/>
      <c r="S29" s="12"/>
      <c r="T29" s="14" t="s">
        <v>30</v>
      </c>
      <c r="U29" s="11"/>
      <c r="X29" s="15"/>
    </row>
    <row r="30" customFormat="false" ht="18" hidden="false" customHeight="true" outlineLevel="0" collapsed="false">
      <c r="A30" s="16" t="n">
        <v>28</v>
      </c>
      <c r="B30" s="17" t="s">
        <v>25</v>
      </c>
      <c r="C30" s="26" t="s">
        <v>125</v>
      </c>
      <c r="D30" s="8" t="s">
        <v>27</v>
      </c>
      <c r="E30" s="20" t="s">
        <v>126</v>
      </c>
      <c r="F30" s="16" t="n">
        <v>9</v>
      </c>
      <c r="G30" s="16" t="n">
        <f aca="false">F30*4</f>
        <v>36</v>
      </c>
      <c r="H30" s="21" t="n">
        <v>261571</v>
      </c>
      <c r="I30" s="22" t="s">
        <v>127</v>
      </c>
      <c r="J30" s="12"/>
      <c r="K30" s="12"/>
      <c r="L30" s="12"/>
      <c r="M30" s="12"/>
      <c r="N30" s="12"/>
      <c r="O30" s="12"/>
      <c r="Q30" s="16"/>
      <c r="R30" s="23"/>
      <c r="S30" s="12"/>
      <c r="T30" s="14" t="s">
        <v>30</v>
      </c>
      <c r="U30" s="30"/>
      <c r="X30" s="25"/>
    </row>
    <row r="31" customFormat="false" ht="18" hidden="false" customHeight="true" outlineLevel="0" collapsed="false">
      <c r="A31" s="5" t="n">
        <v>29</v>
      </c>
      <c r="B31" s="6" t="s">
        <v>25</v>
      </c>
      <c r="C31" s="27" t="s">
        <v>128</v>
      </c>
      <c r="D31" s="8" t="s">
        <v>27</v>
      </c>
      <c r="E31" s="9" t="s">
        <v>129</v>
      </c>
      <c r="F31" s="5" t="n">
        <v>27</v>
      </c>
      <c r="G31" s="5" t="n">
        <f aca="false">F31*4</f>
        <v>108</v>
      </c>
      <c r="H31" s="10" t="n">
        <v>1504498</v>
      </c>
      <c r="I31" s="11" t="s">
        <v>130</v>
      </c>
      <c r="J31" s="12"/>
      <c r="K31" s="12"/>
      <c r="L31" s="12"/>
      <c r="M31" s="12"/>
      <c r="N31" s="12"/>
      <c r="O31" s="12"/>
      <c r="Q31" s="5"/>
      <c r="R31" s="13"/>
      <c r="S31" s="12"/>
      <c r="T31" s="14" t="s">
        <v>30</v>
      </c>
      <c r="U31" s="11"/>
      <c r="X31" s="15"/>
    </row>
    <row r="32" customFormat="false" ht="18" hidden="false" customHeight="true" outlineLevel="0" collapsed="false">
      <c r="A32" s="16" t="n">
        <v>30</v>
      </c>
      <c r="B32" s="17" t="s">
        <v>25</v>
      </c>
      <c r="C32" s="26" t="s">
        <v>131</v>
      </c>
      <c r="D32" s="8" t="s">
        <v>27</v>
      </c>
      <c r="E32" s="20" t="s">
        <v>132</v>
      </c>
      <c r="F32" s="16" t="n">
        <v>36</v>
      </c>
      <c r="G32" s="16" t="n">
        <f aca="false">F32*4</f>
        <v>144</v>
      </c>
      <c r="H32" s="21" t="n">
        <v>3198002</v>
      </c>
      <c r="I32" s="22" t="s">
        <v>133</v>
      </c>
      <c r="J32" s="37" t="n">
        <v>2.5</v>
      </c>
      <c r="K32" s="37" t="n">
        <v>2.8</v>
      </c>
      <c r="L32" s="37" t="n">
        <v>3.1</v>
      </c>
      <c r="M32" s="38" t="n">
        <v>2</v>
      </c>
      <c r="N32" s="37" t="n">
        <v>3.2</v>
      </c>
      <c r="O32" s="39" t="n">
        <f aca="false">ROUND(AVERAGE(J32:N32),2)</f>
        <v>2.72</v>
      </c>
      <c r="Q32" s="16" t="n">
        <v>118</v>
      </c>
      <c r="R32" s="23" t="n">
        <v>70.2</v>
      </c>
      <c r="S32" s="34" t="s">
        <v>90</v>
      </c>
      <c r="T32" s="35" t="s">
        <v>91</v>
      </c>
      <c r="U32" s="36" t="s">
        <v>134</v>
      </c>
      <c r="V32" s="1" t="n">
        <v>1990</v>
      </c>
      <c r="W32" s="1" t="s">
        <v>135</v>
      </c>
      <c r="X32" s="25"/>
    </row>
    <row r="33" customFormat="false" ht="18" hidden="false" customHeight="true" outlineLevel="0" collapsed="false">
      <c r="A33" s="5" t="n">
        <v>31</v>
      </c>
      <c r="B33" s="6" t="s">
        <v>25</v>
      </c>
      <c r="C33" s="27" t="s">
        <v>136</v>
      </c>
      <c r="D33" s="8" t="s">
        <v>27</v>
      </c>
      <c r="E33" s="9" t="s">
        <v>137</v>
      </c>
      <c r="F33" s="5" t="n">
        <v>9</v>
      </c>
      <c r="G33" s="5" t="n">
        <f aca="false">F33*4</f>
        <v>36</v>
      </c>
      <c r="H33" s="10" t="n">
        <v>350029</v>
      </c>
      <c r="I33" s="11" t="s">
        <v>138</v>
      </c>
      <c r="J33" s="12"/>
      <c r="K33" s="12"/>
      <c r="L33" s="12"/>
      <c r="M33" s="12"/>
      <c r="N33" s="12"/>
      <c r="O33" s="12"/>
      <c r="Q33" s="5"/>
      <c r="R33" s="13"/>
      <c r="S33" s="12"/>
      <c r="T33" s="14" t="s">
        <v>30</v>
      </c>
      <c r="U33" s="28" t="s">
        <v>139</v>
      </c>
      <c r="V33" s="1" t="n">
        <v>1997</v>
      </c>
      <c r="W33" s="1" t="s">
        <v>140</v>
      </c>
      <c r="X33" s="29"/>
    </row>
    <row r="34" customFormat="false" ht="18" hidden="false" customHeight="true" outlineLevel="0" collapsed="false">
      <c r="A34" s="16" t="n">
        <v>32</v>
      </c>
      <c r="B34" s="17" t="s">
        <v>25</v>
      </c>
      <c r="C34" s="26" t="s">
        <v>141</v>
      </c>
      <c r="D34" s="19" t="s">
        <v>32</v>
      </c>
      <c r="E34" s="20" t="s">
        <v>142</v>
      </c>
      <c r="F34" s="16" t="n">
        <v>18</v>
      </c>
      <c r="G34" s="16" t="n">
        <f aca="false">F34*4</f>
        <v>72</v>
      </c>
      <c r="H34" s="21" t="n">
        <v>855727</v>
      </c>
      <c r="I34" s="30" t="s">
        <v>143</v>
      </c>
      <c r="J34" s="12"/>
      <c r="K34" s="12"/>
      <c r="L34" s="12"/>
      <c r="M34" s="12"/>
      <c r="N34" s="12"/>
      <c r="O34" s="12"/>
      <c r="Q34" s="16"/>
      <c r="R34" s="23"/>
      <c r="S34" s="12"/>
      <c r="T34" s="14" t="s">
        <v>30</v>
      </c>
      <c r="U34" s="30" t="s">
        <v>144</v>
      </c>
      <c r="V34" s="1" t="n">
        <v>2007</v>
      </c>
      <c r="W34" s="1" t="s">
        <v>145</v>
      </c>
      <c r="X34" s="25"/>
    </row>
    <row r="35" customFormat="false" ht="18" hidden="false" customHeight="true" outlineLevel="0" collapsed="false">
      <c r="A35" s="5" t="n">
        <v>33</v>
      </c>
      <c r="B35" s="6" t="s">
        <v>25</v>
      </c>
      <c r="C35" s="27" t="s">
        <v>146</v>
      </c>
      <c r="D35" s="19" t="s">
        <v>32</v>
      </c>
      <c r="E35" s="9" t="s">
        <v>137</v>
      </c>
      <c r="F35" s="5" t="n">
        <v>27</v>
      </c>
      <c r="G35" s="5" t="n">
        <f aca="false">F35*4</f>
        <v>108</v>
      </c>
      <c r="H35" s="10" t="n">
        <v>1402074</v>
      </c>
      <c r="I35" s="11" t="s">
        <v>138</v>
      </c>
      <c r="J35" s="12"/>
      <c r="K35" s="12"/>
      <c r="L35" s="12"/>
      <c r="M35" s="12"/>
      <c r="N35" s="12"/>
      <c r="O35" s="12"/>
      <c r="Q35" s="5"/>
      <c r="R35" s="13"/>
      <c r="S35" s="12"/>
      <c r="T35" s="14" t="s">
        <v>30</v>
      </c>
      <c r="U35" s="28" t="s">
        <v>139</v>
      </c>
      <c r="V35" s="1" t="n">
        <v>1997</v>
      </c>
      <c r="W35" s="1" t="s">
        <v>140</v>
      </c>
      <c r="X35" s="29"/>
    </row>
    <row r="36" customFormat="false" ht="18" hidden="false" customHeight="true" outlineLevel="0" collapsed="false">
      <c r="A36" s="16" t="n">
        <v>34</v>
      </c>
      <c r="B36" s="17" t="s">
        <v>25</v>
      </c>
      <c r="C36" s="26" t="s">
        <v>147</v>
      </c>
      <c r="D36" s="8" t="s">
        <v>27</v>
      </c>
      <c r="E36" s="20" t="s">
        <v>148</v>
      </c>
      <c r="F36" s="16" t="n">
        <v>18</v>
      </c>
      <c r="G36" s="16" t="n">
        <f aca="false">F36*4</f>
        <v>72</v>
      </c>
      <c r="H36" s="21" t="n">
        <v>1189332</v>
      </c>
      <c r="I36" s="22" t="s">
        <v>149</v>
      </c>
      <c r="J36" s="12"/>
      <c r="K36" s="12"/>
      <c r="L36" s="12"/>
      <c r="M36" s="12"/>
      <c r="N36" s="12"/>
      <c r="O36" s="12"/>
      <c r="Q36" s="16"/>
      <c r="R36" s="23"/>
      <c r="S36" s="12"/>
      <c r="T36" s="14" t="s">
        <v>30</v>
      </c>
      <c r="U36" s="30"/>
      <c r="X36" s="25"/>
    </row>
    <row r="37" customFormat="false" ht="18" hidden="false" customHeight="true" outlineLevel="0" collapsed="false">
      <c r="A37" s="5" t="n">
        <v>35</v>
      </c>
      <c r="B37" s="6" t="s">
        <v>25</v>
      </c>
      <c r="C37" s="27" t="s">
        <v>150</v>
      </c>
      <c r="D37" s="19" t="s">
        <v>32</v>
      </c>
      <c r="E37" s="9" t="s">
        <v>151</v>
      </c>
      <c r="F37" s="5" t="n">
        <v>36</v>
      </c>
      <c r="G37" s="5" t="n">
        <f aca="false">F37*4</f>
        <v>144</v>
      </c>
      <c r="H37" s="10" t="n">
        <v>1602766</v>
      </c>
      <c r="I37" s="11" t="s">
        <v>152</v>
      </c>
      <c r="J37" s="12"/>
      <c r="K37" s="12"/>
      <c r="L37" s="12"/>
      <c r="M37" s="12"/>
      <c r="N37" s="12"/>
      <c r="O37" s="12"/>
      <c r="Q37" s="5"/>
      <c r="R37" s="13"/>
      <c r="S37" s="12"/>
      <c r="T37" s="14" t="s">
        <v>30</v>
      </c>
      <c r="U37" s="11"/>
      <c r="X37" s="15"/>
    </row>
    <row r="38" customFormat="false" ht="18" hidden="false" customHeight="true" outlineLevel="0" collapsed="false">
      <c r="A38" s="16" t="n">
        <v>36</v>
      </c>
      <c r="B38" s="17" t="s">
        <v>25</v>
      </c>
      <c r="C38" s="26" t="s">
        <v>153</v>
      </c>
      <c r="D38" s="8" t="s">
        <v>27</v>
      </c>
      <c r="E38" s="20" t="s">
        <v>154</v>
      </c>
      <c r="F38" s="16" t="n">
        <v>27</v>
      </c>
      <c r="G38" s="16" t="n">
        <f aca="false">F38*4</f>
        <v>108</v>
      </c>
      <c r="H38" s="21" t="n">
        <v>1372780</v>
      </c>
      <c r="I38" s="22" t="s">
        <v>155</v>
      </c>
      <c r="J38" s="12"/>
      <c r="K38" s="12"/>
      <c r="L38" s="12"/>
      <c r="M38" s="12"/>
      <c r="N38" s="12"/>
      <c r="O38" s="12"/>
      <c r="Q38" s="16"/>
      <c r="R38" s="23"/>
      <c r="S38" s="12"/>
      <c r="T38" s="14" t="s">
        <v>30</v>
      </c>
      <c r="U38" s="30"/>
      <c r="X38" s="25"/>
    </row>
    <row r="39" customFormat="false" ht="18" hidden="false" customHeight="true" outlineLevel="0" collapsed="false">
      <c r="A39" s="5" t="n">
        <v>37</v>
      </c>
      <c r="B39" s="6" t="s">
        <v>25</v>
      </c>
      <c r="C39" s="27" t="s">
        <v>156</v>
      </c>
      <c r="D39" s="8" t="s">
        <v>27</v>
      </c>
      <c r="E39" s="9" t="s">
        <v>157</v>
      </c>
      <c r="F39" s="5" t="n">
        <v>9</v>
      </c>
      <c r="G39" s="5" t="n">
        <f aca="false">F39*4</f>
        <v>36</v>
      </c>
      <c r="H39" s="10" t="n">
        <v>166549</v>
      </c>
      <c r="I39" s="40" t="s">
        <v>158</v>
      </c>
      <c r="J39" s="12"/>
      <c r="K39" s="12"/>
      <c r="L39" s="12"/>
      <c r="M39" s="12"/>
      <c r="N39" s="12"/>
      <c r="O39" s="12"/>
      <c r="Q39" s="5"/>
      <c r="R39" s="13"/>
      <c r="S39" s="12"/>
      <c r="T39" s="14" t="s">
        <v>30</v>
      </c>
      <c r="U39" s="40"/>
      <c r="X39" s="15"/>
    </row>
    <row r="40" customFormat="false" ht="18" hidden="false" customHeight="true" outlineLevel="0" collapsed="false">
      <c r="A40" s="16" t="n">
        <v>38</v>
      </c>
      <c r="B40" s="17" t="s">
        <v>25</v>
      </c>
      <c r="C40" s="26" t="s">
        <v>159</v>
      </c>
      <c r="D40" s="8" t="s">
        <v>27</v>
      </c>
      <c r="E40" s="20" t="s">
        <v>160</v>
      </c>
      <c r="F40" s="16" t="n">
        <v>18</v>
      </c>
      <c r="G40" s="16" t="n">
        <f aca="false">F40*4</f>
        <v>72</v>
      </c>
      <c r="H40" s="21" t="n">
        <v>919620</v>
      </c>
      <c r="I40" s="22" t="s">
        <v>161</v>
      </c>
      <c r="J40" s="12"/>
      <c r="K40" s="12"/>
      <c r="L40" s="12"/>
      <c r="M40" s="12"/>
      <c r="N40" s="12"/>
      <c r="O40" s="12"/>
      <c r="Q40" s="16"/>
      <c r="R40" s="23"/>
      <c r="S40" s="12"/>
      <c r="T40" s="14" t="s">
        <v>30</v>
      </c>
      <c r="U40" s="30"/>
      <c r="X40" s="25"/>
    </row>
    <row r="41" customFormat="false" ht="18" hidden="false" customHeight="true" outlineLevel="0" collapsed="false">
      <c r="A41" s="5" t="n">
        <v>39</v>
      </c>
      <c r="B41" s="6" t="s">
        <v>25</v>
      </c>
      <c r="C41" s="27" t="s">
        <v>162</v>
      </c>
      <c r="D41" s="19" t="s">
        <v>32</v>
      </c>
      <c r="E41" s="9" t="s">
        <v>163</v>
      </c>
      <c r="F41" s="5" t="n">
        <v>18</v>
      </c>
      <c r="G41" s="5" t="n">
        <f aca="false">F41*4</f>
        <v>72</v>
      </c>
      <c r="H41" s="10" t="n">
        <v>1492261</v>
      </c>
      <c r="I41" s="11" t="s">
        <v>164</v>
      </c>
      <c r="J41" s="12"/>
      <c r="K41" s="12"/>
      <c r="L41" s="12"/>
      <c r="M41" s="12"/>
      <c r="N41" s="12"/>
      <c r="O41" s="12"/>
      <c r="Q41" s="5"/>
      <c r="R41" s="13"/>
      <c r="S41" s="12"/>
      <c r="T41" s="14" t="s">
        <v>30</v>
      </c>
      <c r="U41" s="40" t="s">
        <v>165</v>
      </c>
      <c r="V41" s="1" t="n">
        <v>2005</v>
      </c>
      <c r="W41" s="1" t="s">
        <v>166</v>
      </c>
      <c r="X41" s="29"/>
    </row>
    <row r="42" customFormat="false" ht="18" hidden="false" customHeight="true" outlineLevel="0" collapsed="false">
      <c r="A42" s="16" t="n">
        <v>40</v>
      </c>
      <c r="B42" s="17" t="s">
        <v>25</v>
      </c>
      <c r="C42" s="26" t="s">
        <v>167</v>
      </c>
      <c r="D42" s="19" t="s">
        <v>32</v>
      </c>
      <c r="E42" s="20" t="s">
        <v>168</v>
      </c>
      <c r="F42" s="16" t="n">
        <v>18</v>
      </c>
      <c r="G42" s="16" t="n">
        <f aca="false">F42*4</f>
        <v>72</v>
      </c>
      <c r="H42" s="21" t="n">
        <v>868471</v>
      </c>
      <c r="I42" s="22" t="s">
        <v>169</v>
      </c>
      <c r="J42" s="12"/>
      <c r="K42" s="12"/>
      <c r="L42" s="12"/>
      <c r="M42" s="12"/>
      <c r="N42" s="12"/>
      <c r="O42" s="12"/>
      <c r="Q42" s="16"/>
      <c r="R42" s="23"/>
      <c r="S42" s="12"/>
      <c r="T42" s="14" t="s">
        <v>30</v>
      </c>
      <c r="U42" s="30"/>
      <c r="X42" s="25"/>
    </row>
    <row r="43" customFormat="false" ht="18" hidden="false" customHeight="true" outlineLevel="0" collapsed="false">
      <c r="A43" s="5" t="n">
        <v>41</v>
      </c>
      <c r="B43" s="6" t="s">
        <v>25</v>
      </c>
      <c r="C43" s="27" t="s">
        <v>170</v>
      </c>
      <c r="D43" s="8" t="s">
        <v>27</v>
      </c>
      <c r="E43" s="9" t="s">
        <v>168</v>
      </c>
      <c r="F43" s="5" t="n">
        <v>9</v>
      </c>
      <c r="G43" s="5" t="n">
        <f aca="false">F43*4</f>
        <v>36</v>
      </c>
      <c r="H43" s="10" t="n">
        <v>257744</v>
      </c>
      <c r="I43" s="11" t="s">
        <v>169</v>
      </c>
      <c r="J43" s="12"/>
      <c r="K43" s="12"/>
      <c r="L43" s="12"/>
      <c r="M43" s="12"/>
      <c r="N43" s="12"/>
      <c r="O43" s="12"/>
      <c r="Q43" s="5"/>
      <c r="R43" s="13"/>
      <c r="S43" s="12"/>
      <c r="T43" s="14" t="s">
        <v>30</v>
      </c>
      <c r="U43" s="40"/>
      <c r="X43" s="15"/>
    </row>
    <row r="44" customFormat="false" ht="18" hidden="false" customHeight="true" outlineLevel="0" collapsed="false">
      <c r="A44" s="16" t="n">
        <v>42</v>
      </c>
      <c r="B44" s="17" t="s">
        <v>25</v>
      </c>
      <c r="C44" s="26" t="s">
        <v>171</v>
      </c>
      <c r="D44" s="19" t="s">
        <v>32</v>
      </c>
      <c r="E44" s="20" t="s">
        <v>172</v>
      </c>
      <c r="F44" s="16" t="n">
        <v>27</v>
      </c>
      <c r="G44" s="16" t="n">
        <f aca="false">F44*4</f>
        <v>108</v>
      </c>
      <c r="H44" s="21" t="n">
        <v>1707465</v>
      </c>
      <c r="I44" s="22" t="s">
        <v>173</v>
      </c>
      <c r="J44" s="12"/>
      <c r="K44" s="12"/>
      <c r="L44" s="12"/>
      <c r="M44" s="12"/>
      <c r="N44" s="12"/>
      <c r="O44" s="12"/>
      <c r="Q44" s="16"/>
      <c r="R44" s="23"/>
      <c r="S44" s="12"/>
      <c r="T44" s="14" t="s">
        <v>30</v>
      </c>
      <c r="U44" s="30"/>
      <c r="X44" s="25"/>
    </row>
    <row r="45" customFormat="false" ht="18" hidden="false" customHeight="true" outlineLevel="0" collapsed="false">
      <c r="A45" s="5" t="n">
        <v>43</v>
      </c>
      <c r="B45" s="6" t="s">
        <v>25</v>
      </c>
      <c r="C45" s="27" t="s">
        <v>174</v>
      </c>
      <c r="D45" s="8" t="s">
        <v>27</v>
      </c>
      <c r="E45" s="9" t="s">
        <v>175</v>
      </c>
      <c r="F45" s="5" t="n">
        <v>27</v>
      </c>
      <c r="G45" s="5" t="n">
        <f aca="false">F45*4</f>
        <v>108</v>
      </c>
      <c r="H45" s="10" t="n">
        <v>1694212</v>
      </c>
      <c r="I45" s="11" t="s">
        <v>176</v>
      </c>
      <c r="J45" s="12"/>
      <c r="K45" s="12"/>
      <c r="L45" s="12"/>
      <c r="M45" s="12"/>
      <c r="N45" s="12"/>
      <c r="O45" s="12"/>
      <c r="Q45" s="5"/>
      <c r="R45" s="13"/>
      <c r="S45" s="12"/>
      <c r="T45" s="14" t="s">
        <v>30</v>
      </c>
      <c r="U45" s="40"/>
      <c r="X45" s="15"/>
    </row>
    <row r="46" customFormat="false" ht="18" hidden="false" customHeight="true" outlineLevel="0" collapsed="false">
      <c r="A46" s="16" t="n">
        <v>44</v>
      </c>
      <c r="B46" s="17" t="s">
        <v>25</v>
      </c>
      <c r="C46" s="26" t="s">
        <v>177</v>
      </c>
      <c r="D46" s="8" t="s">
        <v>27</v>
      </c>
      <c r="E46" s="20" t="s">
        <v>178</v>
      </c>
      <c r="F46" s="16" t="n">
        <v>9</v>
      </c>
      <c r="G46" s="16" t="n">
        <f aca="false">F46*4</f>
        <v>36</v>
      </c>
      <c r="H46" s="21" t="n">
        <v>411962</v>
      </c>
      <c r="I46" s="22" t="s">
        <v>179</v>
      </c>
      <c r="J46" s="12"/>
      <c r="K46" s="12"/>
      <c r="L46" s="12"/>
      <c r="M46" s="12"/>
      <c r="N46" s="12"/>
      <c r="O46" s="12"/>
      <c r="Q46" s="16"/>
      <c r="R46" s="23"/>
      <c r="S46" s="12"/>
      <c r="T46" s="14" t="s">
        <v>30</v>
      </c>
      <c r="U46" s="30"/>
      <c r="X46" s="25"/>
    </row>
    <row r="47" customFormat="false" ht="18" hidden="false" customHeight="true" outlineLevel="0" collapsed="false">
      <c r="A47" s="5" t="n">
        <v>45</v>
      </c>
      <c r="B47" s="6" t="s">
        <v>25</v>
      </c>
      <c r="C47" s="27" t="s">
        <v>180</v>
      </c>
      <c r="D47" s="8" t="s">
        <v>27</v>
      </c>
      <c r="E47" s="9" t="s">
        <v>181</v>
      </c>
      <c r="F47" s="5" t="n">
        <v>36</v>
      </c>
      <c r="G47" s="5" t="n">
        <f aca="false">F47*4</f>
        <v>144</v>
      </c>
      <c r="H47" s="10" t="n">
        <v>2252583</v>
      </c>
      <c r="I47" s="11" t="s">
        <v>182</v>
      </c>
      <c r="J47" s="12"/>
      <c r="K47" s="12"/>
      <c r="L47" s="12"/>
      <c r="M47" s="12"/>
      <c r="N47" s="12"/>
      <c r="O47" s="12"/>
      <c r="Q47" s="5"/>
      <c r="R47" s="13"/>
      <c r="S47" s="12"/>
      <c r="T47" s="14" t="s">
        <v>30</v>
      </c>
      <c r="U47" s="40" t="s">
        <v>183</v>
      </c>
      <c r="V47" s="1" t="n">
        <v>1999</v>
      </c>
      <c r="W47" s="1" t="s">
        <v>184</v>
      </c>
      <c r="X47" s="29"/>
    </row>
    <row r="48" customFormat="false" ht="18" hidden="false" customHeight="true" outlineLevel="0" collapsed="false">
      <c r="A48" s="16" t="n">
        <v>46</v>
      </c>
      <c r="B48" s="17" t="s">
        <v>25</v>
      </c>
      <c r="C48" s="26" t="s">
        <v>185</v>
      </c>
      <c r="D48" s="19" t="s">
        <v>32</v>
      </c>
      <c r="E48" s="20" t="s">
        <v>186</v>
      </c>
      <c r="F48" s="16" t="n">
        <v>18</v>
      </c>
      <c r="G48" s="16" t="n">
        <f aca="false">F48*4</f>
        <v>72</v>
      </c>
      <c r="H48" s="21" t="n">
        <v>874136</v>
      </c>
      <c r="I48" s="22" t="s">
        <v>187</v>
      </c>
      <c r="J48" s="12"/>
      <c r="K48" s="12"/>
      <c r="L48" s="12"/>
      <c r="M48" s="12"/>
      <c r="N48" s="12"/>
      <c r="O48" s="12"/>
      <c r="Q48" s="16"/>
      <c r="R48" s="23"/>
      <c r="S48" s="12"/>
      <c r="T48" s="14" t="s">
        <v>30</v>
      </c>
      <c r="U48" s="30"/>
      <c r="X48" s="25"/>
    </row>
    <row r="49" customFormat="false" ht="18" hidden="false" customHeight="true" outlineLevel="0" collapsed="false">
      <c r="A49" s="5" t="n">
        <v>47</v>
      </c>
      <c r="B49" s="6" t="s">
        <v>25</v>
      </c>
      <c r="C49" s="27" t="s">
        <v>188</v>
      </c>
      <c r="D49" s="19" t="s">
        <v>32</v>
      </c>
      <c r="E49" s="9" t="s">
        <v>189</v>
      </c>
      <c r="F49" s="5" t="n">
        <v>18</v>
      </c>
      <c r="G49" s="5" t="n">
        <f aca="false">F49*4</f>
        <v>72</v>
      </c>
      <c r="H49" s="10" t="n">
        <v>1079798</v>
      </c>
      <c r="I49" s="11" t="s">
        <v>190</v>
      </c>
      <c r="J49" s="12"/>
      <c r="K49" s="12"/>
      <c r="L49" s="12"/>
      <c r="M49" s="12"/>
      <c r="N49" s="12"/>
      <c r="O49" s="12"/>
      <c r="Q49" s="5"/>
      <c r="R49" s="13"/>
      <c r="S49" s="12"/>
      <c r="T49" s="14" t="s">
        <v>30</v>
      </c>
      <c r="U49" s="40"/>
      <c r="X49" s="15"/>
    </row>
    <row r="50" customFormat="false" ht="18" hidden="false" customHeight="true" outlineLevel="0" collapsed="false">
      <c r="A50" s="16" t="n">
        <v>48</v>
      </c>
      <c r="B50" s="17" t="s">
        <v>25</v>
      </c>
      <c r="C50" s="26" t="s">
        <v>191</v>
      </c>
      <c r="D50" s="19" t="s">
        <v>32</v>
      </c>
      <c r="E50" s="20" t="s">
        <v>192</v>
      </c>
      <c r="F50" s="16" t="n">
        <v>18</v>
      </c>
      <c r="G50" s="16" t="n">
        <f aca="false">F50*4</f>
        <v>72</v>
      </c>
      <c r="H50" s="21" t="n">
        <v>1081010</v>
      </c>
      <c r="I50" s="22" t="s">
        <v>193</v>
      </c>
      <c r="J50" s="12"/>
      <c r="K50" s="12"/>
      <c r="L50" s="12"/>
      <c r="M50" s="12"/>
      <c r="N50" s="12"/>
      <c r="O50" s="12"/>
      <c r="Q50" s="16"/>
      <c r="R50" s="23"/>
      <c r="S50" s="12"/>
      <c r="T50" s="14" t="s">
        <v>30</v>
      </c>
      <c r="U50" s="30" t="s">
        <v>194</v>
      </c>
      <c r="V50" s="1" t="n">
        <v>2007</v>
      </c>
      <c r="W50" s="1" t="s">
        <v>195</v>
      </c>
      <c r="X50" s="25"/>
    </row>
    <row r="51" customFormat="false" ht="18" hidden="false" customHeight="true" outlineLevel="0" collapsed="false">
      <c r="A51" s="5" t="n">
        <v>49</v>
      </c>
      <c r="B51" s="6" t="s">
        <v>25</v>
      </c>
      <c r="C51" s="27" t="s">
        <v>196</v>
      </c>
      <c r="D51" s="19" t="s">
        <v>32</v>
      </c>
      <c r="E51" s="9" t="s">
        <v>197</v>
      </c>
      <c r="F51" s="5" t="n">
        <v>36</v>
      </c>
      <c r="G51" s="5" t="n">
        <f aca="false">F51*4</f>
        <v>144</v>
      </c>
      <c r="H51" s="10" t="n">
        <v>1580588</v>
      </c>
      <c r="I51" s="11" t="s">
        <v>198</v>
      </c>
      <c r="J51" s="12"/>
      <c r="K51" s="12"/>
      <c r="L51" s="12"/>
      <c r="M51" s="12"/>
      <c r="N51" s="12"/>
      <c r="O51" s="12"/>
      <c r="Q51" s="5"/>
      <c r="R51" s="13"/>
      <c r="S51" s="12"/>
      <c r="T51" s="14" t="s">
        <v>30</v>
      </c>
      <c r="U51" s="40"/>
      <c r="X51" s="15"/>
    </row>
    <row r="52" customFormat="false" ht="18" hidden="false" customHeight="true" outlineLevel="0" collapsed="false">
      <c r="A52" s="16" t="n">
        <v>50</v>
      </c>
      <c r="B52" s="17" t="s">
        <v>25</v>
      </c>
      <c r="C52" s="26" t="s">
        <v>199</v>
      </c>
      <c r="D52" s="19" t="s">
        <v>32</v>
      </c>
      <c r="E52" s="20" t="s">
        <v>200</v>
      </c>
      <c r="F52" s="16" t="n">
        <v>18</v>
      </c>
      <c r="G52" s="16" t="n">
        <f aca="false">F52*4</f>
        <v>72</v>
      </c>
      <c r="H52" s="21" t="n">
        <v>980000</v>
      </c>
      <c r="I52" s="22" t="s">
        <v>201</v>
      </c>
      <c r="J52" s="12"/>
      <c r="K52" s="12"/>
      <c r="L52" s="12"/>
      <c r="M52" s="12"/>
      <c r="N52" s="12"/>
      <c r="O52" s="12"/>
      <c r="Q52" s="16"/>
      <c r="R52" s="23"/>
      <c r="S52" s="12"/>
      <c r="T52" s="14" t="s">
        <v>30</v>
      </c>
      <c r="U52" s="30" t="s">
        <v>202</v>
      </c>
      <c r="V52" s="1" t="n">
        <v>2008</v>
      </c>
      <c r="W52" s="1" t="s">
        <v>203</v>
      </c>
      <c r="X52" s="25"/>
    </row>
    <row r="53" customFormat="false" ht="18" hidden="false" customHeight="true" outlineLevel="0" collapsed="false">
      <c r="A53" s="5" t="n">
        <v>51</v>
      </c>
      <c r="B53" s="6" t="s">
        <v>25</v>
      </c>
      <c r="C53" s="27" t="s">
        <v>204</v>
      </c>
      <c r="D53" s="8" t="s">
        <v>27</v>
      </c>
      <c r="E53" s="9" t="s">
        <v>205</v>
      </c>
      <c r="F53" s="5" t="n">
        <v>9</v>
      </c>
      <c r="G53" s="5" t="n">
        <f aca="false">F53*4</f>
        <v>36</v>
      </c>
      <c r="H53" s="10" t="n">
        <v>264176</v>
      </c>
      <c r="I53" s="11" t="s">
        <v>206</v>
      </c>
      <c r="J53" s="12"/>
      <c r="K53" s="12"/>
      <c r="L53" s="12"/>
      <c r="M53" s="12"/>
      <c r="N53" s="12"/>
      <c r="O53" s="12"/>
      <c r="Q53" s="5"/>
      <c r="R53" s="13"/>
      <c r="S53" s="12"/>
      <c r="T53" s="14" t="s">
        <v>30</v>
      </c>
      <c r="U53" s="40"/>
      <c r="X53" s="15"/>
    </row>
    <row r="54" customFormat="false" ht="18" hidden="false" customHeight="true" outlineLevel="0" collapsed="false">
      <c r="A54" s="16" t="n">
        <v>52</v>
      </c>
      <c r="B54" s="17" t="s">
        <v>25</v>
      </c>
      <c r="C54" s="26" t="s">
        <v>207</v>
      </c>
      <c r="D54" s="8" t="s">
        <v>27</v>
      </c>
      <c r="E54" s="20" t="s">
        <v>208</v>
      </c>
      <c r="F54" s="16" t="n">
        <v>18</v>
      </c>
      <c r="G54" s="16" t="n">
        <f aca="false">F54*4</f>
        <v>72</v>
      </c>
      <c r="H54" s="21" t="n">
        <v>975509</v>
      </c>
      <c r="I54" s="22" t="s">
        <v>209</v>
      </c>
      <c r="J54" s="12"/>
      <c r="K54" s="12"/>
      <c r="L54" s="12"/>
      <c r="M54" s="12"/>
      <c r="N54" s="12"/>
      <c r="O54" s="12"/>
      <c r="Q54" s="16"/>
      <c r="R54" s="23"/>
      <c r="S54" s="12"/>
      <c r="T54" s="14" t="s">
        <v>30</v>
      </c>
      <c r="U54" s="30"/>
      <c r="X54" s="25"/>
    </row>
    <row r="55" customFormat="false" ht="18" hidden="false" customHeight="true" outlineLevel="0" collapsed="false">
      <c r="A55" s="5" t="n">
        <v>53</v>
      </c>
      <c r="B55" s="6" t="s">
        <v>25</v>
      </c>
      <c r="C55" s="27" t="s">
        <v>210</v>
      </c>
      <c r="D55" s="19" t="s">
        <v>32</v>
      </c>
      <c r="E55" s="9" t="s">
        <v>211</v>
      </c>
      <c r="F55" s="5" t="n">
        <v>18</v>
      </c>
      <c r="G55" s="5" t="n">
        <f aca="false">F55*4</f>
        <v>72</v>
      </c>
      <c r="H55" s="10" t="n">
        <v>878287</v>
      </c>
      <c r="I55" s="11" t="s">
        <v>212</v>
      </c>
      <c r="J55" s="12"/>
      <c r="K55" s="12"/>
      <c r="L55" s="12"/>
      <c r="M55" s="12"/>
      <c r="N55" s="12"/>
      <c r="O55" s="12"/>
      <c r="Q55" s="5"/>
      <c r="R55" s="13"/>
      <c r="S55" s="12"/>
      <c r="T55" s="14" t="s">
        <v>30</v>
      </c>
      <c r="U55" s="40"/>
      <c r="X55" s="15"/>
    </row>
    <row r="56" customFormat="false" ht="18" hidden="false" customHeight="true" outlineLevel="0" collapsed="false">
      <c r="A56" s="16" t="n">
        <v>54</v>
      </c>
      <c r="B56" s="17" t="s">
        <v>25</v>
      </c>
      <c r="C56" s="26" t="s">
        <v>213</v>
      </c>
      <c r="D56" s="8" t="s">
        <v>27</v>
      </c>
      <c r="E56" s="20" t="s">
        <v>214</v>
      </c>
      <c r="F56" s="16" t="n">
        <v>27</v>
      </c>
      <c r="G56" s="16" t="n">
        <f aca="false">F56*4</f>
        <v>108</v>
      </c>
      <c r="H56" s="21" t="n">
        <v>1472080</v>
      </c>
      <c r="I56" s="22" t="s">
        <v>215</v>
      </c>
      <c r="J56" s="12"/>
      <c r="K56" s="12"/>
      <c r="L56" s="12"/>
      <c r="M56" s="12"/>
      <c r="N56" s="12"/>
      <c r="O56" s="12"/>
      <c r="Q56" s="16"/>
      <c r="R56" s="23"/>
      <c r="S56" s="12"/>
      <c r="T56" s="14" t="s">
        <v>30</v>
      </c>
      <c r="U56" s="30"/>
      <c r="X56" s="25"/>
    </row>
    <row r="57" customFormat="false" ht="18" hidden="false" customHeight="true" outlineLevel="0" collapsed="false">
      <c r="A57" s="5" t="n">
        <v>55</v>
      </c>
      <c r="B57" s="6" t="s">
        <v>25</v>
      </c>
      <c r="C57" s="27" t="s">
        <v>216</v>
      </c>
      <c r="D57" s="8" t="s">
        <v>27</v>
      </c>
      <c r="E57" s="9" t="s">
        <v>217</v>
      </c>
      <c r="F57" s="5" t="n">
        <v>18</v>
      </c>
      <c r="G57" s="5" t="n">
        <f aca="false">F57*4</f>
        <v>72</v>
      </c>
      <c r="H57" s="10" t="n">
        <v>851634</v>
      </c>
      <c r="I57" s="11" t="s">
        <v>218</v>
      </c>
      <c r="J57" s="12"/>
      <c r="K57" s="12"/>
      <c r="L57" s="12"/>
      <c r="M57" s="12"/>
      <c r="N57" s="12"/>
      <c r="O57" s="12"/>
      <c r="Q57" s="5"/>
      <c r="R57" s="13"/>
      <c r="S57" s="12"/>
      <c r="T57" s="14" t="s">
        <v>30</v>
      </c>
      <c r="U57" s="40"/>
      <c r="X57" s="15"/>
    </row>
    <row r="58" customFormat="false" ht="18" hidden="false" customHeight="true" outlineLevel="0" collapsed="false">
      <c r="A58" s="16" t="n">
        <v>56</v>
      </c>
      <c r="B58" s="17" t="s">
        <v>25</v>
      </c>
      <c r="C58" s="26" t="s">
        <v>219</v>
      </c>
      <c r="D58" s="19" t="s">
        <v>32</v>
      </c>
      <c r="E58" s="20" t="s">
        <v>220</v>
      </c>
      <c r="F58" s="16" t="n">
        <v>18</v>
      </c>
      <c r="G58" s="16" t="n">
        <f aca="false">F58*4</f>
        <v>72</v>
      </c>
      <c r="H58" s="21" t="n">
        <v>1035150</v>
      </c>
      <c r="I58" s="22" t="s">
        <v>221</v>
      </c>
      <c r="J58" s="12"/>
      <c r="K58" s="12"/>
      <c r="L58" s="12"/>
      <c r="M58" s="12"/>
      <c r="N58" s="12"/>
      <c r="O58" s="12"/>
      <c r="Q58" s="16"/>
      <c r="R58" s="23"/>
      <c r="S58" s="12"/>
      <c r="T58" s="14" t="s">
        <v>30</v>
      </c>
      <c r="U58" s="30" t="s">
        <v>222</v>
      </c>
      <c r="V58" s="1" t="n">
        <v>1978</v>
      </c>
      <c r="W58" s="1" t="s">
        <v>223</v>
      </c>
      <c r="X58" s="25"/>
    </row>
    <row r="59" customFormat="false" ht="18" hidden="false" customHeight="true" outlineLevel="0" collapsed="false">
      <c r="A59" s="5" t="n">
        <v>57</v>
      </c>
      <c r="B59" s="6" t="s">
        <v>25</v>
      </c>
      <c r="C59" s="27" t="s">
        <v>224</v>
      </c>
      <c r="D59" s="19" t="s">
        <v>32</v>
      </c>
      <c r="E59" s="9" t="s">
        <v>225</v>
      </c>
      <c r="F59" s="5" t="n">
        <v>27</v>
      </c>
      <c r="G59" s="5" t="n">
        <f aca="false">F59*4</f>
        <v>108</v>
      </c>
      <c r="H59" s="10" t="n">
        <v>1275973</v>
      </c>
      <c r="I59" s="11" t="s">
        <v>226</v>
      </c>
      <c r="J59" s="12"/>
      <c r="K59" s="12"/>
      <c r="L59" s="12"/>
      <c r="M59" s="12"/>
      <c r="N59" s="12"/>
      <c r="O59" s="12"/>
      <c r="Q59" s="5"/>
      <c r="R59" s="13"/>
      <c r="S59" s="12"/>
      <c r="T59" s="14" t="s">
        <v>30</v>
      </c>
      <c r="U59" s="40" t="s">
        <v>227</v>
      </c>
      <c r="V59" s="1" t="n">
        <v>2001</v>
      </c>
      <c r="W59" s="1" t="s">
        <v>228</v>
      </c>
      <c r="X59" s="29"/>
    </row>
    <row r="60" customFormat="false" ht="18" hidden="false" customHeight="true" outlineLevel="0" collapsed="false">
      <c r="A60" s="16" t="n">
        <v>58</v>
      </c>
      <c r="B60" s="17" t="s">
        <v>25</v>
      </c>
      <c r="C60" s="26" t="s">
        <v>229</v>
      </c>
      <c r="D60" s="8" t="s">
        <v>27</v>
      </c>
      <c r="E60" s="20" t="s">
        <v>230</v>
      </c>
      <c r="F60" s="16" t="n">
        <v>9</v>
      </c>
      <c r="G60" s="16" t="n">
        <f aca="false">F60*4</f>
        <v>36</v>
      </c>
      <c r="H60" s="21" t="n">
        <v>241685</v>
      </c>
      <c r="I60" s="22" t="s">
        <v>231</v>
      </c>
      <c r="J60" s="12"/>
      <c r="K60" s="12"/>
      <c r="L60" s="12"/>
      <c r="M60" s="12"/>
      <c r="N60" s="12"/>
      <c r="O60" s="12"/>
      <c r="Q60" s="16"/>
      <c r="R60" s="23"/>
      <c r="S60" s="12"/>
      <c r="T60" s="14" t="s">
        <v>30</v>
      </c>
      <c r="U60" s="30"/>
      <c r="X60" s="25"/>
    </row>
    <row r="61" customFormat="false" ht="18" hidden="false" customHeight="true" outlineLevel="0" collapsed="false">
      <c r="A61" s="5" t="n">
        <v>59</v>
      </c>
      <c r="B61" s="6" t="s">
        <v>25</v>
      </c>
      <c r="C61" s="27" t="s">
        <v>232</v>
      </c>
      <c r="D61" s="8" t="s">
        <v>27</v>
      </c>
      <c r="E61" s="9" t="s">
        <v>233</v>
      </c>
      <c r="F61" s="5" t="n">
        <v>18</v>
      </c>
      <c r="G61" s="5" t="n">
        <f aca="false">F61*4</f>
        <v>72</v>
      </c>
      <c r="H61" s="10" t="n">
        <v>993332</v>
      </c>
      <c r="I61" s="11" t="s">
        <v>234</v>
      </c>
      <c r="J61" s="12"/>
      <c r="K61" s="12"/>
      <c r="L61" s="12"/>
      <c r="M61" s="12"/>
      <c r="N61" s="12"/>
      <c r="O61" s="12"/>
      <c r="Q61" s="5"/>
      <c r="R61" s="13"/>
      <c r="S61" s="12"/>
      <c r="T61" s="14" t="s">
        <v>30</v>
      </c>
      <c r="U61" s="40" t="s">
        <v>235</v>
      </c>
      <c r="V61" s="1" t="n">
        <v>2007</v>
      </c>
      <c r="W61" s="1" t="s">
        <v>236</v>
      </c>
      <c r="X61" s="29"/>
    </row>
    <row r="62" customFormat="false" ht="18" hidden="false" customHeight="true" outlineLevel="0" collapsed="false">
      <c r="A62" s="16" t="n">
        <v>60</v>
      </c>
      <c r="B62" s="17" t="s">
        <v>25</v>
      </c>
      <c r="C62" s="26" t="s">
        <v>237</v>
      </c>
      <c r="D62" s="8" t="s">
        <v>27</v>
      </c>
      <c r="E62" s="20" t="s">
        <v>238</v>
      </c>
      <c r="F62" s="16" t="n">
        <v>18</v>
      </c>
      <c r="G62" s="16" t="n">
        <f aca="false">F62*4</f>
        <v>72</v>
      </c>
      <c r="H62" s="21" t="n">
        <v>997843</v>
      </c>
      <c r="I62" s="22" t="s">
        <v>239</v>
      </c>
      <c r="J62" s="12"/>
      <c r="K62" s="12"/>
      <c r="L62" s="12"/>
      <c r="M62" s="12"/>
      <c r="N62" s="12"/>
      <c r="O62" s="12"/>
      <c r="Q62" s="16"/>
      <c r="R62" s="23"/>
      <c r="S62" s="12"/>
      <c r="T62" s="14" t="s">
        <v>30</v>
      </c>
      <c r="U62" s="30"/>
      <c r="X62" s="25"/>
    </row>
    <row r="63" customFormat="false" ht="18" hidden="false" customHeight="true" outlineLevel="0" collapsed="false">
      <c r="A63" s="5" t="n">
        <v>61</v>
      </c>
      <c r="B63" s="6" t="s">
        <v>25</v>
      </c>
      <c r="C63" s="27" t="s">
        <v>240</v>
      </c>
      <c r="D63" s="8" t="s">
        <v>27</v>
      </c>
      <c r="E63" s="9" t="s">
        <v>241</v>
      </c>
      <c r="F63" s="5" t="n">
        <v>27</v>
      </c>
      <c r="G63" s="5" t="n">
        <f aca="false">F63*4</f>
        <v>108</v>
      </c>
      <c r="H63" s="10" t="n">
        <v>1438632</v>
      </c>
      <c r="I63" s="11" t="s">
        <v>242</v>
      </c>
      <c r="J63" s="12"/>
      <c r="K63" s="12"/>
      <c r="L63" s="12"/>
      <c r="M63" s="12"/>
      <c r="N63" s="12"/>
      <c r="O63" s="12"/>
      <c r="Q63" s="5"/>
      <c r="R63" s="13"/>
      <c r="S63" s="12"/>
      <c r="T63" s="14" t="s">
        <v>30</v>
      </c>
      <c r="U63" s="40"/>
      <c r="X63" s="15"/>
    </row>
    <row r="64" customFormat="false" ht="18" hidden="false" customHeight="true" outlineLevel="0" collapsed="false">
      <c r="A64" s="16" t="n">
        <v>62</v>
      </c>
      <c r="B64" s="17" t="s">
        <v>25</v>
      </c>
      <c r="C64" s="26" t="s">
        <v>243</v>
      </c>
      <c r="D64" s="19" t="s">
        <v>32</v>
      </c>
      <c r="E64" s="20" t="s">
        <v>244</v>
      </c>
      <c r="F64" s="16" t="n">
        <v>36</v>
      </c>
      <c r="G64" s="16" t="n">
        <f aca="false">F64*4</f>
        <v>144</v>
      </c>
      <c r="H64" s="21" t="n">
        <v>1924173</v>
      </c>
      <c r="I64" s="30" t="s">
        <v>245</v>
      </c>
      <c r="J64" s="12"/>
      <c r="K64" s="12"/>
      <c r="L64" s="12"/>
      <c r="M64" s="12"/>
      <c r="N64" s="12"/>
      <c r="O64" s="12"/>
      <c r="Q64" s="16"/>
      <c r="R64" s="23"/>
      <c r="S64" s="12"/>
      <c r="T64" s="14" t="s">
        <v>30</v>
      </c>
      <c r="U64" s="30"/>
      <c r="X64" s="25"/>
    </row>
    <row r="65" customFormat="false" ht="18" hidden="false" customHeight="true" outlineLevel="0" collapsed="false">
      <c r="A65" s="5" t="n">
        <v>63</v>
      </c>
      <c r="B65" s="6" t="s">
        <v>25</v>
      </c>
      <c r="C65" s="27" t="s">
        <v>246</v>
      </c>
      <c r="D65" s="8" t="s">
        <v>27</v>
      </c>
      <c r="E65" s="9" t="s">
        <v>247</v>
      </c>
      <c r="F65" s="5" t="n">
        <v>18</v>
      </c>
      <c r="G65" s="5" t="n">
        <f aca="false">F65*4</f>
        <v>72</v>
      </c>
      <c r="H65" s="10" t="n">
        <v>651583</v>
      </c>
      <c r="I65" s="11" t="s">
        <v>248</v>
      </c>
      <c r="J65" s="12"/>
      <c r="K65" s="12"/>
      <c r="L65" s="12"/>
      <c r="M65" s="12"/>
      <c r="N65" s="12"/>
      <c r="O65" s="12"/>
      <c r="Q65" s="5"/>
      <c r="R65" s="13"/>
      <c r="S65" s="12"/>
      <c r="T65" s="14" t="s">
        <v>30</v>
      </c>
      <c r="U65" s="40"/>
      <c r="X65" s="15"/>
    </row>
    <row r="66" customFormat="false" ht="18" hidden="false" customHeight="true" outlineLevel="0" collapsed="false">
      <c r="A66" s="16" t="n">
        <v>64</v>
      </c>
      <c r="B66" s="17" t="s">
        <v>25</v>
      </c>
      <c r="C66" s="26" t="s">
        <v>249</v>
      </c>
      <c r="D66" s="19" t="s">
        <v>32</v>
      </c>
      <c r="E66" s="20" t="s">
        <v>250</v>
      </c>
      <c r="F66" s="16" t="n">
        <v>18</v>
      </c>
      <c r="G66" s="16" t="n">
        <f aca="false">F66*4</f>
        <v>72</v>
      </c>
      <c r="H66" s="21" t="n">
        <v>1401965</v>
      </c>
      <c r="I66" s="22" t="s">
        <v>251</v>
      </c>
      <c r="J66" s="12"/>
      <c r="K66" s="12"/>
      <c r="L66" s="12"/>
      <c r="M66" s="12"/>
      <c r="N66" s="12"/>
      <c r="O66" s="12"/>
      <c r="Q66" s="16"/>
      <c r="R66" s="23"/>
      <c r="S66" s="12"/>
      <c r="T66" s="14" t="s">
        <v>30</v>
      </c>
      <c r="U66" s="30"/>
      <c r="X66" s="25"/>
    </row>
    <row r="67" customFormat="false" ht="18" hidden="false" customHeight="true" outlineLevel="0" collapsed="false">
      <c r="A67" s="5" t="n">
        <v>65</v>
      </c>
      <c r="B67" s="6" t="s">
        <v>25</v>
      </c>
      <c r="C67" s="27" t="s">
        <v>252</v>
      </c>
      <c r="D67" s="19" t="s">
        <v>32</v>
      </c>
      <c r="E67" s="9" t="s">
        <v>253</v>
      </c>
      <c r="F67" s="5" t="n">
        <v>36</v>
      </c>
      <c r="G67" s="5" t="n">
        <f aca="false">F67*4</f>
        <v>144</v>
      </c>
      <c r="H67" s="10" t="n">
        <v>1480410</v>
      </c>
      <c r="I67" s="11" t="s">
        <v>254</v>
      </c>
      <c r="J67" s="12"/>
      <c r="K67" s="12"/>
      <c r="L67" s="12"/>
      <c r="M67" s="12"/>
      <c r="N67" s="12"/>
      <c r="O67" s="12"/>
      <c r="Q67" s="5"/>
      <c r="R67" s="13"/>
      <c r="S67" s="12"/>
      <c r="T67" s="14" t="s">
        <v>30</v>
      </c>
      <c r="U67" s="40"/>
      <c r="X67" s="15"/>
    </row>
    <row r="68" customFormat="false" ht="18" hidden="false" customHeight="true" outlineLevel="0" collapsed="false">
      <c r="A68" s="16" t="n">
        <v>66</v>
      </c>
      <c r="B68" s="17" t="s">
        <v>25</v>
      </c>
      <c r="C68" s="26" t="s">
        <v>255</v>
      </c>
      <c r="D68" s="8" t="s">
        <v>27</v>
      </c>
      <c r="E68" s="20" t="s">
        <v>256</v>
      </c>
      <c r="F68" s="16" t="n">
        <v>27</v>
      </c>
      <c r="G68" s="16" t="n">
        <f aca="false">F68*4</f>
        <v>108</v>
      </c>
      <c r="H68" s="21" t="n">
        <v>1702445</v>
      </c>
      <c r="I68" s="22" t="s">
        <v>257</v>
      </c>
      <c r="J68" s="12"/>
      <c r="K68" s="12"/>
      <c r="L68" s="12"/>
      <c r="M68" s="12"/>
      <c r="N68" s="12"/>
      <c r="O68" s="12"/>
      <c r="Q68" s="16"/>
      <c r="R68" s="23"/>
      <c r="S68" s="12"/>
      <c r="T68" s="14" t="s">
        <v>30</v>
      </c>
      <c r="U68" s="30"/>
      <c r="X68" s="25"/>
    </row>
    <row r="69" customFormat="false" ht="18" hidden="false" customHeight="true" outlineLevel="0" collapsed="false">
      <c r="A69" s="5" t="n">
        <v>67</v>
      </c>
      <c r="B69" s="6" t="s">
        <v>25</v>
      </c>
      <c r="C69" s="27" t="s">
        <v>258</v>
      </c>
      <c r="D69" s="19" t="s">
        <v>32</v>
      </c>
      <c r="E69" s="9" t="s">
        <v>259</v>
      </c>
      <c r="F69" s="5" t="n">
        <v>18</v>
      </c>
      <c r="G69" s="5" t="n">
        <f aca="false">F69*4</f>
        <v>72</v>
      </c>
      <c r="H69" s="10" t="n">
        <v>1048693</v>
      </c>
      <c r="I69" s="11" t="s">
        <v>260</v>
      </c>
      <c r="J69" s="12"/>
      <c r="K69" s="12"/>
      <c r="L69" s="12"/>
      <c r="M69" s="12"/>
      <c r="N69" s="12"/>
      <c r="O69" s="12"/>
      <c r="Q69" s="5"/>
      <c r="R69" s="13"/>
      <c r="S69" s="12"/>
      <c r="T69" s="14" t="s">
        <v>30</v>
      </c>
      <c r="U69" s="40" t="s">
        <v>261</v>
      </c>
      <c r="V69" s="1" t="n">
        <v>2008</v>
      </c>
      <c r="W69" s="1" t="s">
        <v>262</v>
      </c>
      <c r="X69" s="29"/>
    </row>
    <row r="70" customFormat="false" ht="18" hidden="false" customHeight="true" outlineLevel="0" collapsed="false">
      <c r="A70" s="16" t="n">
        <v>68</v>
      </c>
      <c r="B70" s="17" t="s">
        <v>25</v>
      </c>
      <c r="C70" s="26" t="s">
        <v>263</v>
      </c>
      <c r="D70" s="8" t="s">
        <v>27</v>
      </c>
      <c r="E70" s="20" t="s">
        <v>264</v>
      </c>
      <c r="F70" s="16" t="n">
        <v>27</v>
      </c>
      <c r="G70" s="16" t="n">
        <f aca="false">F70*4</f>
        <v>108</v>
      </c>
      <c r="H70" s="21" t="n">
        <v>1771550</v>
      </c>
      <c r="I70" s="22" t="s">
        <v>265</v>
      </c>
      <c r="J70" s="12"/>
      <c r="K70" s="12"/>
      <c r="L70" s="12"/>
      <c r="M70" s="12"/>
      <c r="N70" s="12"/>
      <c r="O70" s="12"/>
      <c r="Q70" s="16"/>
      <c r="R70" s="23"/>
      <c r="S70" s="12"/>
      <c r="T70" s="14" t="s">
        <v>30</v>
      </c>
      <c r="U70" s="30" t="s">
        <v>266</v>
      </c>
      <c r="V70" s="1" t="n">
        <v>1978</v>
      </c>
      <c r="W70" s="1" t="s">
        <v>267</v>
      </c>
      <c r="X70" s="25"/>
    </row>
    <row r="71" customFormat="false" ht="18" hidden="false" customHeight="true" outlineLevel="0" collapsed="false">
      <c r="A71" s="5" t="n">
        <v>69</v>
      </c>
      <c r="B71" s="6" t="s">
        <v>25</v>
      </c>
      <c r="C71" s="27" t="s">
        <v>268</v>
      </c>
      <c r="D71" s="8" t="s">
        <v>27</v>
      </c>
      <c r="E71" s="9" t="s">
        <v>269</v>
      </c>
      <c r="F71" s="5" t="n">
        <v>9</v>
      </c>
      <c r="G71" s="5" t="n">
        <f aca="false">F71*4</f>
        <v>36</v>
      </c>
      <c r="H71" s="10" t="n">
        <v>297073</v>
      </c>
      <c r="I71" s="11" t="s">
        <v>270</v>
      </c>
      <c r="J71" s="12"/>
      <c r="K71" s="12"/>
      <c r="L71" s="12"/>
      <c r="M71" s="12"/>
      <c r="N71" s="12"/>
      <c r="O71" s="12"/>
      <c r="Q71" s="5"/>
      <c r="R71" s="13"/>
      <c r="S71" s="12"/>
      <c r="T71" s="14" t="s">
        <v>30</v>
      </c>
      <c r="U71" s="40"/>
      <c r="X71" s="15"/>
    </row>
    <row r="72" customFormat="false" ht="18" hidden="false" customHeight="true" outlineLevel="0" collapsed="false">
      <c r="A72" s="16" t="n">
        <v>70</v>
      </c>
      <c r="B72" s="17" t="s">
        <v>25</v>
      </c>
      <c r="C72" s="26" t="s">
        <v>271</v>
      </c>
      <c r="D72" s="19" t="s">
        <v>32</v>
      </c>
      <c r="E72" s="20" t="s">
        <v>269</v>
      </c>
      <c r="F72" s="16" t="n">
        <v>18</v>
      </c>
      <c r="G72" s="16" t="n">
        <f aca="false">F72*4</f>
        <v>72</v>
      </c>
      <c r="H72" s="21" t="n">
        <v>1102867</v>
      </c>
      <c r="I72" s="22" t="s">
        <v>270</v>
      </c>
      <c r="J72" s="12"/>
      <c r="K72" s="12"/>
      <c r="L72" s="12"/>
      <c r="M72" s="12"/>
      <c r="N72" s="12"/>
      <c r="O72" s="12"/>
      <c r="Q72" s="16"/>
      <c r="R72" s="23"/>
      <c r="S72" s="12"/>
      <c r="T72" s="14" t="s">
        <v>30</v>
      </c>
      <c r="U72" s="30"/>
      <c r="X72" s="25"/>
    </row>
    <row r="73" customFormat="false" ht="18" hidden="false" customHeight="true" outlineLevel="0" collapsed="false">
      <c r="A73" s="5" t="n">
        <v>71</v>
      </c>
      <c r="B73" s="6" t="s">
        <v>25</v>
      </c>
      <c r="C73" s="27" t="s">
        <v>272</v>
      </c>
      <c r="D73" s="19" t="s">
        <v>32</v>
      </c>
      <c r="E73" s="9" t="s">
        <v>273</v>
      </c>
      <c r="F73" s="5" t="n">
        <v>27</v>
      </c>
      <c r="G73" s="5" t="n">
        <f aca="false">F73*4</f>
        <v>108</v>
      </c>
      <c r="H73" s="10" t="n">
        <v>1721377</v>
      </c>
      <c r="I73" s="11" t="s">
        <v>274</v>
      </c>
      <c r="J73" s="12"/>
      <c r="K73" s="12"/>
      <c r="L73" s="12"/>
      <c r="M73" s="12"/>
      <c r="N73" s="12"/>
      <c r="O73" s="12"/>
      <c r="Q73" s="5"/>
      <c r="R73" s="13"/>
      <c r="S73" s="12"/>
      <c r="T73" s="14" t="s">
        <v>30</v>
      </c>
      <c r="U73" s="40" t="s">
        <v>275</v>
      </c>
      <c r="V73" s="1" t="n">
        <v>1995</v>
      </c>
      <c r="W73" s="1" t="s">
        <v>276</v>
      </c>
      <c r="X73" s="29"/>
    </row>
    <row r="74" customFormat="false" ht="18" hidden="false" customHeight="true" outlineLevel="0" collapsed="false">
      <c r="A74" s="16" t="n">
        <v>72</v>
      </c>
      <c r="B74" s="17" t="s">
        <v>25</v>
      </c>
      <c r="C74" s="26" t="s">
        <v>277</v>
      </c>
      <c r="D74" s="8" t="s">
        <v>27</v>
      </c>
      <c r="E74" s="20" t="s">
        <v>278</v>
      </c>
      <c r="F74" s="16" t="n">
        <v>27</v>
      </c>
      <c r="G74" s="16" t="n">
        <f aca="false">F74*4</f>
        <v>108</v>
      </c>
      <c r="H74" s="21" t="n">
        <v>1379636</v>
      </c>
      <c r="I74" s="22" t="s">
        <v>279</v>
      </c>
      <c r="J74" s="12"/>
      <c r="K74" s="12"/>
      <c r="L74" s="12"/>
      <c r="M74" s="12"/>
      <c r="N74" s="12"/>
      <c r="O74" s="12"/>
      <c r="Q74" s="16"/>
      <c r="R74" s="23"/>
      <c r="S74" s="12"/>
      <c r="T74" s="14" t="s">
        <v>30</v>
      </c>
      <c r="U74" s="30"/>
      <c r="X74" s="25"/>
    </row>
    <row r="75" customFormat="false" ht="18" hidden="false" customHeight="true" outlineLevel="0" collapsed="false">
      <c r="A75" s="5" t="n">
        <v>73</v>
      </c>
      <c r="B75" s="6" t="s">
        <v>25</v>
      </c>
      <c r="C75" s="27" t="s">
        <v>280</v>
      </c>
      <c r="D75" s="8" t="s">
        <v>27</v>
      </c>
      <c r="E75" s="9" t="s">
        <v>281</v>
      </c>
      <c r="F75" s="5" t="n">
        <v>18</v>
      </c>
      <c r="G75" s="5" t="n">
        <f aca="false">F75*4</f>
        <v>72</v>
      </c>
      <c r="H75" s="10" t="n">
        <v>1032853</v>
      </c>
      <c r="I75" s="11" t="s">
        <v>282</v>
      </c>
      <c r="J75" s="12"/>
      <c r="K75" s="12"/>
      <c r="L75" s="12"/>
      <c r="M75" s="12"/>
      <c r="N75" s="12"/>
      <c r="O75" s="12"/>
      <c r="Q75" s="5"/>
      <c r="R75" s="13"/>
      <c r="S75" s="12"/>
      <c r="T75" s="14" t="s">
        <v>30</v>
      </c>
      <c r="U75" s="40"/>
      <c r="X75" s="15"/>
    </row>
    <row r="76" customFormat="false" ht="18" hidden="false" customHeight="true" outlineLevel="0" collapsed="false">
      <c r="A76" s="16" t="n">
        <v>74</v>
      </c>
      <c r="B76" s="17" t="s">
        <v>25</v>
      </c>
      <c r="C76" s="26" t="s">
        <v>283</v>
      </c>
      <c r="D76" s="19" t="s">
        <v>32</v>
      </c>
      <c r="E76" s="20" t="s">
        <v>284</v>
      </c>
      <c r="F76" s="16" t="n">
        <v>18</v>
      </c>
      <c r="G76" s="16" t="n">
        <f aca="false">F76*4</f>
        <v>72</v>
      </c>
      <c r="H76" s="21" t="n">
        <v>636434</v>
      </c>
      <c r="I76" s="30" t="s">
        <v>285</v>
      </c>
      <c r="J76" s="12"/>
      <c r="K76" s="12"/>
      <c r="L76" s="12"/>
      <c r="M76" s="12"/>
      <c r="N76" s="12"/>
      <c r="O76" s="12"/>
      <c r="Q76" s="16"/>
      <c r="R76" s="23"/>
      <c r="S76" s="12"/>
      <c r="T76" s="14" t="s">
        <v>30</v>
      </c>
      <c r="U76" s="30"/>
      <c r="X76" s="25"/>
    </row>
    <row r="77" customFormat="false" ht="18" hidden="false" customHeight="true" outlineLevel="0" collapsed="false">
      <c r="A77" s="5" t="n">
        <v>75</v>
      </c>
      <c r="B77" s="6" t="s">
        <v>25</v>
      </c>
      <c r="C77" s="27" t="s">
        <v>286</v>
      </c>
      <c r="D77" s="8" t="s">
        <v>27</v>
      </c>
      <c r="E77" s="9" t="s">
        <v>284</v>
      </c>
      <c r="F77" s="5" t="n">
        <v>18</v>
      </c>
      <c r="G77" s="5" t="n">
        <f aca="false">F77*4</f>
        <v>72</v>
      </c>
      <c r="H77" s="10" t="n">
        <v>755324</v>
      </c>
      <c r="I77" s="40" t="s">
        <v>285</v>
      </c>
      <c r="J77" s="12"/>
      <c r="K77" s="12"/>
      <c r="L77" s="12"/>
      <c r="M77" s="12"/>
      <c r="N77" s="12"/>
      <c r="O77" s="12"/>
      <c r="Q77" s="5"/>
      <c r="R77" s="13"/>
      <c r="S77" s="12"/>
      <c r="T77" s="14" t="s">
        <v>30</v>
      </c>
      <c r="U77" s="40"/>
      <c r="X77" s="15"/>
    </row>
    <row r="78" customFormat="false" ht="18" hidden="false" customHeight="true" outlineLevel="0" collapsed="false">
      <c r="A78" s="16" t="n">
        <v>76</v>
      </c>
      <c r="B78" s="17" t="s">
        <v>25</v>
      </c>
      <c r="C78" s="26" t="s">
        <v>287</v>
      </c>
      <c r="D78" s="19" t="s">
        <v>32</v>
      </c>
      <c r="E78" s="20" t="s">
        <v>288</v>
      </c>
      <c r="F78" s="16" t="n">
        <v>27</v>
      </c>
      <c r="G78" s="16" t="n">
        <f aca="false">F78*4</f>
        <v>108</v>
      </c>
      <c r="H78" s="21" t="n">
        <v>1744453</v>
      </c>
      <c r="I78" s="22" t="s">
        <v>289</v>
      </c>
      <c r="J78" s="12"/>
      <c r="K78" s="12"/>
      <c r="L78" s="12"/>
      <c r="M78" s="12"/>
      <c r="N78" s="12"/>
      <c r="O78" s="12"/>
      <c r="Q78" s="16"/>
      <c r="R78" s="23"/>
      <c r="S78" s="12"/>
      <c r="T78" s="14" t="s">
        <v>30</v>
      </c>
      <c r="U78" s="30"/>
      <c r="X78" s="25"/>
    </row>
    <row r="79" customFormat="false" ht="18" hidden="false" customHeight="true" outlineLevel="0" collapsed="false">
      <c r="A79" s="5" t="n">
        <v>77</v>
      </c>
      <c r="B79" s="6" t="s">
        <v>25</v>
      </c>
      <c r="C79" s="27" t="s">
        <v>290</v>
      </c>
      <c r="D79" s="8" t="s">
        <v>27</v>
      </c>
      <c r="E79" s="9" t="s">
        <v>291</v>
      </c>
      <c r="F79" s="5" t="n">
        <v>27</v>
      </c>
      <c r="G79" s="5" t="n">
        <f aca="false">F79*4</f>
        <v>108</v>
      </c>
      <c r="H79" s="10" t="n">
        <v>1229038</v>
      </c>
      <c r="I79" s="11" t="s">
        <v>292</v>
      </c>
      <c r="J79" s="12"/>
      <c r="K79" s="12"/>
      <c r="L79" s="12"/>
      <c r="M79" s="12"/>
      <c r="N79" s="12"/>
      <c r="O79" s="12"/>
      <c r="Q79" s="5"/>
      <c r="R79" s="13"/>
      <c r="S79" s="12"/>
      <c r="T79" s="14" t="s">
        <v>30</v>
      </c>
      <c r="U79" s="40"/>
      <c r="X79" s="15"/>
    </row>
    <row r="80" customFormat="false" ht="18" hidden="false" customHeight="true" outlineLevel="0" collapsed="false">
      <c r="A80" s="16" t="n">
        <v>78</v>
      </c>
      <c r="B80" s="17" t="s">
        <v>25</v>
      </c>
      <c r="C80" s="26" t="s">
        <v>293</v>
      </c>
      <c r="D80" s="8" t="s">
        <v>27</v>
      </c>
      <c r="E80" s="20" t="s">
        <v>294</v>
      </c>
      <c r="F80" s="16" t="n">
        <v>9</v>
      </c>
      <c r="G80" s="16" t="n">
        <f aca="false">F80*4</f>
        <v>36</v>
      </c>
      <c r="H80" s="21" t="n">
        <v>189464</v>
      </c>
      <c r="I80" s="22" t="s">
        <v>295</v>
      </c>
      <c r="J80" s="12"/>
      <c r="K80" s="12"/>
      <c r="L80" s="12"/>
      <c r="M80" s="12"/>
      <c r="N80" s="12"/>
      <c r="O80" s="12"/>
      <c r="Q80" s="16"/>
      <c r="R80" s="23"/>
      <c r="S80" s="12"/>
      <c r="T80" s="14" t="s">
        <v>30</v>
      </c>
      <c r="U80" s="30"/>
      <c r="X80" s="25"/>
    </row>
    <row r="81" customFormat="false" ht="18" hidden="false" customHeight="true" outlineLevel="0" collapsed="false">
      <c r="A81" s="5" t="n">
        <v>79</v>
      </c>
      <c r="B81" s="6" t="s">
        <v>25</v>
      </c>
      <c r="C81" s="27" t="s">
        <v>296</v>
      </c>
      <c r="D81" s="19" t="s">
        <v>32</v>
      </c>
      <c r="E81" s="9" t="s">
        <v>297</v>
      </c>
      <c r="F81" s="5" t="n">
        <v>36</v>
      </c>
      <c r="G81" s="5" t="n">
        <f aca="false">F81*4</f>
        <v>144</v>
      </c>
      <c r="H81" s="10" t="n">
        <v>2230679</v>
      </c>
      <c r="I81" s="11" t="s">
        <v>298</v>
      </c>
      <c r="J81" s="12"/>
      <c r="K81" s="12"/>
      <c r="L81" s="12"/>
      <c r="M81" s="12"/>
      <c r="N81" s="12"/>
      <c r="O81" s="12"/>
      <c r="Q81" s="5"/>
      <c r="R81" s="13"/>
      <c r="S81" s="12"/>
      <c r="T81" s="14" t="s">
        <v>30</v>
      </c>
      <c r="U81" s="40" t="s">
        <v>299</v>
      </c>
      <c r="V81" s="1" t="n">
        <v>2005</v>
      </c>
      <c r="W81" s="1" t="s">
        <v>300</v>
      </c>
      <c r="X81" s="29"/>
    </row>
    <row r="82" customFormat="false" ht="18" hidden="false" customHeight="true" outlineLevel="0" collapsed="false">
      <c r="A82" s="16" t="n">
        <v>80</v>
      </c>
      <c r="B82" s="17" t="s">
        <v>25</v>
      </c>
      <c r="C82" s="26" t="s">
        <v>301</v>
      </c>
      <c r="D82" s="8" t="s">
        <v>27</v>
      </c>
      <c r="E82" s="20" t="s">
        <v>302</v>
      </c>
      <c r="F82" s="16" t="n">
        <v>27</v>
      </c>
      <c r="G82" s="16" t="n">
        <f aca="false">F82*4</f>
        <v>108</v>
      </c>
      <c r="H82" s="21" t="n">
        <v>1147235</v>
      </c>
      <c r="I82" s="22" t="s">
        <v>303</v>
      </c>
      <c r="J82" s="12"/>
      <c r="K82" s="12"/>
      <c r="L82" s="12"/>
      <c r="M82" s="12"/>
      <c r="N82" s="12"/>
      <c r="O82" s="12"/>
      <c r="Q82" s="16"/>
      <c r="R82" s="23"/>
      <c r="S82" s="12"/>
      <c r="T82" s="14" t="s">
        <v>30</v>
      </c>
      <c r="U82" s="30"/>
      <c r="X82" s="25"/>
    </row>
    <row r="83" customFormat="false" ht="18" hidden="false" customHeight="true" outlineLevel="0" collapsed="false">
      <c r="A83" s="5" t="n">
        <v>81</v>
      </c>
      <c r="B83" s="6" t="s">
        <v>25</v>
      </c>
      <c r="C83" s="27" t="s">
        <v>304</v>
      </c>
      <c r="D83" s="19" t="s">
        <v>32</v>
      </c>
      <c r="E83" s="9" t="s">
        <v>305</v>
      </c>
      <c r="F83" s="5" t="n">
        <v>27</v>
      </c>
      <c r="G83" s="5" t="n">
        <f aca="false">F83*4</f>
        <v>108</v>
      </c>
      <c r="H83" s="10" t="n">
        <v>1767153</v>
      </c>
      <c r="I83" s="11" t="s">
        <v>306</v>
      </c>
      <c r="J83" s="12"/>
      <c r="K83" s="12"/>
      <c r="L83" s="12"/>
      <c r="M83" s="12"/>
      <c r="N83" s="12"/>
      <c r="O83" s="12"/>
      <c r="Q83" s="5"/>
      <c r="R83" s="13"/>
      <c r="S83" s="12"/>
      <c r="T83" s="14" t="s">
        <v>30</v>
      </c>
      <c r="U83" s="40"/>
      <c r="X83" s="15"/>
    </row>
    <row r="84" customFormat="false" ht="18" hidden="false" customHeight="true" outlineLevel="0" collapsed="false">
      <c r="A84" s="16" t="n">
        <v>82</v>
      </c>
      <c r="B84" s="17" t="s">
        <v>25</v>
      </c>
      <c r="C84" s="26" t="s">
        <v>307</v>
      </c>
      <c r="D84" s="8" t="s">
        <v>27</v>
      </c>
      <c r="E84" s="20" t="s">
        <v>305</v>
      </c>
      <c r="F84" s="16" t="n">
        <v>9</v>
      </c>
      <c r="G84" s="16" t="n">
        <f aca="false">F84*4</f>
        <v>36</v>
      </c>
      <c r="H84" s="21" t="n">
        <v>505924</v>
      </c>
      <c r="I84" s="22" t="s">
        <v>306</v>
      </c>
      <c r="J84" s="12"/>
      <c r="K84" s="12"/>
      <c r="L84" s="12"/>
      <c r="M84" s="12"/>
      <c r="N84" s="12"/>
      <c r="O84" s="12"/>
      <c r="Q84" s="16"/>
      <c r="R84" s="23"/>
      <c r="S84" s="12"/>
      <c r="T84" s="14" t="s">
        <v>30</v>
      </c>
      <c r="U84" s="30"/>
      <c r="X84" s="25"/>
    </row>
    <row r="85" customFormat="false" ht="18" hidden="false" customHeight="true" outlineLevel="0" collapsed="false">
      <c r="A85" s="5" t="n">
        <v>83</v>
      </c>
      <c r="B85" s="6" t="s">
        <v>25</v>
      </c>
      <c r="C85" s="27" t="s">
        <v>308</v>
      </c>
      <c r="D85" s="19" t="s">
        <v>32</v>
      </c>
      <c r="E85" s="9" t="s">
        <v>309</v>
      </c>
      <c r="F85" s="5" t="n">
        <v>18</v>
      </c>
      <c r="G85" s="5" t="n">
        <f aca="false">F85*4</f>
        <v>72</v>
      </c>
      <c r="H85" s="10" t="n">
        <v>1088870</v>
      </c>
      <c r="I85" s="11" t="s">
        <v>310</v>
      </c>
      <c r="J85" s="12"/>
      <c r="K85" s="12"/>
      <c r="L85" s="12"/>
      <c r="M85" s="12"/>
      <c r="N85" s="12"/>
      <c r="O85" s="12"/>
      <c r="Q85" s="5"/>
      <c r="R85" s="13"/>
      <c r="S85" s="12"/>
      <c r="T85" s="14" t="s">
        <v>30</v>
      </c>
      <c r="U85" s="40"/>
      <c r="X85" s="15"/>
    </row>
    <row r="86" customFormat="false" ht="18" hidden="false" customHeight="true" outlineLevel="0" collapsed="false">
      <c r="A86" s="16" t="n">
        <v>84</v>
      </c>
      <c r="B86" s="17" t="s">
        <v>25</v>
      </c>
      <c r="C86" s="26" t="s">
        <v>311</v>
      </c>
      <c r="D86" s="19" t="s">
        <v>32</v>
      </c>
      <c r="E86" s="20" t="s">
        <v>312</v>
      </c>
      <c r="F86" s="16" t="n">
        <v>18</v>
      </c>
      <c r="G86" s="16" t="n">
        <f aca="false">F86*4</f>
        <v>72</v>
      </c>
      <c r="H86" s="21" t="n">
        <v>1102660</v>
      </c>
      <c r="I86" s="22" t="s">
        <v>313</v>
      </c>
      <c r="J86" s="12"/>
      <c r="K86" s="12"/>
      <c r="L86" s="12"/>
      <c r="M86" s="12"/>
      <c r="N86" s="12"/>
      <c r="O86" s="12"/>
      <c r="Q86" s="16"/>
      <c r="R86" s="23"/>
      <c r="S86" s="12"/>
      <c r="T86" s="14" t="s">
        <v>30</v>
      </c>
      <c r="U86" s="30"/>
      <c r="X86" s="25"/>
    </row>
    <row r="87" customFormat="false" ht="18" hidden="false" customHeight="true" outlineLevel="0" collapsed="false">
      <c r="A87" s="5" t="n">
        <v>85</v>
      </c>
      <c r="B87" s="6" t="s">
        <v>25</v>
      </c>
      <c r="C87" s="27" t="s">
        <v>314</v>
      </c>
      <c r="D87" s="8" t="s">
        <v>27</v>
      </c>
      <c r="E87" s="9" t="s">
        <v>315</v>
      </c>
      <c r="F87" s="5" t="n">
        <v>27</v>
      </c>
      <c r="G87" s="5" t="n">
        <f aca="false">F87*4</f>
        <v>108</v>
      </c>
      <c r="H87" s="10" t="n">
        <v>1012580</v>
      </c>
      <c r="I87" s="11" t="s">
        <v>316</v>
      </c>
      <c r="J87" s="12"/>
      <c r="K87" s="12"/>
      <c r="L87" s="12"/>
      <c r="M87" s="12"/>
      <c r="N87" s="12"/>
      <c r="O87" s="12"/>
      <c r="Q87" s="5"/>
      <c r="R87" s="13"/>
      <c r="S87" s="12"/>
      <c r="T87" s="14" t="s">
        <v>30</v>
      </c>
      <c r="U87" s="40"/>
      <c r="X87" s="15"/>
    </row>
    <row r="88" customFormat="false" ht="18" hidden="false" customHeight="true" outlineLevel="0" collapsed="false">
      <c r="A88" s="16" t="n">
        <v>86</v>
      </c>
      <c r="B88" s="17" t="s">
        <v>25</v>
      </c>
      <c r="C88" s="26" t="s">
        <v>317</v>
      </c>
      <c r="D88" s="8" t="s">
        <v>27</v>
      </c>
      <c r="E88" s="20" t="s">
        <v>318</v>
      </c>
      <c r="F88" s="16" t="n">
        <v>27</v>
      </c>
      <c r="G88" s="16" t="n">
        <f aca="false">F88*4</f>
        <v>108</v>
      </c>
      <c r="H88" s="21" t="n">
        <v>1238246</v>
      </c>
      <c r="I88" s="22" t="s">
        <v>319</v>
      </c>
      <c r="J88" s="12"/>
      <c r="K88" s="12"/>
      <c r="L88" s="12"/>
      <c r="M88" s="12"/>
      <c r="N88" s="12"/>
      <c r="O88" s="12"/>
      <c r="Q88" s="16"/>
      <c r="R88" s="23"/>
      <c r="S88" s="12"/>
      <c r="T88" s="14" t="s">
        <v>30</v>
      </c>
      <c r="U88" s="30"/>
      <c r="X88" s="25"/>
    </row>
    <row r="89" customFormat="false" ht="18" hidden="false" customHeight="true" outlineLevel="0" collapsed="false">
      <c r="A89" s="5" t="n">
        <v>87</v>
      </c>
      <c r="B89" s="6" t="s">
        <v>25</v>
      </c>
      <c r="C89" s="27" t="s">
        <v>320</v>
      </c>
      <c r="D89" s="19" t="s">
        <v>32</v>
      </c>
      <c r="E89" s="9" t="s">
        <v>321</v>
      </c>
      <c r="F89" s="5" t="n">
        <v>18</v>
      </c>
      <c r="G89" s="5" t="n">
        <f aca="false">F89*4</f>
        <v>72</v>
      </c>
      <c r="H89" s="10" t="n">
        <v>1097458</v>
      </c>
      <c r="I89" s="11" t="s">
        <v>322</v>
      </c>
      <c r="J89" s="12"/>
      <c r="K89" s="12"/>
      <c r="L89" s="12"/>
      <c r="M89" s="12"/>
      <c r="N89" s="12"/>
      <c r="O89" s="12"/>
      <c r="Q89" s="5"/>
      <c r="R89" s="13"/>
      <c r="S89" s="12"/>
      <c r="T89" s="14" t="s">
        <v>30</v>
      </c>
      <c r="U89" s="40"/>
      <c r="X89" s="15"/>
    </row>
    <row r="90" customFormat="false" ht="18" hidden="false" customHeight="true" outlineLevel="0" collapsed="false">
      <c r="A90" s="16" t="n">
        <v>88</v>
      </c>
      <c r="B90" s="17" t="s">
        <v>25</v>
      </c>
      <c r="C90" s="26" t="s">
        <v>323</v>
      </c>
      <c r="D90" s="19" t="s">
        <v>32</v>
      </c>
      <c r="E90" s="20" t="s">
        <v>324</v>
      </c>
      <c r="F90" s="16" t="n">
        <v>27</v>
      </c>
      <c r="G90" s="16" t="n">
        <f aca="false">F90*4</f>
        <v>108</v>
      </c>
      <c r="H90" s="21" t="n">
        <v>1214791</v>
      </c>
      <c r="I90" s="30" t="s">
        <v>325</v>
      </c>
      <c r="J90" s="12"/>
      <c r="K90" s="12"/>
      <c r="L90" s="12"/>
      <c r="M90" s="12"/>
      <c r="N90" s="12"/>
      <c r="O90" s="12"/>
      <c r="Q90" s="16"/>
      <c r="R90" s="23"/>
      <c r="S90" s="12"/>
      <c r="T90" s="14" t="s">
        <v>30</v>
      </c>
      <c r="U90" s="30"/>
      <c r="X90" s="25"/>
    </row>
    <row r="91" customFormat="false" ht="18" hidden="false" customHeight="true" outlineLevel="0" collapsed="false">
      <c r="A91" s="5" t="n">
        <v>89</v>
      </c>
      <c r="B91" s="6" t="s">
        <v>25</v>
      </c>
      <c r="C91" s="27" t="s">
        <v>326</v>
      </c>
      <c r="D91" s="8" t="s">
        <v>27</v>
      </c>
      <c r="E91" s="9" t="s">
        <v>327</v>
      </c>
      <c r="F91" s="5" t="n">
        <v>9</v>
      </c>
      <c r="G91" s="5" t="n">
        <f aca="false">F91*4</f>
        <v>36</v>
      </c>
      <c r="H91" s="10" t="n">
        <v>483956</v>
      </c>
      <c r="I91" s="11" t="s">
        <v>328</v>
      </c>
      <c r="J91" s="12"/>
      <c r="K91" s="12"/>
      <c r="L91" s="12"/>
      <c r="M91" s="12"/>
      <c r="N91" s="12"/>
      <c r="O91" s="12"/>
      <c r="Q91" s="5"/>
      <c r="R91" s="13"/>
      <c r="S91" s="12"/>
      <c r="T91" s="14" t="s">
        <v>30</v>
      </c>
      <c r="U91" s="40"/>
      <c r="X91" s="15"/>
    </row>
    <row r="92" customFormat="false" ht="18" hidden="false" customHeight="true" outlineLevel="0" collapsed="false">
      <c r="A92" s="16" t="n">
        <v>90</v>
      </c>
      <c r="B92" s="17" t="s">
        <v>25</v>
      </c>
      <c r="C92" s="26" t="s">
        <v>329</v>
      </c>
      <c r="D92" s="8" t="s">
        <v>27</v>
      </c>
      <c r="E92" s="20" t="s">
        <v>330</v>
      </c>
      <c r="F92" s="16" t="n">
        <v>9</v>
      </c>
      <c r="G92" s="16" t="n">
        <f aca="false">F92*4</f>
        <v>36</v>
      </c>
      <c r="H92" s="21" t="n">
        <v>313921</v>
      </c>
      <c r="I92" s="22" t="s">
        <v>331</v>
      </c>
      <c r="J92" s="12"/>
      <c r="K92" s="12"/>
      <c r="L92" s="12"/>
      <c r="M92" s="12"/>
      <c r="N92" s="12"/>
      <c r="O92" s="12"/>
      <c r="Q92" s="16"/>
      <c r="R92" s="23"/>
      <c r="S92" s="12"/>
      <c r="T92" s="14" t="s">
        <v>30</v>
      </c>
      <c r="U92" s="30"/>
      <c r="X92" s="25"/>
    </row>
    <row r="93" customFormat="false" ht="18" hidden="false" customHeight="true" outlineLevel="0" collapsed="false">
      <c r="A93" s="5" t="n">
        <v>91</v>
      </c>
      <c r="B93" s="6" t="s">
        <v>25</v>
      </c>
      <c r="C93" s="27" t="s">
        <v>332</v>
      </c>
      <c r="D93" s="8" t="s">
        <v>27</v>
      </c>
      <c r="E93" s="9" t="s">
        <v>230</v>
      </c>
      <c r="F93" s="5" t="n">
        <v>9</v>
      </c>
      <c r="G93" s="5" t="n">
        <f aca="false">F93*4</f>
        <v>36</v>
      </c>
      <c r="H93" s="10" t="n">
        <v>221886</v>
      </c>
      <c r="I93" s="11" t="s">
        <v>333</v>
      </c>
      <c r="J93" s="12"/>
      <c r="K93" s="12"/>
      <c r="L93" s="12"/>
      <c r="M93" s="12"/>
      <c r="N93" s="12"/>
      <c r="O93" s="12"/>
      <c r="Q93" s="5"/>
      <c r="R93" s="13"/>
      <c r="S93" s="12"/>
      <c r="T93" s="14" t="s">
        <v>30</v>
      </c>
      <c r="U93" s="40" t="s">
        <v>334</v>
      </c>
      <c r="V93" s="1" t="n">
        <v>2005</v>
      </c>
      <c r="W93" s="1" t="s">
        <v>335</v>
      </c>
      <c r="X93" s="29"/>
    </row>
    <row r="94" customFormat="false" ht="18" hidden="false" customHeight="true" outlineLevel="0" collapsed="false">
      <c r="A94" s="16" t="n">
        <v>92</v>
      </c>
      <c r="B94" s="17" t="s">
        <v>25</v>
      </c>
      <c r="C94" s="26" t="s">
        <v>336</v>
      </c>
      <c r="D94" s="19" t="s">
        <v>32</v>
      </c>
      <c r="E94" s="20" t="s">
        <v>337</v>
      </c>
      <c r="F94" s="16" t="n">
        <v>27</v>
      </c>
      <c r="G94" s="16" t="n">
        <f aca="false">F94*4</f>
        <v>108</v>
      </c>
      <c r="H94" s="21" t="n">
        <v>1467443</v>
      </c>
      <c r="I94" s="22" t="s">
        <v>338</v>
      </c>
      <c r="J94" s="12"/>
      <c r="K94" s="12"/>
      <c r="L94" s="12"/>
      <c r="M94" s="12"/>
      <c r="N94" s="12"/>
      <c r="O94" s="12"/>
      <c r="Q94" s="16"/>
      <c r="R94" s="23"/>
      <c r="S94" s="12"/>
      <c r="T94" s="14" t="s">
        <v>30</v>
      </c>
      <c r="U94" s="30" t="s">
        <v>339</v>
      </c>
      <c r="V94" s="1" t="n">
        <v>2006</v>
      </c>
      <c r="W94" s="1" t="s">
        <v>340</v>
      </c>
      <c r="X94" s="25"/>
    </row>
    <row r="95" customFormat="false" ht="18" hidden="false" customHeight="true" outlineLevel="0" collapsed="false">
      <c r="A95" s="5" t="n">
        <v>93</v>
      </c>
      <c r="B95" s="6" t="s">
        <v>25</v>
      </c>
      <c r="C95" s="27" t="s">
        <v>341</v>
      </c>
      <c r="D95" s="8" t="s">
        <v>27</v>
      </c>
      <c r="E95" s="9" t="s">
        <v>342</v>
      </c>
      <c r="F95" s="5" t="n">
        <v>18</v>
      </c>
      <c r="G95" s="5" t="n">
        <f aca="false">F95*4</f>
        <v>72</v>
      </c>
      <c r="H95" s="10" t="n">
        <v>826514</v>
      </c>
      <c r="I95" s="11" t="s">
        <v>343</v>
      </c>
      <c r="J95" s="12"/>
      <c r="K95" s="12"/>
      <c r="L95" s="12"/>
      <c r="M95" s="12"/>
      <c r="N95" s="12"/>
      <c r="O95" s="12"/>
      <c r="Q95" s="5"/>
      <c r="R95" s="13"/>
      <c r="S95" s="12"/>
      <c r="T95" s="14" t="s">
        <v>30</v>
      </c>
      <c r="U95" s="40"/>
      <c r="X95" s="15"/>
    </row>
    <row r="96" customFormat="false" ht="18" hidden="false" customHeight="true" outlineLevel="0" collapsed="false">
      <c r="A96" s="16" t="n">
        <v>94</v>
      </c>
      <c r="B96" s="17" t="s">
        <v>25</v>
      </c>
      <c r="C96" s="26" t="s">
        <v>344</v>
      </c>
      <c r="D96" s="19" t="s">
        <v>32</v>
      </c>
      <c r="E96" s="20" t="s">
        <v>345</v>
      </c>
      <c r="F96" s="16" t="n">
        <v>18</v>
      </c>
      <c r="G96" s="16" t="n">
        <f aca="false">F96*4</f>
        <v>72</v>
      </c>
      <c r="H96" s="21" t="n">
        <v>946086</v>
      </c>
      <c r="I96" s="22" t="s">
        <v>346</v>
      </c>
      <c r="J96" s="12"/>
      <c r="K96" s="12"/>
      <c r="L96" s="12"/>
      <c r="M96" s="12"/>
      <c r="N96" s="12"/>
      <c r="O96" s="12"/>
      <c r="Q96" s="16"/>
      <c r="R96" s="23"/>
      <c r="S96" s="12"/>
      <c r="T96" s="14" t="s">
        <v>30</v>
      </c>
      <c r="U96" s="30" t="s">
        <v>347</v>
      </c>
      <c r="V96" s="1" t="n">
        <v>1991</v>
      </c>
      <c r="W96" s="1" t="s">
        <v>348</v>
      </c>
      <c r="X96" s="25"/>
    </row>
    <row r="97" customFormat="false" ht="18" hidden="false" customHeight="true" outlineLevel="0" collapsed="false">
      <c r="A97" s="5" t="n">
        <v>95</v>
      </c>
      <c r="B97" s="6" t="s">
        <v>25</v>
      </c>
      <c r="C97" s="27" t="s">
        <v>349</v>
      </c>
      <c r="D97" s="19" t="s">
        <v>32</v>
      </c>
      <c r="E97" s="9" t="s">
        <v>350</v>
      </c>
      <c r="F97" s="5" t="n">
        <v>27</v>
      </c>
      <c r="G97" s="5" t="n">
        <f aca="false">F97*4</f>
        <v>108</v>
      </c>
      <c r="H97" s="10" t="n">
        <v>1543334</v>
      </c>
      <c r="I97" s="11" t="s">
        <v>351</v>
      </c>
      <c r="J97" s="32" t="n">
        <v>4.6</v>
      </c>
      <c r="K97" s="31" t="n">
        <v>4.7</v>
      </c>
      <c r="L97" s="31" t="n">
        <v>5</v>
      </c>
      <c r="M97" s="31" t="n">
        <v>4.8</v>
      </c>
      <c r="N97" s="31" t="n">
        <v>4.7</v>
      </c>
      <c r="O97" s="41" t="n">
        <f aca="false">ROUND(AVERAGE(J97:N97),2)</f>
        <v>4.76</v>
      </c>
      <c r="Q97" s="5" t="n">
        <v>129</v>
      </c>
      <c r="R97" s="13" t="n">
        <v>71.7</v>
      </c>
      <c r="S97" s="34" t="s">
        <v>90</v>
      </c>
      <c r="T97" s="35" t="s">
        <v>91</v>
      </c>
      <c r="U97" s="42" t="s">
        <v>352</v>
      </c>
      <c r="V97" s="1" t="n">
        <v>2001</v>
      </c>
      <c r="W97" s="1" t="s">
        <v>353</v>
      </c>
      <c r="X97" s="29"/>
    </row>
    <row r="98" customFormat="false" ht="18" hidden="false" customHeight="true" outlineLevel="0" collapsed="false">
      <c r="A98" s="16" t="n">
        <v>96</v>
      </c>
      <c r="B98" s="17" t="s">
        <v>25</v>
      </c>
      <c r="C98" s="26" t="s">
        <v>354</v>
      </c>
      <c r="D98" s="8" t="s">
        <v>27</v>
      </c>
      <c r="E98" s="20" t="s">
        <v>355</v>
      </c>
      <c r="F98" s="16" t="n">
        <v>27</v>
      </c>
      <c r="G98" s="16" t="n">
        <f aca="false">F98*4</f>
        <v>108</v>
      </c>
      <c r="H98" s="21" t="n">
        <v>1386077</v>
      </c>
      <c r="I98" s="30" t="s">
        <v>356</v>
      </c>
      <c r="J98" s="12"/>
      <c r="K98" s="12"/>
      <c r="L98" s="12"/>
      <c r="M98" s="12"/>
      <c r="N98" s="12"/>
      <c r="O98" s="12"/>
      <c r="Q98" s="16"/>
      <c r="R98" s="23"/>
      <c r="S98" s="12"/>
      <c r="T98" s="14" t="s">
        <v>30</v>
      </c>
      <c r="U98" s="30"/>
      <c r="X98" s="25"/>
    </row>
    <row r="99" customFormat="false" ht="18" hidden="false" customHeight="true" outlineLevel="0" collapsed="false">
      <c r="A99" s="5" t="n">
        <v>97</v>
      </c>
      <c r="B99" s="6" t="s">
        <v>25</v>
      </c>
      <c r="C99" s="27" t="s">
        <v>357</v>
      </c>
      <c r="D99" s="19" t="s">
        <v>32</v>
      </c>
      <c r="E99" s="9" t="s">
        <v>358</v>
      </c>
      <c r="F99" s="5" t="n">
        <v>18</v>
      </c>
      <c r="G99" s="5" t="n">
        <f aca="false">F99*4</f>
        <v>72</v>
      </c>
      <c r="H99" s="10" t="n">
        <v>1026137</v>
      </c>
      <c r="I99" s="11" t="s">
        <v>359</v>
      </c>
      <c r="J99" s="12"/>
      <c r="K99" s="12"/>
      <c r="L99" s="12"/>
      <c r="M99" s="12"/>
      <c r="N99" s="12"/>
      <c r="O99" s="12"/>
      <c r="Q99" s="5"/>
      <c r="R99" s="13"/>
      <c r="S99" s="12"/>
      <c r="T99" s="14" t="s">
        <v>30</v>
      </c>
      <c r="U99" s="40" t="s">
        <v>360</v>
      </c>
      <c r="V99" s="1" t="n">
        <v>2001</v>
      </c>
      <c r="W99" s="1" t="s">
        <v>361</v>
      </c>
      <c r="X99" s="29"/>
    </row>
    <row r="100" customFormat="false" ht="18" hidden="false" customHeight="true" outlineLevel="0" collapsed="false">
      <c r="A100" s="16" t="n">
        <v>98</v>
      </c>
      <c r="B100" s="17" t="s">
        <v>25</v>
      </c>
      <c r="C100" s="26" t="s">
        <v>362</v>
      </c>
      <c r="D100" s="19" t="s">
        <v>32</v>
      </c>
      <c r="E100" s="20" t="s">
        <v>363</v>
      </c>
      <c r="F100" s="16" t="n">
        <v>27</v>
      </c>
      <c r="G100" s="16" t="n">
        <f aca="false">F100*4</f>
        <v>108</v>
      </c>
      <c r="H100" s="21" t="n">
        <v>1154046</v>
      </c>
      <c r="I100" s="22" t="s">
        <v>364</v>
      </c>
      <c r="J100" s="12"/>
      <c r="K100" s="12"/>
      <c r="L100" s="12"/>
      <c r="M100" s="12"/>
      <c r="N100" s="12"/>
      <c r="O100" s="12"/>
      <c r="Q100" s="16"/>
      <c r="R100" s="23"/>
      <c r="S100" s="12"/>
      <c r="T100" s="14" t="s">
        <v>30</v>
      </c>
      <c r="U100" s="30" t="s">
        <v>365</v>
      </c>
      <c r="V100" s="1" t="n">
        <v>2006</v>
      </c>
      <c r="W100" s="1" t="s">
        <v>366</v>
      </c>
      <c r="X100" s="25"/>
    </row>
    <row r="101" customFormat="false" ht="18" hidden="false" customHeight="true" outlineLevel="0" collapsed="false">
      <c r="A101" s="5" t="n">
        <v>99</v>
      </c>
      <c r="B101" s="6" t="s">
        <v>25</v>
      </c>
      <c r="C101" s="27" t="s">
        <v>367</v>
      </c>
      <c r="D101" s="8" t="s">
        <v>27</v>
      </c>
      <c r="E101" s="9" t="s">
        <v>368</v>
      </c>
      <c r="F101" s="5" t="n">
        <v>9</v>
      </c>
      <c r="G101" s="5" t="n">
        <f aca="false">F101*4</f>
        <v>36</v>
      </c>
      <c r="H101" s="10" t="n">
        <v>389684</v>
      </c>
      <c r="I101" s="11" t="s">
        <v>364</v>
      </c>
      <c r="J101" s="12"/>
      <c r="K101" s="12"/>
      <c r="L101" s="12"/>
      <c r="M101" s="12"/>
      <c r="N101" s="12"/>
      <c r="O101" s="12"/>
      <c r="Q101" s="5"/>
      <c r="R101" s="13"/>
      <c r="S101" s="12"/>
      <c r="T101" s="14" t="s">
        <v>30</v>
      </c>
      <c r="U101" s="40" t="s">
        <v>365</v>
      </c>
      <c r="V101" s="1" t="n">
        <v>2006</v>
      </c>
      <c r="W101" s="1" t="s">
        <v>366</v>
      </c>
      <c r="X101" s="29"/>
    </row>
    <row r="102" customFormat="false" ht="18" hidden="false" customHeight="true" outlineLevel="0" collapsed="false">
      <c r="A102" s="16" t="n">
        <v>100</v>
      </c>
      <c r="B102" s="17" t="s">
        <v>25</v>
      </c>
      <c r="C102" s="26" t="s">
        <v>369</v>
      </c>
      <c r="D102" s="8" t="s">
        <v>27</v>
      </c>
      <c r="E102" s="20" t="s">
        <v>370</v>
      </c>
      <c r="F102" s="16" t="n">
        <v>9</v>
      </c>
      <c r="G102" s="16" t="n">
        <f aca="false">F102*4</f>
        <v>36</v>
      </c>
      <c r="H102" s="21" t="n">
        <v>230094</v>
      </c>
      <c r="I102" s="22" t="s">
        <v>371</v>
      </c>
      <c r="J102" s="12"/>
      <c r="K102" s="12"/>
      <c r="L102" s="12"/>
      <c r="M102" s="12"/>
      <c r="N102" s="12"/>
      <c r="O102" s="12"/>
      <c r="Q102" s="16"/>
      <c r="R102" s="23"/>
      <c r="S102" s="12"/>
      <c r="T102" s="14" t="s">
        <v>30</v>
      </c>
      <c r="U102" s="30"/>
      <c r="X102" s="25"/>
    </row>
    <row r="103" customFormat="false" ht="18" hidden="false" customHeight="true" outlineLevel="0" collapsed="false">
      <c r="A103" s="5" t="n">
        <v>101</v>
      </c>
      <c r="B103" s="6" t="s">
        <v>25</v>
      </c>
      <c r="C103" s="27" t="s">
        <v>372</v>
      </c>
      <c r="D103" s="19" t="s">
        <v>32</v>
      </c>
      <c r="E103" s="9" t="s">
        <v>373</v>
      </c>
      <c r="F103" s="5" t="n">
        <v>36</v>
      </c>
      <c r="G103" s="5" t="n">
        <f aca="false">F103*4</f>
        <v>144</v>
      </c>
      <c r="H103" s="10" t="n">
        <v>2057832</v>
      </c>
      <c r="I103" s="11" t="s">
        <v>374</v>
      </c>
      <c r="J103" s="12"/>
      <c r="K103" s="12"/>
      <c r="L103" s="12"/>
      <c r="M103" s="12"/>
      <c r="N103" s="12"/>
      <c r="O103" s="12"/>
      <c r="Q103" s="5"/>
      <c r="R103" s="13"/>
      <c r="S103" s="12"/>
      <c r="T103" s="14" t="s">
        <v>30</v>
      </c>
      <c r="U103" s="40" t="s">
        <v>375</v>
      </c>
      <c r="V103" s="1" t="n">
        <v>1990</v>
      </c>
      <c r="W103" s="1" t="s">
        <v>376</v>
      </c>
      <c r="X103" s="29"/>
    </row>
    <row r="104" customFormat="false" ht="18" hidden="false" customHeight="true" outlineLevel="0" collapsed="false">
      <c r="A104" s="16" t="n">
        <v>102</v>
      </c>
      <c r="B104" s="17" t="s">
        <v>25</v>
      </c>
      <c r="C104" s="26" t="s">
        <v>377</v>
      </c>
      <c r="D104" s="8" t="s">
        <v>27</v>
      </c>
      <c r="E104" s="20" t="s">
        <v>378</v>
      </c>
      <c r="F104" s="16" t="n">
        <v>27</v>
      </c>
      <c r="G104" s="16" t="n">
        <f aca="false">F104*4</f>
        <v>108</v>
      </c>
      <c r="H104" s="21" t="n">
        <v>1385761</v>
      </c>
      <c r="I104" s="22" t="s">
        <v>379</v>
      </c>
      <c r="J104" s="12"/>
      <c r="K104" s="12"/>
      <c r="L104" s="12"/>
      <c r="M104" s="12"/>
      <c r="N104" s="12"/>
      <c r="O104" s="12"/>
      <c r="Q104" s="16"/>
      <c r="R104" s="23"/>
      <c r="S104" s="12"/>
      <c r="T104" s="14" t="s">
        <v>30</v>
      </c>
      <c r="U104" s="30"/>
      <c r="X104" s="25"/>
    </row>
    <row r="105" customFormat="false" ht="18" hidden="false" customHeight="true" outlineLevel="0" collapsed="false">
      <c r="A105" s="5" t="n">
        <v>103</v>
      </c>
      <c r="B105" s="6" t="s">
        <v>25</v>
      </c>
      <c r="C105" s="27" t="s">
        <v>380</v>
      </c>
      <c r="D105" s="19" t="s">
        <v>32</v>
      </c>
      <c r="E105" s="9" t="s">
        <v>381</v>
      </c>
      <c r="F105" s="5" t="n">
        <v>27</v>
      </c>
      <c r="G105" s="5" t="n">
        <f aca="false">F105*4</f>
        <v>108</v>
      </c>
      <c r="H105" s="10" t="n">
        <v>1457402</v>
      </c>
      <c r="I105" s="11" t="s">
        <v>382</v>
      </c>
      <c r="J105" s="12"/>
      <c r="K105" s="12"/>
      <c r="L105" s="12"/>
      <c r="M105" s="12"/>
      <c r="N105" s="12"/>
      <c r="O105" s="12"/>
      <c r="Q105" s="5"/>
      <c r="R105" s="13"/>
      <c r="S105" s="12"/>
      <c r="T105" s="14" t="s">
        <v>30</v>
      </c>
      <c r="U105" s="40"/>
      <c r="X105" s="15"/>
    </row>
    <row r="106" customFormat="false" ht="18" hidden="false" customHeight="true" outlineLevel="0" collapsed="false">
      <c r="A106" s="16" t="n">
        <v>104</v>
      </c>
      <c r="B106" s="17" t="s">
        <v>25</v>
      </c>
      <c r="C106" s="26" t="s">
        <v>383</v>
      </c>
      <c r="D106" s="19" t="s">
        <v>32</v>
      </c>
      <c r="E106" s="20" t="s">
        <v>384</v>
      </c>
      <c r="F106" s="16" t="n">
        <v>18</v>
      </c>
      <c r="G106" s="16" t="n">
        <f aca="false">F106*4</f>
        <v>72</v>
      </c>
      <c r="H106" s="21" t="n">
        <v>1094718</v>
      </c>
      <c r="I106" s="22" t="s">
        <v>385</v>
      </c>
      <c r="J106" s="12"/>
      <c r="K106" s="12"/>
      <c r="L106" s="12"/>
      <c r="M106" s="12"/>
      <c r="N106" s="12"/>
      <c r="O106" s="12"/>
      <c r="Q106" s="16"/>
      <c r="R106" s="23"/>
      <c r="S106" s="12"/>
      <c r="T106" s="14" t="s">
        <v>30</v>
      </c>
      <c r="U106" s="30"/>
      <c r="X106" s="25"/>
    </row>
    <row r="107" customFormat="false" ht="18" hidden="false" customHeight="true" outlineLevel="0" collapsed="false">
      <c r="A107" s="5" t="n">
        <v>105</v>
      </c>
      <c r="B107" s="6" t="s">
        <v>25</v>
      </c>
      <c r="C107" s="27" t="s">
        <v>386</v>
      </c>
      <c r="D107" s="19" t="s">
        <v>32</v>
      </c>
      <c r="E107" s="9" t="s">
        <v>387</v>
      </c>
      <c r="F107" s="5" t="n">
        <v>27</v>
      </c>
      <c r="G107" s="5" t="n">
        <f aca="false">F107*4</f>
        <v>108</v>
      </c>
      <c r="H107" s="10" t="n">
        <v>1527293</v>
      </c>
      <c r="I107" s="11" t="s">
        <v>388</v>
      </c>
      <c r="J107" s="12"/>
      <c r="K107" s="12"/>
      <c r="L107" s="12"/>
      <c r="M107" s="12"/>
      <c r="N107" s="12"/>
      <c r="O107" s="12"/>
      <c r="Q107" s="5"/>
      <c r="R107" s="13"/>
      <c r="S107" s="12"/>
      <c r="T107" s="14" t="s">
        <v>30</v>
      </c>
      <c r="U107" s="40"/>
      <c r="X107" s="15"/>
    </row>
    <row r="108" customFormat="false" ht="18" hidden="false" customHeight="true" outlineLevel="0" collapsed="false">
      <c r="A108" s="16" t="n">
        <v>106</v>
      </c>
      <c r="B108" s="17" t="s">
        <v>25</v>
      </c>
      <c r="C108" s="26" t="s">
        <v>389</v>
      </c>
      <c r="D108" s="8" t="s">
        <v>27</v>
      </c>
      <c r="E108" s="20" t="s">
        <v>390</v>
      </c>
      <c r="F108" s="16" t="n">
        <v>18</v>
      </c>
      <c r="G108" s="16" t="n">
        <f aca="false">F108*4</f>
        <v>72</v>
      </c>
      <c r="H108" s="21" t="n">
        <v>1085944</v>
      </c>
      <c r="I108" s="22" t="s">
        <v>391</v>
      </c>
      <c r="J108" s="12"/>
      <c r="K108" s="12"/>
      <c r="L108" s="12"/>
      <c r="M108" s="12"/>
      <c r="N108" s="12"/>
      <c r="O108" s="12"/>
      <c r="Q108" s="16"/>
      <c r="R108" s="23"/>
      <c r="S108" s="12"/>
      <c r="T108" s="14" t="s">
        <v>30</v>
      </c>
      <c r="U108" s="30"/>
      <c r="X108" s="25"/>
    </row>
    <row r="109" customFormat="false" ht="18" hidden="false" customHeight="true" outlineLevel="0" collapsed="false">
      <c r="A109" s="5" t="n">
        <v>107</v>
      </c>
      <c r="B109" s="6" t="s">
        <v>25</v>
      </c>
      <c r="C109" s="27" t="s">
        <v>392</v>
      </c>
      <c r="D109" s="19" t="s">
        <v>32</v>
      </c>
      <c r="E109" s="9" t="s">
        <v>393</v>
      </c>
      <c r="F109" s="5" t="n">
        <v>18</v>
      </c>
      <c r="G109" s="5" t="n">
        <f aca="false">F109*4</f>
        <v>72</v>
      </c>
      <c r="H109" s="10" t="n">
        <v>1078729</v>
      </c>
      <c r="I109" s="40" t="s">
        <v>394</v>
      </c>
      <c r="J109" s="12"/>
      <c r="K109" s="12"/>
      <c r="L109" s="12"/>
      <c r="M109" s="12"/>
      <c r="N109" s="12"/>
      <c r="O109" s="12"/>
      <c r="Q109" s="5"/>
      <c r="R109" s="13"/>
      <c r="S109" s="12"/>
      <c r="T109" s="14" t="s">
        <v>30</v>
      </c>
      <c r="U109" s="40"/>
      <c r="X109" s="15"/>
    </row>
    <row r="110" customFormat="false" ht="18" hidden="false" customHeight="true" outlineLevel="0" collapsed="false">
      <c r="A110" s="16" t="n">
        <v>108</v>
      </c>
      <c r="B110" s="17" t="s">
        <v>25</v>
      </c>
      <c r="C110" s="26" t="s">
        <v>395</v>
      </c>
      <c r="D110" s="8" t="s">
        <v>27</v>
      </c>
      <c r="E110" s="20" t="s">
        <v>396</v>
      </c>
      <c r="F110" s="16" t="n">
        <v>18</v>
      </c>
      <c r="G110" s="16" t="n">
        <f aca="false">F110*4</f>
        <v>72</v>
      </c>
      <c r="H110" s="21" t="n">
        <v>1057645</v>
      </c>
      <c r="I110" s="30" t="s">
        <v>397</v>
      </c>
      <c r="J110" s="12"/>
      <c r="K110" s="12"/>
      <c r="L110" s="12"/>
      <c r="M110" s="12"/>
      <c r="N110" s="12"/>
      <c r="O110" s="12"/>
      <c r="Q110" s="16"/>
      <c r="R110" s="23"/>
      <c r="S110" s="12"/>
      <c r="T110" s="14" t="s">
        <v>30</v>
      </c>
      <c r="U110" s="30"/>
      <c r="X110" s="25"/>
    </row>
    <row r="111" customFormat="false" ht="18" hidden="false" customHeight="true" outlineLevel="0" collapsed="false">
      <c r="A111" s="5" t="n">
        <v>109</v>
      </c>
      <c r="B111" s="6" t="s">
        <v>25</v>
      </c>
      <c r="C111" s="27" t="s">
        <v>398</v>
      </c>
      <c r="D111" s="19" t="s">
        <v>32</v>
      </c>
      <c r="E111" s="9" t="s">
        <v>399</v>
      </c>
      <c r="F111" s="5" t="n">
        <v>27</v>
      </c>
      <c r="G111" s="5" t="n">
        <f aca="false">F111*4</f>
        <v>108</v>
      </c>
      <c r="H111" s="10" t="n">
        <v>1351017</v>
      </c>
      <c r="I111" s="11" t="s">
        <v>56</v>
      </c>
      <c r="J111" s="12"/>
      <c r="K111" s="12"/>
      <c r="L111" s="12"/>
      <c r="M111" s="12"/>
      <c r="N111" s="12"/>
      <c r="O111" s="12"/>
      <c r="Q111" s="5"/>
      <c r="R111" s="13"/>
      <c r="S111" s="12"/>
      <c r="T111" s="14" t="s">
        <v>30</v>
      </c>
      <c r="U111" s="40" t="s">
        <v>400</v>
      </c>
      <c r="V111" s="1" t="n">
        <v>1970</v>
      </c>
      <c r="W111" s="1" t="s">
        <v>401</v>
      </c>
      <c r="X111" s="29"/>
    </row>
    <row r="112" customFormat="false" ht="18" hidden="false" customHeight="true" outlineLevel="0" collapsed="false">
      <c r="A112" s="16" t="n">
        <v>110</v>
      </c>
      <c r="B112" s="17" t="s">
        <v>25</v>
      </c>
      <c r="C112" s="26" t="s">
        <v>402</v>
      </c>
      <c r="D112" s="8" t="s">
        <v>27</v>
      </c>
      <c r="E112" s="20" t="s">
        <v>403</v>
      </c>
      <c r="F112" s="16" t="n">
        <v>9</v>
      </c>
      <c r="G112" s="16" t="n">
        <f aca="false">F112*4</f>
        <v>36</v>
      </c>
      <c r="H112" s="21" t="n">
        <v>229181</v>
      </c>
      <c r="I112" s="22" t="s">
        <v>404</v>
      </c>
      <c r="J112" s="12"/>
      <c r="K112" s="12"/>
      <c r="L112" s="12"/>
      <c r="M112" s="12"/>
      <c r="N112" s="12"/>
      <c r="O112" s="12"/>
      <c r="Q112" s="16"/>
      <c r="R112" s="23"/>
      <c r="S112" s="12"/>
      <c r="T112" s="14" t="s">
        <v>30</v>
      </c>
      <c r="U112" s="30" t="s">
        <v>400</v>
      </c>
      <c r="V112" s="1" t="n">
        <v>1970</v>
      </c>
      <c r="W112" s="1" t="s">
        <v>401</v>
      </c>
      <c r="X112" s="25"/>
    </row>
    <row r="113" customFormat="false" ht="18" hidden="false" customHeight="true" outlineLevel="0" collapsed="false">
      <c r="A113" s="5" t="n">
        <v>111</v>
      </c>
      <c r="B113" s="6" t="s">
        <v>25</v>
      </c>
      <c r="C113" s="27" t="s">
        <v>405</v>
      </c>
      <c r="D113" s="8" t="s">
        <v>27</v>
      </c>
      <c r="E113" s="9" t="s">
        <v>406</v>
      </c>
      <c r="F113" s="5" t="n">
        <v>27</v>
      </c>
      <c r="G113" s="5" t="n">
        <f aca="false">F113*4</f>
        <v>108</v>
      </c>
      <c r="H113" s="10" t="n">
        <v>1359581</v>
      </c>
      <c r="I113" s="11" t="s">
        <v>407</v>
      </c>
      <c r="J113" s="12"/>
      <c r="K113" s="12"/>
      <c r="L113" s="12"/>
      <c r="M113" s="12"/>
      <c r="N113" s="12"/>
      <c r="O113" s="12"/>
      <c r="Q113" s="5"/>
      <c r="R113" s="13"/>
      <c r="S113" s="12"/>
      <c r="T113" s="14" t="s">
        <v>30</v>
      </c>
      <c r="U113" s="40"/>
      <c r="X113" s="15"/>
    </row>
    <row r="114" customFormat="false" ht="18" hidden="false" customHeight="true" outlineLevel="0" collapsed="false">
      <c r="A114" s="16" t="n">
        <v>112</v>
      </c>
      <c r="B114" s="17" t="s">
        <v>25</v>
      </c>
      <c r="C114" s="26" t="s">
        <v>408</v>
      </c>
      <c r="D114" s="19" t="s">
        <v>32</v>
      </c>
      <c r="E114" s="20" t="s">
        <v>409</v>
      </c>
      <c r="F114" s="16" t="n">
        <v>18</v>
      </c>
      <c r="G114" s="16" t="n">
        <f aca="false">F114*4</f>
        <v>72</v>
      </c>
      <c r="H114" s="21" t="n">
        <v>926085</v>
      </c>
      <c r="I114" s="22" t="s">
        <v>410</v>
      </c>
      <c r="J114" s="12"/>
      <c r="K114" s="12"/>
      <c r="L114" s="12"/>
      <c r="M114" s="12"/>
      <c r="N114" s="12"/>
      <c r="O114" s="12"/>
      <c r="Q114" s="16"/>
      <c r="R114" s="23"/>
      <c r="S114" s="12"/>
      <c r="T114" s="14" t="s">
        <v>30</v>
      </c>
      <c r="U114" s="30" t="s">
        <v>411</v>
      </c>
      <c r="V114" s="1" t="n">
        <v>2008</v>
      </c>
      <c r="W114" s="1" t="s">
        <v>412</v>
      </c>
      <c r="X114" s="25"/>
    </row>
    <row r="115" customFormat="false" ht="18" hidden="false" customHeight="true" outlineLevel="0" collapsed="false">
      <c r="A115" s="5" t="n">
        <v>113</v>
      </c>
      <c r="B115" s="6" t="s">
        <v>25</v>
      </c>
      <c r="C115" s="27" t="s">
        <v>413</v>
      </c>
      <c r="D115" s="8" t="s">
        <v>27</v>
      </c>
      <c r="E115" s="9" t="s">
        <v>414</v>
      </c>
      <c r="F115" s="5" t="n">
        <v>18</v>
      </c>
      <c r="G115" s="5" t="n">
        <f aca="false">F115*4</f>
        <v>72</v>
      </c>
      <c r="H115" s="10" t="n">
        <v>777560</v>
      </c>
      <c r="I115" s="40" t="s">
        <v>415</v>
      </c>
      <c r="J115" s="12"/>
      <c r="K115" s="12"/>
      <c r="L115" s="12"/>
      <c r="M115" s="12"/>
      <c r="N115" s="12"/>
      <c r="O115" s="12"/>
      <c r="Q115" s="5"/>
      <c r="R115" s="13"/>
      <c r="S115" s="12"/>
      <c r="T115" s="14" t="s">
        <v>30</v>
      </c>
      <c r="U115" s="40"/>
      <c r="X115" s="15"/>
    </row>
    <row r="116" customFormat="false" ht="18" hidden="false" customHeight="true" outlineLevel="0" collapsed="false">
      <c r="A116" s="16" t="n">
        <v>114</v>
      </c>
      <c r="B116" s="17" t="s">
        <v>25</v>
      </c>
      <c r="C116" s="26" t="s">
        <v>416</v>
      </c>
      <c r="D116" s="19" t="s">
        <v>32</v>
      </c>
      <c r="E116" s="20" t="s">
        <v>417</v>
      </c>
      <c r="F116" s="16" t="n">
        <v>27</v>
      </c>
      <c r="G116" s="16" t="n">
        <f aca="false">F116*4</f>
        <v>108</v>
      </c>
      <c r="H116" s="21" t="n">
        <v>1088973</v>
      </c>
      <c r="I116" s="22" t="s">
        <v>418</v>
      </c>
      <c r="J116" s="12"/>
      <c r="K116" s="12"/>
      <c r="L116" s="12"/>
      <c r="M116" s="12"/>
      <c r="N116" s="12"/>
      <c r="O116" s="12"/>
      <c r="Q116" s="16"/>
      <c r="R116" s="23"/>
      <c r="S116" s="12"/>
      <c r="T116" s="14" t="s">
        <v>30</v>
      </c>
      <c r="U116" s="30"/>
      <c r="X116" s="25"/>
    </row>
    <row r="117" customFormat="false" ht="18" hidden="false" customHeight="true" outlineLevel="0" collapsed="false">
      <c r="A117" s="5" t="n">
        <v>115</v>
      </c>
      <c r="B117" s="6" t="s">
        <v>25</v>
      </c>
      <c r="C117" s="27" t="s">
        <v>419</v>
      </c>
      <c r="D117" s="19" t="s">
        <v>32</v>
      </c>
      <c r="E117" s="9" t="s">
        <v>420</v>
      </c>
      <c r="F117" s="5" t="n">
        <v>18</v>
      </c>
      <c r="G117" s="5" t="n">
        <f aca="false">F117*4</f>
        <v>72</v>
      </c>
      <c r="H117" s="10" t="n">
        <v>1258590</v>
      </c>
      <c r="I117" s="11" t="s">
        <v>421</v>
      </c>
      <c r="J117" s="12"/>
      <c r="K117" s="12"/>
      <c r="L117" s="12"/>
      <c r="M117" s="12"/>
      <c r="N117" s="12"/>
      <c r="O117" s="12"/>
      <c r="Q117" s="5"/>
      <c r="R117" s="13"/>
      <c r="S117" s="12"/>
      <c r="T117" s="14" t="s">
        <v>30</v>
      </c>
      <c r="U117" s="40"/>
      <c r="X117" s="15"/>
    </row>
    <row r="118" customFormat="false" ht="18" hidden="false" customHeight="true" outlineLevel="0" collapsed="false">
      <c r="A118" s="16" t="n">
        <v>116</v>
      </c>
      <c r="B118" s="17" t="s">
        <v>25</v>
      </c>
      <c r="C118" s="26" t="s">
        <v>422</v>
      </c>
      <c r="D118" s="8" t="s">
        <v>27</v>
      </c>
      <c r="E118" s="20" t="s">
        <v>423</v>
      </c>
      <c r="F118" s="16" t="n">
        <v>27</v>
      </c>
      <c r="G118" s="16" t="n">
        <f aca="false">F118*4</f>
        <v>108</v>
      </c>
      <c r="H118" s="21" t="n">
        <v>1537924</v>
      </c>
      <c r="I118" s="22" t="s">
        <v>424</v>
      </c>
      <c r="J118" s="12"/>
      <c r="K118" s="12"/>
      <c r="L118" s="12"/>
      <c r="M118" s="12"/>
      <c r="N118" s="12"/>
      <c r="O118" s="12"/>
      <c r="Q118" s="16"/>
      <c r="R118" s="23"/>
      <c r="S118" s="12"/>
      <c r="T118" s="14" t="s">
        <v>30</v>
      </c>
      <c r="U118" s="30"/>
      <c r="X118" s="25"/>
    </row>
    <row r="119" customFormat="false" ht="18" hidden="false" customHeight="true" outlineLevel="0" collapsed="false">
      <c r="A119" s="5" t="n">
        <v>117</v>
      </c>
      <c r="B119" s="6" t="s">
        <v>25</v>
      </c>
      <c r="C119" s="27" t="s">
        <v>425</v>
      </c>
      <c r="D119" s="8" t="s">
        <v>27</v>
      </c>
      <c r="E119" s="9" t="s">
        <v>426</v>
      </c>
      <c r="F119" s="5" t="n">
        <v>18</v>
      </c>
      <c r="G119" s="5" t="n">
        <f aca="false">F119*4</f>
        <v>72</v>
      </c>
      <c r="H119" s="10" t="n">
        <v>987556</v>
      </c>
      <c r="I119" s="11" t="s">
        <v>427</v>
      </c>
      <c r="J119" s="12"/>
      <c r="K119" s="12"/>
      <c r="L119" s="12"/>
      <c r="M119" s="12"/>
      <c r="N119" s="12"/>
      <c r="O119" s="12"/>
      <c r="Q119" s="5"/>
      <c r="R119" s="13"/>
      <c r="S119" s="12"/>
      <c r="T119" s="14" t="s">
        <v>30</v>
      </c>
      <c r="U119" s="40"/>
      <c r="X119" s="15"/>
    </row>
    <row r="120" customFormat="false" ht="18" hidden="false" customHeight="true" outlineLevel="0" collapsed="false">
      <c r="A120" s="16" t="n">
        <v>118</v>
      </c>
      <c r="B120" s="17" t="s">
        <v>25</v>
      </c>
      <c r="C120" s="26" t="s">
        <v>428</v>
      </c>
      <c r="D120" s="8" t="s">
        <v>27</v>
      </c>
      <c r="E120" s="20" t="s">
        <v>429</v>
      </c>
      <c r="F120" s="16" t="n">
        <v>18</v>
      </c>
      <c r="G120" s="16" t="n">
        <f aca="false">F120*4</f>
        <v>72</v>
      </c>
      <c r="H120" s="21" t="n">
        <v>1164205</v>
      </c>
      <c r="I120" s="22" t="s">
        <v>430</v>
      </c>
      <c r="J120" s="12"/>
      <c r="K120" s="12"/>
      <c r="L120" s="12"/>
      <c r="M120" s="12"/>
      <c r="N120" s="12"/>
      <c r="O120" s="12"/>
      <c r="Q120" s="16"/>
      <c r="R120" s="23"/>
      <c r="S120" s="12"/>
      <c r="T120" s="14" t="s">
        <v>30</v>
      </c>
      <c r="U120" s="30" t="s">
        <v>431</v>
      </c>
      <c r="V120" s="1" t="n">
        <v>2008</v>
      </c>
      <c r="W120" s="1" t="s">
        <v>432</v>
      </c>
      <c r="X120" s="25"/>
    </row>
    <row r="121" customFormat="false" ht="18" hidden="false" customHeight="true" outlineLevel="0" collapsed="false">
      <c r="A121" s="5" t="n">
        <v>119</v>
      </c>
      <c r="B121" s="6" t="s">
        <v>25</v>
      </c>
      <c r="C121" s="27" t="s">
        <v>433</v>
      </c>
      <c r="D121" s="8" t="s">
        <v>27</v>
      </c>
      <c r="E121" s="9" t="s">
        <v>434</v>
      </c>
      <c r="F121" s="5" t="n">
        <v>24</v>
      </c>
      <c r="G121" s="5" t="n">
        <f aca="false">F121*4</f>
        <v>96</v>
      </c>
      <c r="H121" s="10" t="n">
        <v>1457261</v>
      </c>
      <c r="I121" s="11" t="s">
        <v>435</v>
      </c>
      <c r="J121" s="12"/>
      <c r="K121" s="12"/>
      <c r="L121" s="12"/>
      <c r="M121" s="12"/>
      <c r="N121" s="12"/>
      <c r="O121" s="12"/>
      <c r="Q121" s="5"/>
      <c r="R121" s="13"/>
      <c r="S121" s="12"/>
      <c r="T121" s="14" t="s">
        <v>30</v>
      </c>
      <c r="U121" s="40" t="s">
        <v>436</v>
      </c>
      <c r="V121" s="1" t="n">
        <v>2006</v>
      </c>
      <c r="W121" s="1" t="s">
        <v>437</v>
      </c>
      <c r="X121" s="29"/>
    </row>
    <row r="122" customFormat="false" ht="18" hidden="false" customHeight="true" outlineLevel="0" collapsed="false">
      <c r="A122" s="16" t="n">
        <v>120</v>
      </c>
      <c r="B122" s="17" t="s">
        <v>25</v>
      </c>
      <c r="C122" s="26" t="s">
        <v>438</v>
      </c>
      <c r="D122" s="19" t="s">
        <v>32</v>
      </c>
      <c r="E122" s="20" t="s">
        <v>439</v>
      </c>
      <c r="F122" s="16" t="n">
        <v>27</v>
      </c>
      <c r="G122" s="16" t="n">
        <f aca="false">F122*4</f>
        <v>108</v>
      </c>
      <c r="H122" s="21" t="n">
        <v>1538257</v>
      </c>
      <c r="I122" s="22" t="s">
        <v>440</v>
      </c>
      <c r="J122" s="12"/>
      <c r="K122" s="12"/>
      <c r="L122" s="12"/>
      <c r="M122" s="12"/>
      <c r="N122" s="12"/>
      <c r="O122" s="12"/>
      <c r="Q122" s="16"/>
      <c r="R122" s="23"/>
      <c r="S122" s="12"/>
      <c r="T122" s="14" t="s">
        <v>30</v>
      </c>
      <c r="U122" s="30"/>
      <c r="X122" s="25"/>
    </row>
    <row r="123" customFormat="false" ht="18" hidden="false" customHeight="true" outlineLevel="0" collapsed="false">
      <c r="A123" s="5" t="n">
        <v>121</v>
      </c>
      <c r="B123" s="6" t="s">
        <v>25</v>
      </c>
      <c r="C123" s="27" t="s">
        <v>441</v>
      </c>
      <c r="D123" s="8" t="s">
        <v>27</v>
      </c>
      <c r="E123" s="9" t="s">
        <v>442</v>
      </c>
      <c r="F123" s="5" t="n">
        <v>27</v>
      </c>
      <c r="G123" s="5" t="n">
        <f aca="false">F123*4</f>
        <v>108</v>
      </c>
      <c r="H123" s="10" t="n">
        <v>1484312</v>
      </c>
      <c r="I123" s="11" t="s">
        <v>443</v>
      </c>
      <c r="J123" s="12"/>
      <c r="K123" s="12"/>
      <c r="L123" s="12"/>
      <c r="M123" s="12"/>
      <c r="N123" s="12"/>
      <c r="O123" s="12"/>
      <c r="Q123" s="5"/>
      <c r="R123" s="13"/>
      <c r="S123" s="12"/>
      <c r="T123" s="14" t="s">
        <v>30</v>
      </c>
      <c r="U123" s="40" t="s">
        <v>444</v>
      </c>
      <c r="V123" s="1" t="n">
        <v>2007</v>
      </c>
      <c r="W123" s="1" t="s">
        <v>445</v>
      </c>
      <c r="X123" s="29"/>
    </row>
    <row r="124" customFormat="false" ht="18" hidden="false" customHeight="true" outlineLevel="0" collapsed="false">
      <c r="A124" s="16" t="n">
        <v>122</v>
      </c>
      <c r="B124" s="17" t="s">
        <v>25</v>
      </c>
      <c r="C124" s="26" t="s">
        <v>446</v>
      </c>
      <c r="D124" s="8" t="s">
        <v>27</v>
      </c>
      <c r="E124" s="20" t="s">
        <v>447</v>
      </c>
      <c r="F124" s="16" t="n">
        <v>27</v>
      </c>
      <c r="G124" s="16" t="n">
        <f aca="false">F124*4</f>
        <v>108</v>
      </c>
      <c r="H124" s="21" t="n">
        <v>1415138</v>
      </c>
      <c r="I124" s="22" t="s">
        <v>448</v>
      </c>
      <c r="J124" s="12"/>
      <c r="K124" s="12"/>
      <c r="L124" s="12"/>
      <c r="M124" s="12"/>
      <c r="N124" s="12"/>
      <c r="O124" s="12"/>
      <c r="Q124" s="16"/>
      <c r="R124" s="23"/>
      <c r="S124" s="12"/>
      <c r="T124" s="14" t="s">
        <v>30</v>
      </c>
      <c r="U124" s="30"/>
      <c r="X124" s="25"/>
    </row>
    <row r="125" customFormat="false" ht="18" hidden="false" customHeight="true" outlineLevel="0" collapsed="false">
      <c r="A125" s="5" t="n">
        <v>123</v>
      </c>
      <c r="B125" s="6" t="s">
        <v>25</v>
      </c>
      <c r="C125" s="27" t="s">
        <v>449</v>
      </c>
      <c r="D125" s="19" t="s">
        <v>32</v>
      </c>
      <c r="E125" s="9" t="s">
        <v>450</v>
      </c>
      <c r="F125" s="5" t="n">
        <v>18</v>
      </c>
      <c r="G125" s="5" t="n">
        <f aca="false">F125*4</f>
        <v>72</v>
      </c>
      <c r="H125" s="10" t="n">
        <v>1156465</v>
      </c>
      <c r="I125" s="40" t="s">
        <v>451</v>
      </c>
      <c r="J125" s="12"/>
      <c r="K125" s="12"/>
      <c r="L125" s="12"/>
      <c r="M125" s="12"/>
      <c r="N125" s="12"/>
      <c r="O125" s="12"/>
      <c r="Q125" s="5"/>
      <c r="R125" s="13"/>
      <c r="S125" s="12"/>
      <c r="T125" s="14" t="s">
        <v>30</v>
      </c>
      <c r="U125" s="40"/>
      <c r="X125" s="15"/>
    </row>
    <row r="126" customFormat="false" ht="18" hidden="false" customHeight="true" outlineLevel="0" collapsed="false">
      <c r="A126" s="16" t="n">
        <v>124</v>
      </c>
      <c r="B126" s="17" t="s">
        <v>25</v>
      </c>
      <c r="C126" s="26" t="s">
        <v>452</v>
      </c>
      <c r="D126" s="19" t="s">
        <v>32</v>
      </c>
      <c r="E126" s="20" t="s">
        <v>453</v>
      </c>
      <c r="F126" s="16" t="n">
        <v>36</v>
      </c>
      <c r="G126" s="16" t="n">
        <f aca="false">F126*4</f>
        <v>144</v>
      </c>
      <c r="H126" s="21" t="n">
        <v>1899082</v>
      </c>
      <c r="I126" s="22" t="s">
        <v>454</v>
      </c>
      <c r="J126" s="12"/>
      <c r="K126" s="12"/>
      <c r="L126" s="12"/>
      <c r="M126" s="12"/>
      <c r="N126" s="12"/>
      <c r="O126" s="12"/>
      <c r="Q126" s="16"/>
      <c r="R126" s="23"/>
      <c r="S126" s="12"/>
      <c r="T126" s="14" t="s">
        <v>30</v>
      </c>
      <c r="U126" s="30"/>
      <c r="X126" s="25"/>
    </row>
    <row r="127" customFormat="false" ht="18" hidden="false" customHeight="true" outlineLevel="0" collapsed="false">
      <c r="A127" s="5" t="n">
        <v>125</v>
      </c>
      <c r="B127" s="6" t="s">
        <v>25</v>
      </c>
      <c r="C127" s="27" t="s">
        <v>455</v>
      </c>
      <c r="D127" s="8" t="s">
        <v>27</v>
      </c>
      <c r="E127" s="9" t="s">
        <v>456</v>
      </c>
      <c r="F127" s="5" t="n">
        <v>27</v>
      </c>
      <c r="G127" s="5" t="n">
        <f aca="false">F127*4</f>
        <v>108</v>
      </c>
      <c r="H127" s="10" t="n">
        <v>1519198</v>
      </c>
      <c r="I127" s="11" t="s">
        <v>457</v>
      </c>
      <c r="J127" s="12"/>
      <c r="K127" s="12"/>
      <c r="L127" s="12"/>
      <c r="M127" s="12"/>
      <c r="N127" s="12"/>
      <c r="O127" s="12"/>
      <c r="Q127" s="5"/>
      <c r="R127" s="13"/>
      <c r="S127" s="12"/>
      <c r="T127" s="14" t="s">
        <v>30</v>
      </c>
      <c r="U127" s="40"/>
      <c r="X127" s="15"/>
    </row>
    <row r="128" customFormat="false" ht="18" hidden="false" customHeight="true" outlineLevel="0" collapsed="false">
      <c r="A128" s="16" t="n">
        <v>126</v>
      </c>
      <c r="B128" s="17" t="s">
        <v>25</v>
      </c>
      <c r="C128" s="26" t="s">
        <v>458</v>
      </c>
      <c r="D128" s="19" t="s">
        <v>32</v>
      </c>
      <c r="E128" s="20" t="s">
        <v>459</v>
      </c>
      <c r="F128" s="16" t="n">
        <v>18</v>
      </c>
      <c r="G128" s="16" t="n">
        <f aca="false">F128*4</f>
        <v>72</v>
      </c>
      <c r="H128" s="21" t="n">
        <v>962229</v>
      </c>
      <c r="I128" s="22" t="s">
        <v>460</v>
      </c>
      <c r="J128" s="12"/>
      <c r="K128" s="12"/>
      <c r="L128" s="12"/>
      <c r="M128" s="12"/>
      <c r="N128" s="12"/>
      <c r="O128" s="12"/>
      <c r="Q128" s="16"/>
      <c r="R128" s="23"/>
      <c r="S128" s="12"/>
      <c r="T128" s="14" t="s">
        <v>30</v>
      </c>
      <c r="U128" s="30"/>
      <c r="X128" s="25"/>
    </row>
    <row r="129" customFormat="false" ht="18" hidden="false" customHeight="true" outlineLevel="0" collapsed="false">
      <c r="A129" s="5" t="n">
        <v>127</v>
      </c>
      <c r="B129" s="6" t="s">
        <v>25</v>
      </c>
      <c r="C129" s="27" t="s">
        <v>461</v>
      </c>
      <c r="D129" s="8" t="s">
        <v>27</v>
      </c>
      <c r="E129" s="9" t="s">
        <v>462</v>
      </c>
      <c r="F129" s="5" t="n">
        <v>9</v>
      </c>
      <c r="G129" s="5" t="n">
        <f aca="false">F129*4</f>
        <v>36</v>
      </c>
      <c r="H129" s="10" t="n">
        <v>240013</v>
      </c>
      <c r="I129" s="11" t="s">
        <v>463</v>
      </c>
      <c r="J129" s="12"/>
      <c r="K129" s="12"/>
      <c r="L129" s="12"/>
      <c r="M129" s="12"/>
      <c r="N129" s="12"/>
      <c r="O129" s="12"/>
      <c r="Q129" s="5"/>
      <c r="R129" s="13"/>
      <c r="S129" s="12"/>
      <c r="T129" s="14" t="s">
        <v>30</v>
      </c>
      <c r="U129" s="40"/>
      <c r="X129" s="15"/>
    </row>
    <row r="130" customFormat="false" ht="18" hidden="false" customHeight="true" outlineLevel="0" collapsed="false">
      <c r="A130" s="16" t="n">
        <v>128</v>
      </c>
      <c r="B130" s="17" t="s">
        <v>25</v>
      </c>
      <c r="C130" s="26" t="s">
        <v>464</v>
      </c>
      <c r="D130" s="8" t="s">
        <v>27</v>
      </c>
      <c r="E130" s="20" t="s">
        <v>465</v>
      </c>
      <c r="F130" s="16" t="n">
        <v>27</v>
      </c>
      <c r="G130" s="16" t="n">
        <f aca="false">F130*4</f>
        <v>108</v>
      </c>
      <c r="H130" s="21" t="n">
        <v>1584819</v>
      </c>
      <c r="I130" s="22" t="s">
        <v>466</v>
      </c>
      <c r="J130" s="12"/>
      <c r="K130" s="12"/>
      <c r="L130" s="12"/>
      <c r="M130" s="12"/>
      <c r="N130" s="12"/>
      <c r="O130" s="12"/>
      <c r="Q130" s="16"/>
      <c r="R130" s="23"/>
      <c r="S130" s="12"/>
      <c r="T130" s="14" t="s">
        <v>30</v>
      </c>
      <c r="U130" s="30"/>
      <c r="X130" s="25"/>
    </row>
    <row r="131" customFormat="false" ht="18" hidden="false" customHeight="true" outlineLevel="0" collapsed="false">
      <c r="A131" s="5" t="n">
        <v>129</v>
      </c>
      <c r="B131" s="6" t="s">
        <v>25</v>
      </c>
      <c r="C131" s="27" t="s">
        <v>467</v>
      </c>
      <c r="D131" s="19" t="s">
        <v>32</v>
      </c>
      <c r="E131" s="9" t="s">
        <v>468</v>
      </c>
      <c r="F131" s="5" t="n">
        <v>27</v>
      </c>
      <c r="G131" s="5" t="n">
        <f aca="false">F131*4</f>
        <v>108</v>
      </c>
      <c r="H131" s="10" t="n">
        <v>1411398</v>
      </c>
      <c r="I131" s="11" t="s">
        <v>469</v>
      </c>
      <c r="J131" s="12"/>
      <c r="K131" s="12"/>
      <c r="L131" s="12"/>
      <c r="M131" s="12"/>
      <c r="N131" s="12"/>
      <c r="O131" s="12"/>
      <c r="Q131" s="5"/>
      <c r="R131" s="13"/>
      <c r="S131" s="12"/>
      <c r="T131" s="14" t="s">
        <v>30</v>
      </c>
      <c r="U131" s="40"/>
      <c r="X131" s="15"/>
    </row>
    <row r="132" customFormat="false" ht="18" hidden="false" customHeight="true" outlineLevel="0" collapsed="false">
      <c r="A132" s="16" t="n">
        <v>130</v>
      </c>
      <c r="B132" s="17" t="s">
        <v>25</v>
      </c>
      <c r="C132" s="26" t="s">
        <v>470</v>
      </c>
      <c r="D132" s="19" t="s">
        <v>32</v>
      </c>
      <c r="E132" s="20" t="s">
        <v>471</v>
      </c>
      <c r="F132" s="16" t="n">
        <v>36</v>
      </c>
      <c r="G132" s="16" t="n">
        <f aca="false">F132*4</f>
        <v>144</v>
      </c>
      <c r="H132" s="21" t="n">
        <v>1441066</v>
      </c>
      <c r="I132" s="22" t="s">
        <v>472</v>
      </c>
      <c r="J132" s="37" t="n">
        <v>3.3</v>
      </c>
      <c r="K132" s="37" t="n">
        <v>3.4</v>
      </c>
      <c r="L132" s="43" t="n">
        <v>4.1</v>
      </c>
      <c r="M132" s="37" t="n">
        <v>3</v>
      </c>
      <c r="N132" s="43" t="n">
        <v>3.8</v>
      </c>
      <c r="O132" s="44" t="n">
        <f aca="false">ROUND(AVERAGE(J132:N132),2)</f>
        <v>3.52</v>
      </c>
      <c r="Q132" s="16" t="n">
        <v>125</v>
      </c>
      <c r="R132" s="23" t="n">
        <v>71</v>
      </c>
      <c r="S132" s="34" t="s">
        <v>90</v>
      </c>
      <c r="T132" s="35" t="s">
        <v>91</v>
      </c>
      <c r="U132" s="36" t="s">
        <v>473</v>
      </c>
      <c r="V132" s="1" t="n">
        <v>1964</v>
      </c>
      <c r="W132" s="1" t="s">
        <v>474</v>
      </c>
      <c r="X132" s="25"/>
    </row>
    <row r="133" customFormat="false" ht="18" hidden="false" customHeight="true" outlineLevel="0" collapsed="false">
      <c r="A133" s="5" t="n">
        <v>131</v>
      </c>
      <c r="B133" s="6" t="s">
        <v>25</v>
      </c>
      <c r="C133" s="27" t="s">
        <v>475</v>
      </c>
      <c r="D133" s="8" t="s">
        <v>27</v>
      </c>
      <c r="E133" s="9" t="s">
        <v>476</v>
      </c>
      <c r="F133" s="5" t="n">
        <v>9</v>
      </c>
      <c r="G133" s="5" t="n">
        <f aca="false">F133*4</f>
        <v>36</v>
      </c>
      <c r="H133" s="10" t="n">
        <v>351587</v>
      </c>
      <c r="I133" s="11" t="s">
        <v>477</v>
      </c>
      <c r="J133" s="12"/>
      <c r="K133" s="12"/>
      <c r="L133" s="12"/>
      <c r="M133" s="12"/>
      <c r="N133" s="12"/>
      <c r="O133" s="12"/>
      <c r="Q133" s="5"/>
      <c r="R133" s="13"/>
      <c r="S133" s="12"/>
      <c r="T133" s="14" t="s">
        <v>30</v>
      </c>
      <c r="U133" s="40"/>
      <c r="X133" s="15"/>
    </row>
    <row r="134" customFormat="false" ht="18" hidden="false" customHeight="true" outlineLevel="0" collapsed="false">
      <c r="A134" s="16" t="n">
        <v>132</v>
      </c>
      <c r="B134" s="17" t="s">
        <v>25</v>
      </c>
      <c r="C134" s="26" t="s">
        <v>478</v>
      </c>
      <c r="D134" s="19" t="s">
        <v>32</v>
      </c>
      <c r="E134" s="20" t="s">
        <v>479</v>
      </c>
      <c r="F134" s="16" t="n">
        <v>27</v>
      </c>
      <c r="G134" s="16" t="n">
        <f aca="false">F134*4</f>
        <v>108</v>
      </c>
      <c r="H134" s="21" t="n">
        <v>1024961</v>
      </c>
      <c r="I134" s="22" t="s">
        <v>480</v>
      </c>
      <c r="J134" s="12"/>
      <c r="K134" s="12"/>
      <c r="L134" s="12"/>
      <c r="M134" s="12"/>
      <c r="N134" s="12"/>
      <c r="O134" s="12"/>
      <c r="Q134" s="16"/>
      <c r="R134" s="23"/>
      <c r="S134" s="12"/>
      <c r="T134" s="14" t="s">
        <v>30</v>
      </c>
      <c r="U134" s="30"/>
      <c r="X134" s="25"/>
    </row>
    <row r="135" customFormat="false" ht="18" hidden="false" customHeight="true" outlineLevel="0" collapsed="false">
      <c r="A135" s="5" t="n">
        <v>133</v>
      </c>
      <c r="B135" s="6" t="s">
        <v>25</v>
      </c>
      <c r="C135" s="27" t="s">
        <v>481</v>
      </c>
      <c r="D135" s="19" t="s">
        <v>32</v>
      </c>
      <c r="E135" s="9" t="s">
        <v>482</v>
      </c>
      <c r="F135" s="5" t="n">
        <v>18</v>
      </c>
      <c r="G135" s="5" t="n">
        <f aca="false">F135*4</f>
        <v>72</v>
      </c>
      <c r="H135" s="10" t="n">
        <v>1256971</v>
      </c>
      <c r="I135" s="11" t="s">
        <v>483</v>
      </c>
      <c r="J135" s="12"/>
      <c r="K135" s="12"/>
      <c r="L135" s="12"/>
      <c r="M135" s="12"/>
      <c r="N135" s="12"/>
      <c r="O135" s="12"/>
      <c r="Q135" s="5"/>
      <c r="R135" s="13"/>
      <c r="S135" s="12"/>
      <c r="T135" s="14" t="s">
        <v>30</v>
      </c>
      <c r="U135" s="40"/>
      <c r="X135" s="15"/>
    </row>
    <row r="136" customFormat="false" ht="18" hidden="false" customHeight="true" outlineLevel="0" collapsed="false">
      <c r="A136" s="16" t="n">
        <v>134</v>
      </c>
      <c r="B136" s="17" t="s">
        <v>25</v>
      </c>
      <c r="C136" s="26" t="s">
        <v>484</v>
      </c>
      <c r="D136" s="8" t="s">
        <v>27</v>
      </c>
      <c r="E136" s="20" t="s">
        <v>485</v>
      </c>
      <c r="F136" s="16" t="n">
        <v>27</v>
      </c>
      <c r="G136" s="16" t="n">
        <f aca="false">F136*4</f>
        <v>108</v>
      </c>
      <c r="H136" s="21" t="n">
        <v>1666810</v>
      </c>
      <c r="I136" s="22" t="s">
        <v>486</v>
      </c>
      <c r="J136" s="12"/>
      <c r="K136" s="12"/>
      <c r="L136" s="12"/>
      <c r="M136" s="12"/>
      <c r="N136" s="12"/>
      <c r="O136" s="12"/>
      <c r="Q136" s="16"/>
      <c r="R136" s="23"/>
      <c r="S136" s="12"/>
      <c r="T136" s="14" t="s">
        <v>30</v>
      </c>
      <c r="U136" s="30"/>
      <c r="X136" s="25"/>
    </row>
    <row r="137" customFormat="false" ht="18" hidden="false" customHeight="true" outlineLevel="0" collapsed="false">
      <c r="A137" s="5" t="n">
        <v>135</v>
      </c>
      <c r="B137" s="6" t="s">
        <v>25</v>
      </c>
      <c r="C137" s="27" t="s">
        <v>487</v>
      </c>
      <c r="D137" s="19" t="s">
        <v>32</v>
      </c>
      <c r="E137" s="9" t="s">
        <v>488</v>
      </c>
      <c r="F137" s="5" t="n">
        <v>18</v>
      </c>
      <c r="G137" s="5" t="n">
        <f aca="false">F137*4</f>
        <v>72</v>
      </c>
      <c r="H137" s="10" t="n">
        <v>1147780</v>
      </c>
      <c r="I137" s="40" t="s">
        <v>489</v>
      </c>
      <c r="J137" s="12" t="n">
        <v>4.9</v>
      </c>
      <c r="K137" s="12" t="n">
        <v>4.9</v>
      </c>
      <c r="L137" s="12" t="n">
        <v>4.9</v>
      </c>
      <c r="M137" s="12" t="n">
        <v>4.8</v>
      </c>
      <c r="N137" s="12" t="n">
        <v>4.9</v>
      </c>
      <c r="O137" s="12" t="n">
        <f aca="false">ROUND(AVERAGE(J137:N137),2)</f>
        <v>4.88</v>
      </c>
      <c r="P137" s="1" t="n">
        <v>98</v>
      </c>
      <c r="Q137" s="5"/>
      <c r="R137" s="13"/>
      <c r="S137" s="12"/>
      <c r="T137" s="14" t="s">
        <v>490</v>
      </c>
      <c r="U137" s="40" t="s">
        <v>491</v>
      </c>
      <c r="V137" s="1" t="n">
        <v>2009</v>
      </c>
      <c r="W137" s="1" t="s">
        <v>492</v>
      </c>
      <c r="X137" s="45" t="s">
        <v>493</v>
      </c>
    </row>
    <row r="138" customFormat="false" ht="18" hidden="false" customHeight="true" outlineLevel="0" collapsed="false">
      <c r="A138" s="16" t="n">
        <v>136</v>
      </c>
      <c r="B138" s="17" t="s">
        <v>25</v>
      </c>
      <c r="C138" s="26" t="s">
        <v>494</v>
      </c>
      <c r="D138" s="19" t="s">
        <v>32</v>
      </c>
      <c r="E138" s="20" t="s">
        <v>495</v>
      </c>
      <c r="F138" s="16" t="n">
        <v>18</v>
      </c>
      <c r="G138" s="16" t="n">
        <f aca="false">F138*4</f>
        <v>72</v>
      </c>
      <c r="H138" s="21" t="n">
        <v>1039272</v>
      </c>
      <c r="I138" s="22" t="s">
        <v>496</v>
      </c>
      <c r="J138" s="12"/>
      <c r="K138" s="12"/>
      <c r="L138" s="12"/>
      <c r="M138" s="12"/>
      <c r="N138" s="12"/>
      <c r="O138" s="12"/>
      <c r="Q138" s="16"/>
      <c r="R138" s="23"/>
      <c r="S138" s="12"/>
      <c r="T138" s="14" t="s">
        <v>30</v>
      </c>
      <c r="U138" s="30"/>
      <c r="X138" s="25"/>
    </row>
    <row r="139" customFormat="false" ht="18" hidden="false" customHeight="true" outlineLevel="0" collapsed="false">
      <c r="A139" s="5" t="n">
        <v>137</v>
      </c>
      <c r="B139" s="6" t="s">
        <v>25</v>
      </c>
      <c r="C139" s="27" t="s">
        <v>497</v>
      </c>
      <c r="D139" s="8" t="s">
        <v>27</v>
      </c>
      <c r="E139" s="9" t="s">
        <v>498</v>
      </c>
      <c r="F139" s="5" t="n">
        <v>9</v>
      </c>
      <c r="G139" s="5" t="n">
        <f aca="false">F139*4</f>
        <v>36</v>
      </c>
      <c r="H139" s="10" t="n">
        <v>199801</v>
      </c>
      <c r="I139" s="11" t="s">
        <v>499</v>
      </c>
      <c r="J139" s="12"/>
      <c r="K139" s="12"/>
      <c r="L139" s="12"/>
      <c r="M139" s="12"/>
      <c r="N139" s="12"/>
      <c r="O139" s="12"/>
      <c r="Q139" s="5"/>
      <c r="R139" s="13"/>
      <c r="S139" s="12"/>
      <c r="T139" s="14" t="s">
        <v>30</v>
      </c>
      <c r="U139" s="40"/>
      <c r="X139" s="15"/>
    </row>
    <row r="140" customFormat="false" ht="18" hidden="false" customHeight="true" outlineLevel="0" collapsed="false">
      <c r="A140" s="46" t="n">
        <v>138</v>
      </c>
      <c r="B140" s="47" t="s">
        <v>500</v>
      </c>
      <c r="C140" s="48" t="s">
        <v>501</v>
      </c>
      <c r="D140" s="49" t="s">
        <v>27</v>
      </c>
      <c r="E140" s="50" t="s">
        <v>502</v>
      </c>
      <c r="F140" s="46" t="n">
        <v>27</v>
      </c>
      <c r="G140" s="46" t="n">
        <f aca="false">F140*4</f>
        <v>108</v>
      </c>
      <c r="H140" s="51" t="n">
        <v>998126</v>
      </c>
      <c r="I140" s="52" t="s">
        <v>503</v>
      </c>
      <c r="J140" s="53"/>
      <c r="K140" s="53"/>
      <c r="L140" s="53"/>
      <c r="M140" s="53"/>
      <c r="N140" s="53"/>
      <c r="O140" s="53"/>
      <c r="Q140" s="46"/>
      <c r="R140" s="54"/>
      <c r="S140" s="53"/>
      <c r="T140" s="55" t="s">
        <v>30</v>
      </c>
      <c r="U140" s="52"/>
      <c r="X140" s="56"/>
    </row>
    <row r="141" customFormat="false" ht="18" hidden="false" customHeight="true" outlineLevel="0" collapsed="false">
      <c r="A141" s="57" t="n">
        <v>139</v>
      </c>
      <c r="B141" s="58" t="s">
        <v>504</v>
      </c>
      <c r="C141" s="59" t="s">
        <v>505</v>
      </c>
      <c r="D141" s="49" t="s">
        <v>27</v>
      </c>
      <c r="E141" s="60" t="s">
        <v>506</v>
      </c>
      <c r="F141" s="57" t="n">
        <v>63</v>
      </c>
      <c r="G141" s="57" t="n">
        <f aca="false">F141*4</f>
        <v>252</v>
      </c>
      <c r="H141" s="61" t="n">
        <v>2685450</v>
      </c>
      <c r="I141" s="62" t="s">
        <v>507</v>
      </c>
      <c r="J141" s="53"/>
      <c r="K141" s="53"/>
      <c r="L141" s="53"/>
      <c r="M141" s="53"/>
      <c r="N141" s="53"/>
      <c r="O141" s="53"/>
      <c r="Q141" s="57"/>
      <c r="R141" s="63"/>
      <c r="S141" s="53"/>
      <c r="T141" s="55" t="s">
        <v>30</v>
      </c>
      <c r="U141" s="62"/>
      <c r="X141" s="64"/>
    </row>
    <row r="142" customFormat="false" ht="18" hidden="false" customHeight="true" outlineLevel="0" collapsed="false">
      <c r="A142" s="16" t="n">
        <v>140</v>
      </c>
      <c r="B142" s="17" t="s">
        <v>504</v>
      </c>
      <c r="C142" s="18" t="s">
        <v>508</v>
      </c>
      <c r="D142" s="8" t="s">
        <v>27</v>
      </c>
      <c r="E142" s="20" t="s">
        <v>509</v>
      </c>
      <c r="F142" s="16" t="n">
        <v>18</v>
      </c>
      <c r="G142" s="16" t="n">
        <f aca="false">F142*4</f>
        <v>72</v>
      </c>
      <c r="H142" s="21" t="n">
        <v>934611</v>
      </c>
      <c r="I142" s="22" t="s">
        <v>507</v>
      </c>
      <c r="J142" s="12"/>
      <c r="K142" s="12"/>
      <c r="L142" s="12"/>
      <c r="M142" s="12"/>
      <c r="N142" s="12"/>
      <c r="O142" s="12"/>
      <c r="Q142" s="16"/>
      <c r="R142" s="23"/>
      <c r="S142" s="12"/>
      <c r="T142" s="14" t="s">
        <v>30</v>
      </c>
      <c r="U142" s="30"/>
      <c r="X142" s="25"/>
    </row>
    <row r="143" customFormat="false" ht="18" hidden="false" customHeight="true" outlineLevel="0" collapsed="false">
      <c r="A143" s="5" t="n">
        <v>141</v>
      </c>
      <c r="B143" s="6" t="s">
        <v>504</v>
      </c>
      <c r="C143" s="27" t="s">
        <v>510</v>
      </c>
      <c r="D143" s="8" t="s">
        <v>27</v>
      </c>
      <c r="E143" s="9" t="s">
        <v>511</v>
      </c>
      <c r="F143" s="5" t="n">
        <v>9</v>
      </c>
      <c r="G143" s="5" t="n">
        <f aca="false">F143*4</f>
        <v>36</v>
      </c>
      <c r="H143" s="10" t="n">
        <v>240286</v>
      </c>
      <c r="I143" s="11" t="s">
        <v>512</v>
      </c>
      <c r="J143" s="12"/>
      <c r="K143" s="12"/>
      <c r="L143" s="12"/>
      <c r="M143" s="12"/>
      <c r="N143" s="12"/>
      <c r="O143" s="12"/>
      <c r="Q143" s="5"/>
      <c r="R143" s="13"/>
      <c r="S143" s="12"/>
      <c r="T143" s="14" t="s">
        <v>30</v>
      </c>
      <c r="U143" s="40"/>
      <c r="X143" s="15"/>
    </row>
    <row r="144" customFormat="false" ht="18" hidden="false" customHeight="true" outlineLevel="0" collapsed="false">
      <c r="A144" s="16" t="n">
        <v>142</v>
      </c>
      <c r="B144" s="17" t="s">
        <v>504</v>
      </c>
      <c r="C144" s="26" t="s">
        <v>513</v>
      </c>
      <c r="D144" s="8" t="s">
        <v>27</v>
      </c>
      <c r="E144" s="20" t="s">
        <v>514</v>
      </c>
      <c r="F144" s="16" t="n">
        <v>36</v>
      </c>
      <c r="G144" s="16" t="n">
        <f aca="false">F144*4</f>
        <v>144</v>
      </c>
      <c r="H144" s="21" t="n">
        <v>1533427</v>
      </c>
      <c r="I144" s="22" t="s">
        <v>515</v>
      </c>
      <c r="J144" s="12"/>
      <c r="K144" s="12"/>
      <c r="L144" s="12"/>
      <c r="M144" s="12"/>
      <c r="N144" s="12"/>
      <c r="O144" s="12"/>
      <c r="Q144" s="16"/>
      <c r="R144" s="23"/>
      <c r="S144" s="12"/>
      <c r="T144" s="14" t="s">
        <v>30</v>
      </c>
      <c r="U144" s="30" t="s">
        <v>516</v>
      </c>
      <c r="V144" s="1" t="n">
        <v>2010</v>
      </c>
      <c r="W144" s="1" t="s">
        <v>517</v>
      </c>
      <c r="X144" s="25"/>
    </row>
    <row r="145" customFormat="false" ht="18" hidden="false" customHeight="true" outlineLevel="0" collapsed="false">
      <c r="A145" s="5" t="n">
        <v>143</v>
      </c>
      <c r="B145" s="6" t="s">
        <v>504</v>
      </c>
      <c r="C145" s="27" t="s">
        <v>518</v>
      </c>
      <c r="D145" s="8" t="s">
        <v>27</v>
      </c>
      <c r="E145" s="9" t="s">
        <v>519</v>
      </c>
      <c r="F145" s="5" t="n">
        <v>27</v>
      </c>
      <c r="G145" s="5" t="n">
        <f aca="false">F145*4</f>
        <v>108</v>
      </c>
      <c r="H145" s="10" t="n">
        <v>1360105</v>
      </c>
      <c r="I145" s="11" t="s">
        <v>520</v>
      </c>
      <c r="J145" s="12"/>
      <c r="K145" s="12"/>
      <c r="L145" s="12"/>
      <c r="M145" s="12"/>
      <c r="N145" s="12"/>
      <c r="O145" s="12"/>
      <c r="Q145" s="5"/>
      <c r="R145" s="13"/>
      <c r="S145" s="12"/>
      <c r="T145" s="14" t="s">
        <v>30</v>
      </c>
      <c r="U145" s="40" t="s">
        <v>521</v>
      </c>
      <c r="V145" s="1" t="n">
        <v>2011</v>
      </c>
      <c r="W145" s="1" t="s">
        <v>522</v>
      </c>
      <c r="X145" s="29"/>
    </row>
    <row r="146" customFormat="false" ht="18" hidden="false" customHeight="true" outlineLevel="0" collapsed="false">
      <c r="A146" s="16" t="n">
        <v>144</v>
      </c>
      <c r="B146" s="17" t="s">
        <v>504</v>
      </c>
      <c r="C146" s="26" t="s">
        <v>523</v>
      </c>
      <c r="D146" s="8" t="s">
        <v>27</v>
      </c>
      <c r="E146" s="20" t="s">
        <v>524</v>
      </c>
      <c r="F146" s="16" t="n">
        <v>18</v>
      </c>
      <c r="G146" s="16" t="n">
        <f aca="false">F146*4</f>
        <v>72</v>
      </c>
      <c r="H146" s="21" t="n">
        <v>717432</v>
      </c>
      <c r="I146" s="22" t="s">
        <v>525</v>
      </c>
      <c r="J146" s="12"/>
      <c r="K146" s="12"/>
      <c r="L146" s="12"/>
      <c r="M146" s="12"/>
      <c r="N146" s="12"/>
      <c r="O146" s="12"/>
      <c r="Q146" s="16"/>
      <c r="R146" s="23"/>
      <c r="S146" s="12"/>
      <c r="T146" s="14" t="s">
        <v>30</v>
      </c>
      <c r="U146" s="30"/>
      <c r="X146" s="25"/>
    </row>
    <row r="147" customFormat="false" ht="18" hidden="false" customHeight="true" outlineLevel="0" collapsed="false">
      <c r="A147" s="5" t="n">
        <v>145</v>
      </c>
      <c r="B147" s="6" t="s">
        <v>504</v>
      </c>
      <c r="C147" s="27" t="s">
        <v>526</v>
      </c>
      <c r="D147" s="8" t="s">
        <v>27</v>
      </c>
      <c r="E147" s="9" t="s">
        <v>527</v>
      </c>
      <c r="F147" s="5" t="n">
        <v>18</v>
      </c>
      <c r="G147" s="5" t="n">
        <f aca="false">F147*4</f>
        <v>72</v>
      </c>
      <c r="H147" s="10" t="n">
        <v>821952</v>
      </c>
      <c r="I147" s="11" t="s">
        <v>528</v>
      </c>
      <c r="J147" s="12"/>
      <c r="K147" s="12"/>
      <c r="L147" s="12"/>
      <c r="M147" s="12"/>
      <c r="N147" s="12"/>
      <c r="O147" s="12"/>
      <c r="Q147" s="5"/>
      <c r="R147" s="13"/>
      <c r="S147" s="12"/>
      <c r="T147" s="14" t="s">
        <v>30</v>
      </c>
      <c r="U147" s="40"/>
      <c r="X147" s="15"/>
    </row>
    <row r="148" customFormat="false" ht="18" hidden="false" customHeight="true" outlineLevel="0" collapsed="false">
      <c r="A148" s="16" t="n">
        <v>146</v>
      </c>
      <c r="B148" s="17" t="s">
        <v>504</v>
      </c>
      <c r="C148" s="26" t="s">
        <v>529</v>
      </c>
      <c r="D148" s="8" t="s">
        <v>27</v>
      </c>
      <c r="E148" s="20" t="s">
        <v>530</v>
      </c>
      <c r="F148" s="16" t="n">
        <v>18</v>
      </c>
      <c r="G148" s="16" t="n">
        <f aca="false">F148*4</f>
        <v>72</v>
      </c>
      <c r="H148" s="21" t="n">
        <v>510720</v>
      </c>
      <c r="I148" s="22" t="s">
        <v>531</v>
      </c>
      <c r="J148" s="12"/>
      <c r="K148" s="12"/>
      <c r="L148" s="12"/>
      <c r="M148" s="12"/>
      <c r="N148" s="12"/>
      <c r="O148" s="12"/>
      <c r="Q148" s="16"/>
      <c r="R148" s="23"/>
      <c r="S148" s="12"/>
      <c r="T148" s="14" t="s">
        <v>30</v>
      </c>
      <c r="U148" s="30"/>
      <c r="X148" s="25"/>
    </row>
    <row r="149" customFormat="false" ht="18" hidden="false" customHeight="true" outlineLevel="0" collapsed="false">
      <c r="A149" s="5" t="n">
        <v>147</v>
      </c>
      <c r="B149" s="6" t="s">
        <v>504</v>
      </c>
      <c r="C149" s="27" t="s">
        <v>532</v>
      </c>
      <c r="D149" s="19" t="s">
        <v>32</v>
      </c>
      <c r="E149" s="9" t="s">
        <v>533</v>
      </c>
      <c r="F149" s="5" t="n">
        <v>18</v>
      </c>
      <c r="G149" s="5" t="n">
        <f aca="false">F149*4</f>
        <v>72</v>
      </c>
      <c r="H149" s="10" t="n">
        <v>811919</v>
      </c>
      <c r="I149" s="11" t="s">
        <v>534</v>
      </c>
      <c r="J149" s="12"/>
      <c r="K149" s="12"/>
      <c r="L149" s="12"/>
      <c r="M149" s="12"/>
      <c r="N149" s="12"/>
      <c r="O149" s="12"/>
      <c r="Q149" s="5"/>
      <c r="R149" s="13"/>
      <c r="S149" s="12"/>
      <c r="T149" s="14" t="s">
        <v>30</v>
      </c>
      <c r="U149" s="40"/>
      <c r="X149" s="15"/>
    </row>
    <row r="150" customFormat="false" ht="18" hidden="false" customHeight="true" outlineLevel="0" collapsed="false">
      <c r="A150" s="16" t="n">
        <v>148</v>
      </c>
      <c r="B150" s="17" t="s">
        <v>504</v>
      </c>
      <c r="C150" s="26" t="s">
        <v>535</v>
      </c>
      <c r="D150" s="8" t="s">
        <v>27</v>
      </c>
      <c r="E150" s="20" t="s">
        <v>536</v>
      </c>
      <c r="F150" s="16" t="n">
        <v>18</v>
      </c>
      <c r="G150" s="16" t="n">
        <f aca="false">F150*4</f>
        <v>72</v>
      </c>
      <c r="H150" s="21" t="n">
        <v>463583</v>
      </c>
      <c r="I150" s="22" t="s">
        <v>537</v>
      </c>
      <c r="J150" s="12"/>
      <c r="K150" s="12"/>
      <c r="L150" s="12"/>
      <c r="M150" s="12"/>
      <c r="N150" s="12"/>
      <c r="O150" s="12"/>
      <c r="Q150" s="16"/>
      <c r="R150" s="23"/>
      <c r="S150" s="12"/>
      <c r="T150" s="14" t="s">
        <v>30</v>
      </c>
      <c r="U150" s="30"/>
      <c r="X150" s="25"/>
    </row>
    <row r="151" customFormat="false" ht="18" hidden="false" customHeight="true" outlineLevel="0" collapsed="false">
      <c r="A151" s="5" t="n">
        <v>149</v>
      </c>
      <c r="B151" s="6" t="s">
        <v>504</v>
      </c>
      <c r="C151" s="27" t="s">
        <v>538</v>
      </c>
      <c r="D151" s="19" t="s">
        <v>32</v>
      </c>
      <c r="E151" s="9" t="s">
        <v>539</v>
      </c>
      <c r="F151" s="5" t="n">
        <v>18</v>
      </c>
      <c r="G151" s="5" t="n">
        <f aca="false">F151*4</f>
        <v>72</v>
      </c>
      <c r="H151" s="10" t="n">
        <v>771912</v>
      </c>
      <c r="I151" s="11" t="s">
        <v>540</v>
      </c>
      <c r="J151" s="12" t="n">
        <v>4.7</v>
      </c>
      <c r="K151" s="12" t="n">
        <v>4.4</v>
      </c>
      <c r="L151" s="12" t="n">
        <v>4.7</v>
      </c>
      <c r="M151" s="12" t="n">
        <v>4.5</v>
      </c>
      <c r="N151" s="12" t="n">
        <v>4.5</v>
      </c>
      <c r="O151" s="12" t="n">
        <f aca="false">ROUND(AVERAGE(J151:N151),2)</f>
        <v>4.56</v>
      </c>
      <c r="P151" s="1" t="n">
        <v>99</v>
      </c>
      <c r="Q151" s="5"/>
      <c r="R151" s="13"/>
      <c r="S151" s="12"/>
      <c r="T151" s="14" t="s">
        <v>490</v>
      </c>
      <c r="U151" s="40" t="s">
        <v>541</v>
      </c>
      <c r="V151" s="1" t="n">
        <v>2010</v>
      </c>
      <c r="W151" s="1" t="s">
        <v>542</v>
      </c>
      <c r="X151" s="45" t="s">
        <v>543</v>
      </c>
    </row>
    <row r="152" customFormat="false" ht="18" hidden="false" customHeight="true" outlineLevel="0" collapsed="false">
      <c r="A152" s="46" t="n">
        <v>150</v>
      </c>
      <c r="B152" s="47" t="s">
        <v>544</v>
      </c>
      <c r="C152" s="65" t="s">
        <v>545</v>
      </c>
      <c r="D152" s="66" t="s">
        <v>32</v>
      </c>
      <c r="E152" s="50" t="s">
        <v>546</v>
      </c>
      <c r="F152" s="46" t="n">
        <v>18</v>
      </c>
      <c r="G152" s="46" t="n">
        <f aca="false">F152*4</f>
        <v>72</v>
      </c>
      <c r="H152" s="51" t="n">
        <v>929669</v>
      </c>
      <c r="I152" s="52" t="s">
        <v>547</v>
      </c>
      <c r="J152" s="53"/>
      <c r="K152" s="53"/>
      <c r="L152" s="53"/>
      <c r="M152" s="53"/>
      <c r="N152" s="53"/>
      <c r="O152" s="53"/>
      <c r="Q152" s="46"/>
      <c r="R152" s="54"/>
      <c r="S152" s="53"/>
      <c r="T152" s="55" t="s">
        <v>30</v>
      </c>
      <c r="U152" s="52"/>
      <c r="X152" s="56"/>
    </row>
    <row r="153" customFormat="false" ht="18" hidden="false" customHeight="true" outlineLevel="0" collapsed="false">
      <c r="A153" s="5" t="n">
        <v>151</v>
      </c>
      <c r="B153" s="6" t="s">
        <v>544</v>
      </c>
      <c r="C153" s="27" t="s">
        <v>548</v>
      </c>
      <c r="D153" s="8" t="s">
        <v>27</v>
      </c>
      <c r="E153" s="9" t="s">
        <v>549</v>
      </c>
      <c r="F153" s="5" t="n">
        <v>18</v>
      </c>
      <c r="G153" s="5" t="n">
        <f aca="false">F153*4</f>
        <v>72</v>
      </c>
      <c r="H153" s="10" t="n">
        <v>1365368</v>
      </c>
      <c r="I153" s="11" t="s">
        <v>550</v>
      </c>
      <c r="J153" s="12"/>
      <c r="K153" s="12"/>
      <c r="L153" s="12"/>
      <c r="M153" s="12"/>
      <c r="N153" s="12"/>
      <c r="O153" s="12"/>
      <c r="Q153" s="5"/>
      <c r="R153" s="13"/>
      <c r="S153" s="12"/>
      <c r="T153" s="14" t="s">
        <v>30</v>
      </c>
      <c r="U153" s="40" t="s">
        <v>551</v>
      </c>
      <c r="V153" s="1" t="n">
        <v>2011</v>
      </c>
      <c r="W153" s="1" t="s">
        <v>552</v>
      </c>
      <c r="X153" s="29"/>
    </row>
    <row r="154" customFormat="false" ht="18" hidden="false" customHeight="true" outlineLevel="0" collapsed="false">
      <c r="A154" s="16" t="n">
        <v>152</v>
      </c>
      <c r="B154" s="17" t="s">
        <v>544</v>
      </c>
      <c r="C154" s="26" t="s">
        <v>553</v>
      </c>
      <c r="D154" s="8" t="s">
        <v>27</v>
      </c>
      <c r="E154" s="20" t="s">
        <v>554</v>
      </c>
      <c r="F154" s="16" t="n">
        <v>27</v>
      </c>
      <c r="G154" s="16" t="n">
        <f aca="false">F154*4</f>
        <v>108</v>
      </c>
      <c r="H154" s="21" t="n">
        <v>1693564</v>
      </c>
      <c r="I154" s="22" t="s">
        <v>555</v>
      </c>
      <c r="J154" s="12"/>
      <c r="K154" s="12"/>
      <c r="L154" s="12"/>
      <c r="M154" s="12"/>
      <c r="N154" s="12"/>
      <c r="O154" s="12"/>
      <c r="Q154" s="16"/>
      <c r="R154" s="23"/>
      <c r="S154" s="12"/>
      <c r="T154" s="14" t="s">
        <v>30</v>
      </c>
      <c r="U154" s="30" t="s">
        <v>556</v>
      </c>
      <c r="V154" s="1" t="n">
        <v>2011</v>
      </c>
      <c r="W154" s="1" t="s">
        <v>557</v>
      </c>
      <c r="X154" s="25"/>
    </row>
    <row r="155" customFormat="false" ht="18" hidden="false" customHeight="true" outlineLevel="0" collapsed="false">
      <c r="A155" s="5" t="n">
        <v>153</v>
      </c>
      <c r="B155" s="6" t="s">
        <v>544</v>
      </c>
      <c r="C155" s="27" t="s">
        <v>558</v>
      </c>
      <c r="D155" s="8" t="s">
        <v>27</v>
      </c>
      <c r="E155" s="9" t="s">
        <v>559</v>
      </c>
      <c r="F155" s="5" t="n">
        <v>9</v>
      </c>
      <c r="G155" s="5" t="n">
        <f aca="false">F155*4</f>
        <v>36</v>
      </c>
      <c r="H155" s="10" t="n">
        <v>293133</v>
      </c>
      <c r="I155" s="11" t="s">
        <v>560</v>
      </c>
      <c r="J155" s="12"/>
      <c r="K155" s="12"/>
      <c r="L155" s="12"/>
      <c r="M155" s="12"/>
      <c r="N155" s="12"/>
      <c r="O155" s="12"/>
      <c r="Q155" s="5"/>
      <c r="R155" s="13"/>
      <c r="S155" s="12"/>
      <c r="T155" s="14" t="s">
        <v>30</v>
      </c>
      <c r="U155" s="40"/>
      <c r="X155" s="15"/>
    </row>
    <row r="156" customFormat="false" ht="18" hidden="false" customHeight="true" outlineLevel="0" collapsed="false">
      <c r="A156" s="16" t="n">
        <v>154</v>
      </c>
      <c r="B156" s="17" t="s">
        <v>544</v>
      </c>
      <c r="C156" s="26" t="s">
        <v>561</v>
      </c>
      <c r="D156" s="8" t="s">
        <v>27</v>
      </c>
      <c r="E156" s="20" t="s">
        <v>562</v>
      </c>
      <c r="F156" s="16" t="n">
        <v>9</v>
      </c>
      <c r="G156" s="16" t="n">
        <f aca="false">F156*4</f>
        <v>36</v>
      </c>
      <c r="H156" s="21" t="n">
        <v>263484</v>
      </c>
      <c r="I156" s="22" t="s">
        <v>563</v>
      </c>
      <c r="J156" s="12"/>
      <c r="K156" s="12"/>
      <c r="L156" s="12"/>
      <c r="M156" s="12"/>
      <c r="N156" s="12"/>
      <c r="O156" s="12"/>
      <c r="Q156" s="16"/>
      <c r="R156" s="23"/>
      <c r="S156" s="12"/>
      <c r="T156" s="14" t="s">
        <v>30</v>
      </c>
      <c r="U156" s="30"/>
      <c r="X156" s="25"/>
    </row>
    <row r="157" customFormat="false" ht="18" hidden="false" customHeight="true" outlineLevel="0" collapsed="false">
      <c r="A157" s="5" t="n">
        <v>155</v>
      </c>
      <c r="B157" s="6" t="s">
        <v>544</v>
      </c>
      <c r="C157" s="27" t="s">
        <v>564</v>
      </c>
      <c r="D157" s="8" t="s">
        <v>27</v>
      </c>
      <c r="E157" s="9" t="s">
        <v>565</v>
      </c>
      <c r="F157" s="5" t="n">
        <v>18</v>
      </c>
      <c r="G157" s="5" t="n">
        <f aca="false">F157*4</f>
        <v>72</v>
      </c>
      <c r="H157" s="10" t="n">
        <v>1097999</v>
      </c>
      <c r="I157" s="11" t="s">
        <v>566</v>
      </c>
      <c r="J157" s="12"/>
      <c r="K157" s="12"/>
      <c r="L157" s="12"/>
      <c r="M157" s="12"/>
      <c r="N157" s="12"/>
      <c r="O157" s="12"/>
      <c r="Q157" s="5"/>
      <c r="R157" s="13"/>
      <c r="S157" s="12"/>
      <c r="T157" s="14" t="s">
        <v>30</v>
      </c>
      <c r="U157" s="40"/>
      <c r="X157" s="15"/>
    </row>
    <row r="158" customFormat="false" ht="18" hidden="false" customHeight="true" outlineLevel="0" collapsed="false">
      <c r="A158" s="16" t="n">
        <v>156</v>
      </c>
      <c r="B158" s="17" t="s">
        <v>544</v>
      </c>
      <c r="C158" s="26" t="s">
        <v>567</v>
      </c>
      <c r="D158" s="19" t="s">
        <v>32</v>
      </c>
      <c r="E158" s="20" t="s">
        <v>568</v>
      </c>
      <c r="F158" s="16" t="n">
        <v>27</v>
      </c>
      <c r="G158" s="16" t="n">
        <f aca="false">F158*4</f>
        <v>108</v>
      </c>
      <c r="H158" s="21" t="n">
        <v>1533823</v>
      </c>
      <c r="I158" s="22" t="s">
        <v>569</v>
      </c>
      <c r="J158" s="12"/>
      <c r="K158" s="12"/>
      <c r="L158" s="12"/>
      <c r="M158" s="12"/>
      <c r="N158" s="12"/>
      <c r="O158" s="12"/>
      <c r="Q158" s="16"/>
      <c r="R158" s="23"/>
      <c r="S158" s="12"/>
      <c r="T158" s="14" t="s">
        <v>30</v>
      </c>
      <c r="U158" s="30" t="s">
        <v>570</v>
      </c>
      <c r="V158" s="1" t="n">
        <v>2009</v>
      </c>
      <c r="W158" s="1" t="s">
        <v>571</v>
      </c>
      <c r="X158" s="25"/>
    </row>
    <row r="159" customFormat="false" ht="18" hidden="false" customHeight="true" outlineLevel="0" collapsed="false">
      <c r="A159" s="5" t="n">
        <v>157</v>
      </c>
      <c r="B159" s="6" t="s">
        <v>544</v>
      </c>
      <c r="C159" s="27" t="s">
        <v>572</v>
      </c>
      <c r="D159" s="8" t="s">
        <v>27</v>
      </c>
      <c r="E159" s="9" t="s">
        <v>573</v>
      </c>
      <c r="F159" s="5" t="n">
        <v>36</v>
      </c>
      <c r="G159" s="5" t="n">
        <f aca="false">F159*4</f>
        <v>144</v>
      </c>
      <c r="H159" s="10" t="n">
        <v>2090627</v>
      </c>
      <c r="I159" s="11" t="s">
        <v>574</v>
      </c>
      <c r="J159" s="12"/>
      <c r="K159" s="12"/>
      <c r="L159" s="12"/>
      <c r="M159" s="12"/>
      <c r="N159" s="12"/>
      <c r="O159" s="12"/>
      <c r="Q159" s="5"/>
      <c r="R159" s="13"/>
      <c r="S159" s="12"/>
      <c r="T159" s="14" t="s">
        <v>30</v>
      </c>
      <c r="U159" s="40" t="s">
        <v>575</v>
      </c>
      <c r="V159" s="1" t="n">
        <v>2013</v>
      </c>
      <c r="W159" s="1" t="s">
        <v>576</v>
      </c>
      <c r="X159" s="29"/>
    </row>
    <row r="160" customFormat="false" ht="18" hidden="false" customHeight="true" outlineLevel="0" collapsed="false">
      <c r="A160" s="16" t="n">
        <v>158</v>
      </c>
      <c r="B160" s="17" t="s">
        <v>544</v>
      </c>
      <c r="C160" s="26" t="s">
        <v>577</v>
      </c>
      <c r="D160" s="8" t="s">
        <v>27</v>
      </c>
      <c r="E160" s="20" t="s">
        <v>578</v>
      </c>
      <c r="F160" s="16" t="n">
        <v>27</v>
      </c>
      <c r="G160" s="16" t="n">
        <f aca="false">F160*4</f>
        <v>108</v>
      </c>
      <c r="H160" s="21" t="n">
        <v>1319723</v>
      </c>
      <c r="I160" s="22" t="s">
        <v>579</v>
      </c>
      <c r="J160" s="12"/>
      <c r="K160" s="12"/>
      <c r="L160" s="12"/>
      <c r="M160" s="12"/>
      <c r="N160" s="12"/>
      <c r="O160" s="12"/>
      <c r="Q160" s="16"/>
      <c r="R160" s="23"/>
      <c r="S160" s="12"/>
      <c r="T160" s="14" t="s">
        <v>30</v>
      </c>
      <c r="U160" s="30"/>
      <c r="X160" s="25"/>
    </row>
    <row r="161" customFormat="false" ht="18" hidden="false" customHeight="true" outlineLevel="0" collapsed="false">
      <c r="A161" s="5" t="n">
        <v>159</v>
      </c>
      <c r="B161" s="6" t="s">
        <v>544</v>
      </c>
      <c r="C161" s="27" t="s">
        <v>580</v>
      </c>
      <c r="D161" s="8" t="s">
        <v>27</v>
      </c>
      <c r="E161" s="9" t="s">
        <v>581</v>
      </c>
      <c r="F161" s="5" t="n">
        <v>18</v>
      </c>
      <c r="G161" s="5" t="n">
        <f aca="false">F161*4</f>
        <v>72</v>
      </c>
      <c r="H161" s="10" t="n">
        <v>776652</v>
      </c>
      <c r="I161" s="11" t="s">
        <v>582</v>
      </c>
      <c r="J161" s="12"/>
      <c r="K161" s="12"/>
      <c r="L161" s="12"/>
      <c r="M161" s="12"/>
      <c r="N161" s="12"/>
      <c r="O161" s="12"/>
      <c r="Q161" s="5"/>
      <c r="R161" s="13"/>
      <c r="S161" s="12"/>
      <c r="T161" s="14" t="s">
        <v>30</v>
      </c>
      <c r="U161" s="40"/>
      <c r="X161" s="15"/>
    </row>
    <row r="162" customFormat="false" ht="18" hidden="false" customHeight="true" outlineLevel="0" collapsed="false">
      <c r="A162" s="16" t="n">
        <v>160</v>
      </c>
      <c r="B162" s="17" t="s">
        <v>544</v>
      </c>
      <c r="C162" s="26" t="s">
        <v>583</v>
      </c>
      <c r="D162" s="8" t="s">
        <v>27</v>
      </c>
      <c r="E162" s="20" t="s">
        <v>584</v>
      </c>
      <c r="F162" s="16" t="n">
        <v>18</v>
      </c>
      <c r="G162" s="16" t="n">
        <f aca="false">F162*4</f>
        <v>72</v>
      </c>
      <c r="H162" s="21" t="n">
        <v>922224</v>
      </c>
      <c r="I162" s="22" t="s">
        <v>585</v>
      </c>
      <c r="J162" s="12"/>
      <c r="K162" s="12"/>
      <c r="L162" s="12"/>
      <c r="M162" s="12"/>
      <c r="N162" s="12"/>
      <c r="O162" s="12"/>
      <c r="Q162" s="16"/>
      <c r="R162" s="23"/>
      <c r="S162" s="12"/>
      <c r="T162" s="14" t="s">
        <v>30</v>
      </c>
      <c r="U162" s="30" t="s">
        <v>183</v>
      </c>
      <c r="V162" s="1" t="n">
        <v>1999</v>
      </c>
      <c r="W162" s="1" t="s">
        <v>184</v>
      </c>
      <c r="X162" s="25"/>
    </row>
    <row r="163" customFormat="false" ht="18" hidden="false" customHeight="true" outlineLevel="0" collapsed="false">
      <c r="A163" s="5" t="n">
        <v>161</v>
      </c>
      <c r="B163" s="6" t="s">
        <v>544</v>
      </c>
      <c r="C163" s="27" t="s">
        <v>586</v>
      </c>
      <c r="D163" s="8" t="s">
        <v>27</v>
      </c>
      <c r="E163" s="9" t="s">
        <v>587</v>
      </c>
      <c r="F163" s="5" t="n">
        <v>18</v>
      </c>
      <c r="G163" s="5" t="n">
        <f aca="false">F163*4</f>
        <v>72</v>
      </c>
      <c r="H163" s="10" t="n">
        <v>947483</v>
      </c>
      <c r="I163" s="40" t="s">
        <v>588</v>
      </c>
      <c r="J163" s="12"/>
      <c r="K163" s="12"/>
      <c r="L163" s="12"/>
      <c r="M163" s="12"/>
      <c r="N163" s="12"/>
      <c r="O163" s="12"/>
      <c r="Q163" s="5"/>
      <c r="R163" s="13"/>
      <c r="S163" s="12"/>
      <c r="T163" s="14" t="s">
        <v>30</v>
      </c>
      <c r="U163" s="40"/>
      <c r="X163" s="15"/>
    </row>
    <row r="164" customFormat="false" ht="18" hidden="false" customHeight="true" outlineLevel="0" collapsed="false">
      <c r="A164" s="16" t="n">
        <v>162</v>
      </c>
      <c r="B164" s="17" t="s">
        <v>544</v>
      </c>
      <c r="C164" s="26" t="s">
        <v>589</v>
      </c>
      <c r="D164" s="8" t="s">
        <v>27</v>
      </c>
      <c r="E164" s="20" t="s">
        <v>590</v>
      </c>
      <c r="F164" s="16" t="n">
        <v>18</v>
      </c>
      <c r="G164" s="16" t="n">
        <f aca="false">F164*4</f>
        <v>72</v>
      </c>
      <c r="H164" s="21" t="n">
        <v>979681</v>
      </c>
      <c r="I164" s="22" t="s">
        <v>591</v>
      </c>
      <c r="J164" s="12"/>
      <c r="K164" s="12"/>
      <c r="L164" s="12"/>
      <c r="M164" s="12"/>
      <c r="N164" s="12"/>
      <c r="O164" s="12"/>
      <c r="Q164" s="16"/>
      <c r="R164" s="23"/>
      <c r="S164" s="12"/>
      <c r="T164" s="14" t="s">
        <v>30</v>
      </c>
      <c r="U164" s="30"/>
      <c r="X164" s="25"/>
    </row>
    <row r="165" customFormat="false" ht="18" hidden="false" customHeight="true" outlineLevel="0" collapsed="false">
      <c r="A165" s="5" t="n">
        <v>163</v>
      </c>
      <c r="B165" s="6" t="s">
        <v>544</v>
      </c>
      <c r="C165" s="27" t="s">
        <v>592</v>
      </c>
      <c r="D165" s="8" t="s">
        <v>27</v>
      </c>
      <c r="E165" s="9" t="s">
        <v>593</v>
      </c>
      <c r="F165" s="5" t="n">
        <v>18</v>
      </c>
      <c r="G165" s="5" t="n">
        <f aca="false">F165*4</f>
        <v>72</v>
      </c>
      <c r="H165" s="10" t="n">
        <v>889200</v>
      </c>
      <c r="I165" s="11" t="s">
        <v>594</v>
      </c>
      <c r="J165" s="12"/>
      <c r="K165" s="12"/>
      <c r="L165" s="12"/>
      <c r="M165" s="12"/>
      <c r="N165" s="12"/>
      <c r="O165" s="12"/>
      <c r="Q165" s="5"/>
      <c r="R165" s="13"/>
      <c r="S165" s="12"/>
      <c r="T165" s="14" t="s">
        <v>30</v>
      </c>
      <c r="U165" s="40"/>
      <c r="X165" s="15"/>
    </row>
    <row r="166" customFormat="false" ht="18" hidden="false" customHeight="true" outlineLevel="0" collapsed="false">
      <c r="A166" s="16" t="n">
        <v>164</v>
      </c>
      <c r="B166" s="17" t="s">
        <v>544</v>
      </c>
      <c r="C166" s="26" t="s">
        <v>595</v>
      </c>
      <c r="D166" s="19" t="s">
        <v>32</v>
      </c>
      <c r="E166" s="20" t="s">
        <v>596</v>
      </c>
      <c r="F166" s="16" t="n">
        <v>18</v>
      </c>
      <c r="G166" s="16" t="n">
        <f aca="false">F166*4</f>
        <v>72</v>
      </c>
      <c r="H166" s="21" t="n">
        <v>911927</v>
      </c>
      <c r="I166" s="22" t="s">
        <v>597</v>
      </c>
      <c r="J166" s="12"/>
      <c r="K166" s="12"/>
      <c r="L166" s="12"/>
      <c r="M166" s="12"/>
      <c r="N166" s="12"/>
      <c r="O166" s="12"/>
      <c r="Q166" s="16"/>
      <c r="R166" s="23"/>
      <c r="S166" s="12"/>
      <c r="T166" s="14" t="s">
        <v>30</v>
      </c>
      <c r="U166" s="30"/>
      <c r="X166" s="25"/>
    </row>
    <row r="167" customFormat="false" ht="18" hidden="false" customHeight="true" outlineLevel="0" collapsed="false">
      <c r="A167" s="5" t="n">
        <v>165</v>
      </c>
      <c r="B167" s="6" t="s">
        <v>544</v>
      </c>
      <c r="C167" s="27" t="s">
        <v>598</v>
      </c>
      <c r="D167" s="8" t="s">
        <v>27</v>
      </c>
      <c r="E167" s="9" t="s">
        <v>599</v>
      </c>
      <c r="F167" s="5" t="n">
        <v>27</v>
      </c>
      <c r="G167" s="5" t="n">
        <f aca="false">F167*4</f>
        <v>108</v>
      </c>
      <c r="H167" s="10" t="n">
        <v>1698102</v>
      </c>
      <c r="I167" s="11" t="s">
        <v>600</v>
      </c>
      <c r="J167" s="12"/>
      <c r="K167" s="12"/>
      <c r="L167" s="12"/>
      <c r="M167" s="12"/>
      <c r="N167" s="12"/>
      <c r="O167" s="12"/>
      <c r="Q167" s="5"/>
      <c r="R167" s="13"/>
      <c r="S167" s="12"/>
      <c r="T167" s="14" t="s">
        <v>30</v>
      </c>
      <c r="U167" s="40" t="s">
        <v>601</v>
      </c>
      <c r="V167" s="1" t="n">
        <v>2007</v>
      </c>
      <c r="W167" s="1" t="s">
        <v>602</v>
      </c>
      <c r="X167" s="29"/>
    </row>
    <row r="168" customFormat="false" ht="18" hidden="false" customHeight="true" outlineLevel="0" collapsed="false">
      <c r="A168" s="16" t="n">
        <v>166</v>
      </c>
      <c r="B168" s="17" t="s">
        <v>544</v>
      </c>
      <c r="C168" s="26" t="s">
        <v>603</v>
      </c>
      <c r="D168" s="8" t="s">
        <v>27</v>
      </c>
      <c r="E168" s="20" t="s">
        <v>604</v>
      </c>
      <c r="F168" s="16" t="n">
        <v>27</v>
      </c>
      <c r="G168" s="16" t="n">
        <f aca="false">F168*4</f>
        <v>108</v>
      </c>
      <c r="H168" s="21" t="n">
        <v>1481037</v>
      </c>
      <c r="I168" s="22" t="s">
        <v>605</v>
      </c>
      <c r="J168" s="12"/>
      <c r="K168" s="12"/>
      <c r="L168" s="12"/>
      <c r="M168" s="12"/>
      <c r="N168" s="12"/>
      <c r="O168" s="12"/>
      <c r="Q168" s="16"/>
      <c r="R168" s="23"/>
      <c r="S168" s="12"/>
      <c r="T168" s="14" t="s">
        <v>30</v>
      </c>
      <c r="U168" s="30"/>
      <c r="X168" s="25"/>
    </row>
    <row r="169" customFormat="false" ht="18" hidden="false" customHeight="true" outlineLevel="0" collapsed="false">
      <c r="A169" s="5" t="n">
        <v>167</v>
      </c>
      <c r="B169" s="6" t="s">
        <v>544</v>
      </c>
      <c r="C169" s="27" t="s">
        <v>606</v>
      </c>
      <c r="D169" s="19" t="s">
        <v>32</v>
      </c>
      <c r="E169" s="9" t="s">
        <v>607</v>
      </c>
      <c r="F169" s="5" t="n">
        <v>18</v>
      </c>
      <c r="G169" s="5" t="n">
        <f aca="false">F169*4</f>
        <v>72</v>
      </c>
      <c r="H169" s="10" t="n">
        <v>834352</v>
      </c>
      <c r="I169" s="11" t="s">
        <v>608</v>
      </c>
      <c r="J169" s="12"/>
      <c r="K169" s="12"/>
      <c r="L169" s="12"/>
      <c r="M169" s="12"/>
      <c r="N169" s="12"/>
      <c r="O169" s="12"/>
      <c r="Q169" s="5"/>
      <c r="R169" s="13"/>
      <c r="S169" s="12"/>
      <c r="T169" s="14" t="s">
        <v>30</v>
      </c>
      <c r="U169" s="40"/>
      <c r="X169" s="15"/>
    </row>
    <row r="170" customFormat="false" ht="18" hidden="false" customHeight="true" outlineLevel="0" collapsed="false">
      <c r="A170" s="16" t="n">
        <v>168</v>
      </c>
      <c r="B170" s="17" t="s">
        <v>544</v>
      </c>
      <c r="C170" s="26" t="s">
        <v>609</v>
      </c>
      <c r="D170" s="8" t="s">
        <v>27</v>
      </c>
      <c r="E170" s="20" t="s">
        <v>610</v>
      </c>
      <c r="F170" s="16" t="n">
        <v>27</v>
      </c>
      <c r="G170" s="16" t="n">
        <f aca="false">F170*4</f>
        <v>108</v>
      </c>
      <c r="H170" s="21" t="n">
        <v>1430946</v>
      </c>
      <c r="I170" s="22" t="s">
        <v>611</v>
      </c>
      <c r="J170" s="12"/>
      <c r="K170" s="12"/>
      <c r="L170" s="12"/>
      <c r="M170" s="12"/>
      <c r="N170" s="12"/>
      <c r="O170" s="12"/>
      <c r="Q170" s="16"/>
      <c r="R170" s="23"/>
      <c r="S170" s="12"/>
      <c r="T170" s="14" t="s">
        <v>30</v>
      </c>
      <c r="U170" s="30" t="s">
        <v>612</v>
      </c>
      <c r="V170" s="1" t="n">
        <v>2015</v>
      </c>
      <c r="W170" s="1" t="s">
        <v>613</v>
      </c>
      <c r="X170" s="25"/>
    </row>
    <row r="171" customFormat="false" ht="18" hidden="false" customHeight="true" outlineLevel="0" collapsed="false">
      <c r="A171" s="5" t="n">
        <v>169</v>
      </c>
      <c r="B171" s="6" t="s">
        <v>544</v>
      </c>
      <c r="C171" s="27" t="s">
        <v>614</v>
      </c>
      <c r="D171" s="8" t="s">
        <v>27</v>
      </c>
      <c r="E171" s="9" t="s">
        <v>610</v>
      </c>
      <c r="F171" s="5" t="n">
        <v>18</v>
      </c>
      <c r="G171" s="5" t="n">
        <f aca="false">F171*4</f>
        <v>72</v>
      </c>
      <c r="H171" s="10" t="n">
        <v>885584</v>
      </c>
      <c r="I171" s="11" t="s">
        <v>615</v>
      </c>
      <c r="J171" s="12"/>
      <c r="K171" s="12"/>
      <c r="L171" s="12"/>
      <c r="M171" s="12"/>
      <c r="N171" s="12"/>
      <c r="O171" s="12"/>
      <c r="Q171" s="5"/>
      <c r="R171" s="13"/>
      <c r="S171" s="12"/>
      <c r="T171" s="14" t="s">
        <v>30</v>
      </c>
      <c r="U171" s="40"/>
      <c r="X171" s="15"/>
    </row>
    <row r="172" customFormat="false" ht="18" hidden="false" customHeight="true" outlineLevel="0" collapsed="false">
      <c r="A172" s="16" t="n">
        <v>170</v>
      </c>
      <c r="B172" s="17" t="s">
        <v>544</v>
      </c>
      <c r="C172" s="26" t="s">
        <v>616</v>
      </c>
      <c r="D172" s="8" t="s">
        <v>27</v>
      </c>
      <c r="E172" s="20" t="s">
        <v>617</v>
      </c>
      <c r="F172" s="16" t="n">
        <v>27</v>
      </c>
      <c r="G172" s="16" t="n">
        <f aca="false">F172*4</f>
        <v>108</v>
      </c>
      <c r="H172" s="21" t="n">
        <v>1346136</v>
      </c>
      <c r="I172" s="22" t="s">
        <v>618</v>
      </c>
      <c r="J172" s="12"/>
      <c r="K172" s="12"/>
      <c r="L172" s="12"/>
      <c r="M172" s="12"/>
      <c r="N172" s="12"/>
      <c r="O172" s="12"/>
      <c r="Q172" s="16"/>
      <c r="R172" s="23"/>
      <c r="S172" s="12"/>
      <c r="T172" s="14" t="s">
        <v>30</v>
      </c>
      <c r="U172" s="30"/>
      <c r="X172" s="25"/>
    </row>
    <row r="173" customFormat="false" ht="18" hidden="false" customHeight="true" outlineLevel="0" collapsed="false">
      <c r="A173" s="5" t="n">
        <v>171</v>
      </c>
      <c r="B173" s="6" t="s">
        <v>544</v>
      </c>
      <c r="C173" s="27" t="s">
        <v>619</v>
      </c>
      <c r="D173" s="19" t="s">
        <v>32</v>
      </c>
      <c r="E173" s="9" t="s">
        <v>620</v>
      </c>
      <c r="F173" s="5" t="n">
        <v>18</v>
      </c>
      <c r="G173" s="5" t="n">
        <f aca="false">F173*4</f>
        <v>72</v>
      </c>
      <c r="H173" s="10" t="n">
        <v>1034680</v>
      </c>
      <c r="I173" s="11" t="s">
        <v>621</v>
      </c>
      <c r="J173" s="12"/>
      <c r="K173" s="12"/>
      <c r="L173" s="12"/>
      <c r="M173" s="12"/>
      <c r="N173" s="12"/>
      <c r="O173" s="12"/>
      <c r="Q173" s="5"/>
      <c r="R173" s="13"/>
      <c r="S173" s="12"/>
      <c r="T173" s="14" t="s">
        <v>30</v>
      </c>
      <c r="U173" s="40"/>
      <c r="X173" s="15"/>
    </row>
    <row r="174" customFormat="false" ht="18" hidden="false" customHeight="true" outlineLevel="0" collapsed="false">
      <c r="A174" s="16" t="n">
        <v>172</v>
      </c>
      <c r="B174" s="17" t="s">
        <v>544</v>
      </c>
      <c r="C174" s="26" t="s">
        <v>622</v>
      </c>
      <c r="D174" s="8" t="s">
        <v>27</v>
      </c>
      <c r="E174" s="20" t="s">
        <v>620</v>
      </c>
      <c r="F174" s="16" t="n">
        <v>18</v>
      </c>
      <c r="G174" s="16" t="n">
        <f aca="false">F174*4</f>
        <v>72</v>
      </c>
      <c r="H174" s="21" t="n">
        <v>771962</v>
      </c>
      <c r="I174" s="22" t="s">
        <v>621</v>
      </c>
      <c r="J174" s="12"/>
      <c r="K174" s="12"/>
      <c r="L174" s="12"/>
      <c r="M174" s="12"/>
      <c r="N174" s="12"/>
      <c r="O174" s="12"/>
      <c r="Q174" s="16"/>
      <c r="R174" s="23"/>
      <c r="S174" s="12"/>
      <c r="T174" s="14" t="s">
        <v>30</v>
      </c>
      <c r="U174" s="30"/>
      <c r="X174" s="25"/>
    </row>
    <row r="175" customFormat="false" ht="18" hidden="false" customHeight="true" outlineLevel="0" collapsed="false">
      <c r="A175" s="5" t="n">
        <v>173</v>
      </c>
      <c r="B175" s="6" t="s">
        <v>544</v>
      </c>
      <c r="C175" s="27" t="s">
        <v>623</v>
      </c>
      <c r="D175" s="8" t="s">
        <v>27</v>
      </c>
      <c r="E175" s="9" t="s">
        <v>620</v>
      </c>
      <c r="F175" s="5" t="n">
        <v>9</v>
      </c>
      <c r="G175" s="5" t="n">
        <f aca="false">F175*4</f>
        <v>36</v>
      </c>
      <c r="H175" s="10" t="n">
        <v>327800</v>
      </c>
      <c r="I175" s="11" t="s">
        <v>621</v>
      </c>
      <c r="J175" s="12"/>
      <c r="K175" s="12"/>
      <c r="L175" s="12"/>
      <c r="M175" s="12"/>
      <c r="N175" s="12"/>
      <c r="O175" s="12"/>
      <c r="Q175" s="5"/>
      <c r="R175" s="13"/>
      <c r="S175" s="12"/>
      <c r="T175" s="14" t="s">
        <v>30</v>
      </c>
      <c r="U175" s="40"/>
      <c r="X175" s="15"/>
    </row>
    <row r="176" customFormat="false" ht="18" hidden="false" customHeight="true" outlineLevel="0" collapsed="false">
      <c r="A176" s="16" t="n">
        <v>174</v>
      </c>
      <c r="B176" s="17" t="s">
        <v>544</v>
      </c>
      <c r="C176" s="26" t="s">
        <v>624</v>
      </c>
      <c r="D176" s="8" t="s">
        <v>27</v>
      </c>
      <c r="E176" s="20" t="s">
        <v>625</v>
      </c>
      <c r="F176" s="16" t="n">
        <v>18</v>
      </c>
      <c r="G176" s="16" t="n">
        <f aca="false">F176*4</f>
        <v>72</v>
      </c>
      <c r="H176" s="21" t="n">
        <v>642826</v>
      </c>
      <c r="I176" s="22" t="s">
        <v>626</v>
      </c>
      <c r="J176" s="12"/>
      <c r="K176" s="12"/>
      <c r="L176" s="12"/>
      <c r="M176" s="12"/>
      <c r="N176" s="12"/>
      <c r="O176" s="12"/>
      <c r="Q176" s="16"/>
      <c r="R176" s="23"/>
      <c r="S176" s="12"/>
      <c r="T176" s="14" t="s">
        <v>30</v>
      </c>
      <c r="U176" s="30"/>
      <c r="X176" s="25"/>
    </row>
    <row r="177" customFormat="false" ht="18" hidden="false" customHeight="true" outlineLevel="0" collapsed="false">
      <c r="A177" s="5" t="n">
        <v>175</v>
      </c>
      <c r="B177" s="6" t="s">
        <v>544</v>
      </c>
      <c r="C177" s="27" t="s">
        <v>627</v>
      </c>
      <c r="D177" s="8" t="s">
        <v>27</v>
      </c>
      <c r="E177" s="9" t="s">
        <v>628</v>
      </c>
      <c r="F177" s="5" t="n">
        <v>9</v>
      </c>
      <c r="G177" s="5" t="n">
        <f aca="false">F177*4</f>
        <v>36</v>
      </c>
      <c r="H177" s="10" t="n">
        <v>489900</v>
      </c>
      <c r="I177" s="11" t="s">
        <v>626</v>
      </c>
      <c r="J177" s="12"/>
      <c r="K177" s="12"/>
      <c r="L177" s="12"/>
      <c r="M177" s="12"/>
      <c r="N177" s="12"/>
      <c r="O177" s="12"/>
      <c r="Q177" s="5"/>
      <c r="R177" s="13"/>
      <c r="S177" s="12"/>
      <c r="T177" s="14" t="s">
        <v>30</v>
      </c>
      <c r="U177" s="40"/>
      <c r="X177" s="15"/>
    </row>
    <row r="178" customFormat="false" ht="18" hidden="false" customHeight="true" outlineLevel="0" collapsed="false">
      <c r="A178" s="16" t="n">
        <v>176</v>
      </c>
      <c r="B178" s="17" t="s">
        <v>544</v>
      </c>
      <c r="C178" s="26" t="s">
        <v>629</v>
      </c>
      <c r="D178" s="8" t="s">
        <v>27</v>
      </c>
      <c r="E178" s="20" t="s">
        <v>630</v>
      </c>
      <c r="F178" s="16" t="n">
        <v>18</v>
      </c>
      <c r="G178" s="16" t="n">
        <f aca="false">F178*4</f>
        <v>72</v>
      </c>
      <c r="H178" s="21" t="n">
        <v>1031267</v>
      </c>
      <c r="I178" s="22" t="s">
        <v>626</v>
      </c>
      <c r="J178" s="12"/>
      <c r="K178" s="12"/>
      <c r="L178" s="12"/>
      <c r="M178" s="12"/>
      <c r="N178" s="12"/>
      <c r="O178" s="12"/>
      <c r="Q178" s="16"/>
      <c r="R178" s="23"/>
      <c r="S178" s="12"/>
      <c r="T178" s="14" t="s">
        <v>30</v>
      </c>
      <c r="U178" s="30"/>
      <c r="X178" s="25"/>
    </row>
    <row r="179" customFormat="false" ht="18" hidden="false" customHeight="true" outlineLevel="0" collapsed="false">
      <c r="A179" s="5" t="n">
        <v>177</v>
      </c>
      <c r="B179" s="6" t="s">
        <v>544</v>
      </c>
      <c r="C179" s="27" t="s">
        <v>631</v>
      </c>
      <c r="D179" s="8" t="s">
        <v>27</v>
      </c>
      <c r="E179" s="9" t="s">
        <v>632</v>
      </c>
      <c r="F179" s="5" t="n">
        <v>18</v>
      </c>
      <c r="G179" s="5" t="n">
        <f aca="false">F179*4</f>
        <v>72</v>
      </c>
      <c r="H179" s="10" t="n">
        <v>1306750</v>
      </c>
      <c r="I179" s="11" t="s">
        <v>626</v>
      </c>
      <c r="J179" s="12"/>
      <c r="K179" s="12"/>
      <c r="L179" s="12"/>
      <c r="M179" s="12"/>
      <c r="N179" s="12"/>
      <c r="O179" s="12"/>
      <c r="Q179" s="5"/>
      <c r="R179" s="13"/>
      <c r="S179" s="12"/>
      <c r="T179" s="14" t="s">
        <v>30</v>
      </c>
      <c r="U179" s="40"/>
      <c r="X179" s="15"/>
    </row>
    <row r="180" customFormat="false" ht="18" hidden="false" customHeight="true" outlineLevel="0" collapsed="false">
      <c r="A180" s="16" t="n">
        <v>178</v>
      </c>
      <c r="B180" s="17" t="s">
        <v>544</v>
      </c>
      <c r="C180" s="26" t="s">
        <v>633</v>
      </c>
      <c r="D180" s="8" t="s">
        <v>27</v>
      </c>
      <c r="E180" s="20" t="s">
        <v>634</v>
      </c>
      <c r="F180" s="16" t="n">
        <v>9</v>
      </c>
      <c r="G180" s="16" t="n">
        <f aca="false">F180*4</f>
        <v>36</v>
      </c>
      <c r="H180" s="21" t="n">
        <v>289720</v>
      </c>
      <c r="I180" s="22" t="s">
        <v>635</v>
      </c>
      <c r="J180" s="12"/>
      <c r="K180" s="12"/>
      <c r="L180" s="12"/>
      <c r="M180" s="12"/>
      <c r="N180" s="12"/>
      <c r="O180" s="12"/>
      <c r="Q180" s="16"/>
      <c r="R180" s="23"/>
      <c r="S180" s="12"/>
      <c r="T180" s="14" t="s">
        <v>30</v>
      </c>
      <c r="U180" s="30"/>
      <c r="X180" s="25"/>
    </row>
    <row r="181" customFormat="false" ht="18" hidden="false" customHeight="true" outlineLevel="0" collapsed="false">
      <c r="A181" s="5" t="n">
        <v>179</v>
      </c>
      <c r="B181" s="6" t="s">
        <v>544</v>
      </c>
      <c r="C181" s="27" t="s">
        <v>636</v>
      </c>
      <c r="D181" s="8" t="s">
        <v>27</v>
      </c>
      <c r="E181" s="9" t="s">
        <v>637</v>
      </c>
      <c r="F181" s="5" t="n">
        <v>18</v>
      </c>
      <c r="G181" s="5" t="n">
        <f aca="false">F181*4</f>
        <v>72</v>
      </c>
      <c r="H181" s="10" t="n">
        <v>1270178</v>
      </c>
      <c r="I181" s="11" t="s">
        <v>638</v>
      </c>
      <c r="J181" s="12"/>
      <c r="K181" s="12"/>
      <c r="L181" s="12"/>
      <c r="M181" s="12"/>
      <c r="N181" s="12"/>
      <c r="O181" s="12"/>
      <c r="Q181" s="5"/>
      <c r="R181" s="13"/>
      <c r="S181" s="12"/>
      <c r="T181" s="14" t="s">
        <v>30</v>
      </c>
      <c r="U181" s="40" t="s">
        <v>639</v>
      </c>
      <c r="V181" s="1" t="n">
        <v>2009</v>
      </c>
      <c r="W181" s="1" t="s">
        <v>640</v>
      </c>
      <c r="X181" s="29"/>
    </row>
    <row r="182" customFormat="false" ht="18" hidden="false" customHeight="true" outlineLevel="0" collapsed="false">
      <c r="A182" s="16" t="n">
        <v>180</v>
      </c>
      <c r="B182" s="17" t="s">
        <v>544</v>
      </c>
      <c r="C182" s="26" t="s">
        <v>641</v>
      </c>
      <c r="D182" s="19" t="s">
        <v>32</v>
      </c>
      <c r="E182" s="20" t="s">
        <v>637</v>
      </c>
      <c r="F182" s="16" t="n">
        <v>27</v>
      </c>
      <c r="G182" s="16" t="n">
        <f aca="false">F182*4</f>
        <v>108</v>
      </c>
      <c r="H182" s="21" t="n">
        <v>1491721</v>
      </c>
      <c r="I182" s="22" t="s">
        <v>638</v>
      </c>
      <c r="J182" s="12"/>
      <c r="K182" s="12"/>
      <c r="L182" s="12"/>
      <c r="M182" s="12"/>
      <c r="N182" s="12"/>
      <c r="O182" s="12"/>
      <c r="Q182" s="16"/>
      <c r="R182" s="23"/>
      <c r="S182" s="12"/>
      <c r="T182" s="14" t="s">
        <v>30</v>
      </c>
      <c r="U182" s="30" t="s">
        <v>639</v>
      </c>
      <c r="V182" s="1" t="n">
        <v>2009</v>
      </c>
      <c r="W182" s="1" t="s">
        <v>640</v>
      </c>
      <c r="X182" s="25"/>
    </row>
    <row r="183" customFormat="false" ht="18" hidden="false" customHeight="true" outlineLevel="0" collapsed="false">
      <c r="A183" s="5" t="n">
        <v>181</v>
      </c>
      <c r="B183" s="6" t="s">
        <v>544</v>
      </c>
      <c r="C183" s="27" t="s">
        <v>642</v>
      </c>
      <c r="D183" s="8" t="s">
        <v>27</v>
      </c>
      <c r="E183" s="9" t="s">
        <v>643</v>
      </c>
      <c r="F183" s="5" t="n">
        <v>18</v>
      </c>
      <c r="G183" s="5" t="n">
        <f aca="false">F183*4</f>
        <v>72</v>
      </c>
      <c r="H183" s="10" t="n">
        <v>746919</v>
      </c>
      <c r="I183" s="11" t="s">
        <v>644</v>
      </c>
      <c r="J183" s="12"/>
      <c r="K183" s="12"/>
      <c r="L183" s="12"/>
      <c r="M183" s="12"/>
      <c r="N183" s="12"/>
      <c r="O183" s="12"/>
      <c r="Q183" s="5"/>
      <c r="R183" s="13"/>
      <c r="S183" s="12"/>
      <c r="T183" s="14" t="s">
        <v>30</v>
      </c>
      <c r="U183" s="40"/>
      <c r="X183" s="15"/>
    </row>
    <row r="184" customFormat="false" ht="18" hidden="false" customHeight="true" outlineLevel="0" collapsed="false">
      <c r="A184" s="16" t="n">
        <v>182</v>
      </c>
      <c r="B184" s="17" t="s">
        <v>544</v>
      </c>
      <c r="C184" s="26" t="s">
        <v>645</v>
      </c>
      <c r="D184" s="8" t="s">
        <v>27</v>
      </c>
      <c r="E184" s="20" t="s">
        <v>646</v>
      </c>
      <c r="F184" s="16" t="n">
        <v>18</v>
      </c>
      <c r="G184" s="16" t="n">
        <f aca="false">F184*4</f>
        <v>72</v>
      </c>
      <c r="H184" s="21" t="n">
        <v>1033598</v>
      </c>
      <c r="I184" s="22" t="s">
        <v>647</v>
      </c>
      <c r="J184" s="12"/>
      <c r="K184" s="12"/>
      <c r="L184" s="12"/>
      <c r="M184" s="12"/>
      <c r="N184" s="12"/>
      <c r="O184" s="12"/>
      <c r="Q184" s="16"/>
      <c r="R184" s="23"/>
      <c r="S184" s="12"/>
      <c r="T184" s="14" t="s">
        <v>30</v>
      </c>
      <c r="U184" s="30"/>
      <c r="X184" s="25"/>
    </row>
    <row r="185" customFormat="false" ht="18" hidden="false" customHeight="true" outlineLevel="0" collapsed="false">
      <c r="A185" s="5" t="n">
        <v>183</v>
      </c>
      <c r="B185" s="6" t="s">
        <v>544</v>
      </c>
      <c r="C185" s="27" t="s">
        <v>648</v>
      </c>
      <c r="D185" s="8" t="s">
        <v>27</v>
      </c>
      <c r="E185" s="9" t="s">
        <v>649</v>
      </c>
      <c r="F185" s="5" t="n">
        <v>9</v>
      </c>
      <c r="G185" s="5" t="n">
        <f aca="false">F185*4</f>
        <v>36</v>
      </c>
      <c r="H185" s="10" t="n">
        <v>504138</v>
      </c>
      <c r="I185" s="11" t="s">
        <v>650</v>
      </c>
      <c r="J185" s="12"/>
      <c r="K185" s="12"/>
      <c r="L185" s="12"/>
      <c r="M185" s="12"/>
      <c r="N185" s="12"/>
      <c r="O185" s="12"/>
      <c r="Q185" s="5"/>
      <c r="R185" s="13"/>
      <c r="S185" s="12"/>
      <c r="T185" s="14" t="s">
        <v>30</v>
      </c>
      <c r="U185" s="40"/>
      <c r="X185" s="15"/>
    </row>
    <row r="186" customFormat="false" ht="18" hidden="false" customHeight="true" outlineLevel="0" collapsed="false">
      <c r="A186" s="16" t="n">
        <v>184</v>
      </c>
      <c r="B186" s="17" t="s">
        <v>544</v>
      </c>
      <c r="C186" s="26" t="s">
        <v>651</v>
      </c>
      <c r="D186" s="8" t="s">
        <v>27</v>
      </c>
      <c r="E186" s="20" t="s">
        <v>652</v>
      </c>
      <c r="F186" s="16" t="n">
        <v>10</v>
      </c>
      <c r="G186" s="16" t="n">
        <f aca="false">F186*4</f>
        <v>40</v>
      </c>
      <c r="H186" s="21" t="n">
        <v>445150</v>
      </c>
      <c r="I186" s="22" t="s">
        <v>653</v>
      </c>
      <c r="J186" s="12"/>
      <c r="K186" s="12"/>
      <c r="L186" s="12"/>
      <c r="M186" s="12"/>
      <c r="N186" s="12"/>
      <c r="O186" s="12"/>
      <c r="Q186" s="16"/>
      <c r="R186" s="23"/>
      <c r="S186" s="12"/>
      <c r="T186" s="14" t="s">
        <v>30</v>
      </c>
      <c r="U186" s="30" t="s">
        <v>654</v>
      </c>
      <c r="V186" s="1" t="n">
        <v>2002</v>
      </c>
      <c r="W186" s="1" t="s">
        <v>655</v>
      </c>
      <c r="X186" s="25"/>
    </row>
    <row r="187" customFormat="false" ht="18" hidden="false" customHeight="true" outlineLevel="0" collapsed="false">
      <c r="A187" s="5" t="n">
        <v>185</v>
      </c>
      <c r="B187" s="6" t="s">
        <v>544</v>
      </c>
      <c r="C187" s="27" t="s">
        <v>656</v>
      </c>
      <c r="D187" s="19" t="s">
        <v>32</v>
      </c>
      <c r="E187" s="9" t="s">
        <v>652</v>
      </c>
      <c r="F187" s="5" t="n">
        <v>27</v>
      </c>
      <c r="G187" s="5" t="n">
        <f aca="false">F187*4</f>
        <v>108</v>
      </c>
      <c r="H187" s="10" t="n">
        <v>1041925</v>
      </c>
      <c r="I187" s="11" t="s">
        <v>653</v>
      </c>
      <c r="J187" s="38" t="n">
        <v>2</v>
      </c>
      <c r="K187" s="38" t="n">
        <v>2.1</v>
      </c>
      <c r="L187" s="38" t="n">
        <v>1.8</v>
      </c>
      <c r="M187" s="31" t="n">
        <v>4.9</v>
      </c>
      <c r="N187" s="37" t="n">
        <v>2.8</v>
      </c>
      <c r="O187" s="39" t="n">
        <f aca="false">ROUND(AVERAGE(J187:N187),2)</f>
        <v>2.72</v>
      </c>
      <c r="Q187" s="5" t="n">
        <v>140</v>
      </c>
      <c r="R187" s="13" t="n">
        <v>73.5</v>
      </c>
      <c r="S187" s="67" t="s">
        <v>657</v>
      </c>
      <c r="T187" s="35" t="s">
        <v>91</v>
      </c>
      <c r="U187" s="42" t="s">
        <v>658</v>
      </c>
      <c r="V187" s="1" t="n">
        <v>2002</v>
      </c>
      <c r="W187" s="1" t="s">
        <v>655</v>
      </c>
      <c r="X187" s="29"/>
    </row>
    <row r="188" customFormat="false" ht="18" hidden="false" customHeight="true" outlineLevel="0" collapsed="false">
      <c r="A188" s="16" t="n">
        <v>186</v>
      </c>
      <c r="B188" s="17" t="s">
        <v>544</v>
      </c>
      <c r="C188" s="26" t="s">
        <v>659</v>
      </c>
      <c r="D188" s="8" t="s">
        <v>27</v>
      </c>
      <c r="E188" s="20" t="s">
        <v>660</v>
      </c>
      <c r="F188" s="16" t="n">
        <v>9</v>
      </c>
      <c r="G188" s="16" t="n">
        <f aca="false">F188*4</f>
        <v>36</v>
      </c>
      <c r="H188" s="21" t="n">
        <v>236439</v>
      </c>
      <c r="I188" s="22" t="s">
        <v>661</v>
      </c>
      <c r="J188" s="12"/>
      <c r="K188" s="12"/>
      <c r="L188" s="12"/>
      <c r="M188" s="12"/>
      <c r="N188" s="12"/>
      <c r="O188" s="12"/>
      <c r="Q188" s="16"/>
      <c r="R188" s="23"/>
      <c r="S188" s="12"/>
      <c r="T188" s="14" t="s">
        <v>30</v>
      </c>
      <c r="U188" s="30"/>
      <c r="X188" s="25"/>
    </row>
    <row r="189" customFormat="false" ht="18" hidden="false" customHeight="true" outlineLevel="0" collapsed="false">
      <c r="A189" s="5" t="n">
        <v>187</v>
      </c>
      <c r="B189" s="6" t="s">
        <v>544</v>
      </c>
      <c r="C189" s="27" t="s">
        <v>662</v>
      </c>
      <c r="D189" s="8" t="s">
        <v>27</v>
      </c>
      <c r="E189" s="9" t="s">
        <v>663</v>
      </c>
      <c r="F189" s="5" t="n">
        <v>18</v>
      </c>
      <c r="G189" s="5" t="n">
        <f aca="false">F189*4</f>
        <v>72</v>
      </c>
      <c r="H189" s="10" t="n">
        <v>1023599</v>
      </c>
      <c r="I189" s="11" t="s">
        <v>664</v>
      </c>
      <c r="J189" s="12"/>
      <c r="K189" s="12"/>
      <c r="L189" s="12"/>
      <c r="M189" s="12"/>
      <c r="N189" s="12"/>
      <c r="O189" s="12"/>
      <c r="Q189" s="5"/>
      <c r="R189" s="13"/>
      <c r="S189" s="12"/>
      <c r="T189" s="14" t="s">
        <v>30</v>
      </c>
      <c r="U189" s="40" t="s">
        <v>665</v>
      </c>
      <c r="V189" s="1" t="n">
        <v>2013</v>
      </c>
      <c r="W189" s="1" t="s">
        <v>666</v>
      </c>
      <c r="X189" s="29"/>
    </row>
    <row r="190" customFormat="false" ht="18" hidden="false" customHeight="true" outlineLevel="0" collapsed="false">
      <c r="A190" s="16" t="n">
        <v>188</v>
      </c>
      <c r="B190" s="17" t="s">
        <v>544</v>
      </c>
      <c r="C190" s="26" t="s">
        <v>667</v>
      </c>
      <c r="D190" s="8" t="s">
        <v>27</v>
      </c>
      <c r="E190" s="20" t="s">
        <v>668</v>
      </c>
      <c r="F190" s="16" t="n">
        <v>9</v>
      </c>
      <c r="G190" s="16" t="n">
        <f aca="false">F190*4</f>
        <v>36</v>
      </c>
      <c r="H190" s="21" t="n">
        <v>296695</v>
      </c>
      <c r="I190" s="22" t="s">
        <v>547</v>
      </c>
      <c r="J190" s="12"/>
      <c r="K190" s="12"/>
      <c r="L190" s="12"/>
      <c r="M190" s="12"/>
      <c r="N190" s="12"/>
      <c r="O190" s="12"/>
      <c r="Q190" s="16"/>
      <c r="R190" s="23"/>
      <c r="S190" s="12"/>
      <c r="T190" s="14" t="s">
        <v>30</v>
      </c>
      <c r="U190" s="30" t="s">
        <v>669</v>
      </c>
      <c r="V190" s="1" t="n">
        <v>1995</v>
      </c>
      <c r="W190" s="1" t="s">
        <v>670</v>
      </c>
      <c r="X190" s="25"/>
    </row>
    <row r="191" customFormat="false" ht="18" hidden="false" customHeight="true" outlineLevel="0" collapsed="false">
      <c r="A191" s="5" t="n">
        <v>189</v>
      </c>
      <c r="B191" s="6" t="s">
        <v>544</v>
      </c>
      <c r="C191" s="27" t="s">
        <v>671</v>
      </c>
      <c r="D191" s="19" t="s">
        <v>32</v>
      </c>
      <c r="E191" s="9" t="s">
        <v>668</v>
      </c>
      <c r="F191" s="5" t="n">
        <v>36</v>
      </c>
      <c r="G191" s="5" t="n">
        <f aca="false">F191*4</f>
        <v>144</v>
      </c>
      <c r="H191" s="10" t="n">
        <v>1839621</v>
      </c>
      <c r="I191" s="11" t="s">
        <v>547</v>
      </c>
      <c r="J191" s="12"/>
      <c r="K191" s="12"/>
      <c r="L191" s="12"/>
      <c r="M191" s="12"/>
      <c r="N191" s="12"/>
      <c r="O191" s="12"/>
      <c r="Q191" s="5"/>
      <c r="R191" s="13"/>
      <c r="S191" s="12"/>
      <c r="T191" s="14" t="s">
        <v>30</v>
      </c>
      <c r="U191" s="40" t="s">
        <v>669</v>
      </c>
      <c r="V191" s="1" t="n">
        <v>1995</v>
      </c>
      <c r="W191" s="1" t="s">
        <v>670</v>
      </c>
      <c r="X191" s="29"/>
    </row>
    <row r="192" customFormat="false" ht="18" hidden="false" customHeight="true" outlineLevel="0" collapsed="false">
      <c r="A192" s="16" t="n">
        <v>190</v>
      </c>
      <c r="B192" s="17" t="s">
        <v>544</v>
      </c>
      <c r="C192" s="26" t="s">
        <v>672</v>
      </c>
      <c r="D192" s="8" t="s">
        <v>27</v>
      </c>
      <c r="E192" s="20" t="s">
        <v>673</v>
      </c>
      <c r="F192" s="16" t="n">
        <v>18</v>
      </c>
      <c r="G192" s="16" t="n">
        <f aca="false">F192*4</f>
        <v>72</v>
      </c>
      <c r="H192" s="21" t="n">
        <v>1079900</v>
      </c>
      <c r="I192" s="22" t="s">
        <v>674</v>
      </c>
      <c r="J192" s="12"/>
      <c r="K192" s="12"/>
      <c r="L192" s="12"/>
      <c r="M192" s="12"/>
      <c r="N192" s="12"/>
      <c r="O192" s="12"/>
      <c r="Q192" s="16"/>
      <c r="R192" s="23"/>
      <c r="S192" s="12"/>
      <c r="T192" s="14" t="s">
        <v>30</v>
      </c>
      <c r="U192" s="30"/>
      <c r="X192" s="25"/>
    </row>
    <row r="193" customFormat="false" ht="18" hidden="false" customHeight="true" outlineLevel="0" collapsed="false">
      <c r="A193" s="5" t="n">
        <v>191</v>
      </c>
      <c r="B193" s="6" t="s">
        <v>544</v>
      </c>
      <c r="C193" s="27" t="s">
        <v>675</v>
      </c>
      <c r="D193" s="8" t="s">
        <v>27</v>
      </c>
      <c r="E193" s="9" t="s">
        <v>673</v>
      </c>
      <c r="F193" s="5" t="n">
        <v>9</v>
      </c>
      <c r="G193" s="5" t="n">
        <f aca="false">F193*4</f>
        <v>36</v>
      </c>
      <c r="H193" s="10" t="n">
        <v>467900</v>
      </c>
      <c r="I193" s="11" t="s">
        <v>674</v>
      </c>
      <c r="J193" s="12"/>
      <c r="K193" s="12"/>
      <c r="L193" s="12"/>
      <c r="M193" s="12"/>
      <c r="N193" s="12"/>
      <c r="O193" s="12"/>
      <c r="Q193" s="5"/>
      <c r="R193" s="13"/>
      <c r="S193" s="12"/>
      <c r="T193" s="14" t="s">
        <v>30</v>
      </c>
      <c r="U193" s="40"/>
      <c r="X193" s="15"/>
    </row>
    <row r="194" customFormat="false" ht="18" hidden="false" customHeight="true" outlineLevel="0" collapsed="false">
      <c r="A194" s="16" t="n">
        <v>192</v>
      </c>
      <c r="B194" s="17" t="s">
        <v>544</v>
      </c>
      <c r="C194" s="26" t="s">
        <v>676</v>
      </c>
      <c r="D194" s="19" t="s">
        <v>32</v>
      </c>
      <c r="E194" s="20" t="s">
        <v>677</v>
      </c>
      <c r="F194" s="16" t="n">
        <v>18</v>
      </c>
      <c r="G194" s="16" t="n">
        <f aca="false">F194*4</f>
        <v>72</v>
      </c>
      <c r="H194" s="21" t="n">
        <v>838497</v>
      </c>
      <c r="I194" s="30" t="s">
        <v>678</v>
      </c>
      <c r="J194" s="12"/>
      <c r="K194" s="12"/>
      <c r="L194" s="12"/>
      <c r="M194" s="12"/>
      <c r="N194" s="12"/>
      <c r="O194" s="12"/>
      <c r="Q194" s="16"/>
      <c r="R194" s="23"/>
      <c r="S194" s="12"/>
      <c r="T194" s="14" t="s">
        <v>30</v>
      </c>
      <c r="U194" s="30"/>
      <c r="X194" s="25"/>
    </row>
    <row r="195" customFormat="false" ht="18" hidden="false" customHeight="true" outlineLevel="0" collapsed="false">
      <c r="A195" s="5" t="n">
        <v>193</v>
      </c>
      <c r="B195" s="6" t="s">
        <v>544</v>
      </c>
      <c r="C195" s="27" t="s">
        <v>679</v>
      </c>
      <c r="D195" s="8" t="s">
        <v>27</v>
      </c>
      <c r="E195" s="9" t="s">
        <v>677</v>
      </c>
      <c r="F195" s="5" t="n">
        <v>9</v>
      </c>
      <c r="G195" s="5" t="n">
        <f aca="false">F195*4</f>
        <v>36</v>
      </c>
      <c r="H195" s="10" t="n">
        <v>268581</v>
      </c>
      <c r="I195" s="40" t="s">
        <v>678</v>
      </c>
      <c r="J195" s="12"/>
      <c r="K195" s="12"/>
      <c r="L195" s="12"/>
      <c r="M195" s="12"/>
      <c r="N195" s="12"/>
      <c r="O195" s="12"/>
      <c r="Q195" s="5"/>
      <c r="R195" s="13"/>
      <c r="S195" s="12"/>
      <c r="T195" s="14" t="s">
        <v>30</v>
      </c>
      <c r="U195" s="40"/>
      <c r="X195" s="15"/>
    </row>
    <row r="196" customFormat="false" ht="18" hidden="false" customHeight="true" outlineLevel="0" collapsed="false">
      <c r="A196" s="16" t="n">
        <v>194</v>
      </c>
      <c r="B196" s="17" t="s">
        <v>544</v>
      </c>
      <c r="C196" s="26" t="s">
        <v>680</v>
      </c>
      <c r="D196" s="19" t="s">
        <v>32</v>
      </c>
      <c r="E196" s="20" t="s">
        <v>677</v>
      </c>
      <c r="F196" s="16" t="n">
        <v>18</v>
      </c>
      <c r="G196" s="16" t="n">
        <f aca="false">F196*4</f>
        <v>72</v>
      </c>
      <c r="H196" s="21" t="n">
        <v>983642</v>
      </c>
      <c r="I196" s="30" t="s">
        <v>678</v>
      </c>
      <c r="J196" s="12"/>
      <c r="K196" s="12"/>
      <c r="L196" s="12"/>
      <c r="M196" s="12"/>
      <c r="N196" s="12"/>
      <c r="O196" s="12"/>
      <c r="Q196" s="16"/>
      <c r="R196" s="23"/>
      <c r="S196" s="12"/>
      <c r="T196" s="14" t="s">
        <v>30</v>
      </c>
      <c r="U196" s="30" t="s">
        <v>681</v>
      </c>
      <c r="V196" s="1" t="n">
        <v>1994</v>
      </c>
      <c r="W196" s="1" t="s">
        <v>682</v>
      </c>
      <c r="X196" s="25"/>
    </row>
    <row r="197" customFormat="false" ht="18" hidden="false" customHeight="true" outlineLevel="0" collapsed="false">
      <c r="A197" s="5" t="n">
        <v>195</v>
      </c>
      <c r="B197" s="6" t="s">
        <v>544</v>
      </c>
      <c r="C197" s="27" t="s">
        <v>683</v>
      </c>
      <c r="D197" s="19" t="s">
        <v>32</v>
      </c>
      <c r="E197" s="9" t="s">
        <v>684</v>
      </c>
      <c r="F197" s="5" t="n">
        <v>36</v>
      </c>
      <c r="G197" s="5" t="n">
        <f aca="false">F197*4</f>
        <v>144</v>
      </c>
      <c r="H197" s="10" t="n">
        <v>1899828</v>
      </c>
      <c r="I197" s="11" t="s">
        <v>685</v>
      </c>
      <c r="J197" s="12"/>
      <c r="K197" s="12"/>
      <c r="L197" s="12"/>
      <c r="M197" s="12"/>
      <c r="N197" s="12"/>
      <c r="O197" s="12"/>
      <c r="Q197" s="5"/>
      <c r="R197" s="13"/>
      <c r="S197" s="12"/>
      <c r="T197" s="14" t="s">
        <v>30</v>
      </c>
      <c r="U197" s="40"/>
      <c r="X197" s="15"/>
    </row>
    <row r="198" customFormat="false" ht="18" hidden="false" customHeight="true" outlineLevel="0" collapsed="false">
      <c r="A198" s="16" t="n">
        <v>196</v>
      </c>
      <c r="B198" s="17" t="s">
        <v>544</v>
      </c>
      <c r="C198" s="26" t="s">
        <v>686</v>
      </c>
      <c r="D198" s="8" t="s">
        <v>27</v>
      </c>
      <c r="E198" s="20" t="s">
        <v>684</v>
      </c>
      <c r="F198" s="16" t="n">
        <v>10</v>
      </c>
      <c r="G198" s="16" t="n">
        <f aca="false">F198*4</f>
        <v>40</v>
      </c>
      <c r="H198" s="21" t="n">
        <v>243350</v>
      </c>
      <c r="I198" s="22" t="s">
        <v>685</v>
      </c>
      <c r="J198" s="12"/>
      <c r="K198" s="12"/>
      <c r="L198" s="12"/>
      <c r="M198" s="12"/>
      <c r="N198" s="12"/>
      <c r="O198" s="12"/>
      <c r="Q198" s="16"/>
      <c r="R198" s="23"/>
      <c r="S198" s="12"/>
      <c r="T198" s="14" t="s">
        <v>30</v>
      </c>
      <c r="U198" s="30"/>
      <c r="X198" s="25"/>
    </row>
    <row r="199" customFormat="false" ht="18" hidden="false" customHeight="true" outlineLevel="0" collapsed="false">
      <c r="A199" s="5" t="n">
        <v>197</v>
      </c>
      <c r="B199" s="6" t="s">
        <v>544</v>
      </c>
      <c r="C199" s="27" t="s">
        <v>687</v>
      </c>
      <c r="D199" s="8" t="s">
        <v>27</v>
      </c>
      <c r="E199" s="9" t="s">
        <v>688</v>
      </c>
      <c r="F199" s="5" t="n">
        <v>9</v>
      </c>
      <c r="G199" s="5" t="n">
        <f aca="false">F199*4</f>
        <v>36</v>
      </c>
      <c r="H199" s="10" t="n">
        <v>158529</v>
      </c>
      <c r="I199" s="11" t="s">
        <v>689</v>
      </c>
      <c r="J199" s="12"/>
      <c r="K199" s="12"/>
      <c r="L199" s="12"/>
      <c r="M199" s="12"/>
      <c r="N199" s="12"/>
      <c r="O199" s="12"/>
      <c r="Q199" s="5"/>
      <c r="R199" s="13"/>
      <c r="S199" s="12"/>
      <c r="T199" s="14" t="s">
        <v>30</v>
      </c>
      <c r="U199" s="40"/>
      <c r="X199" s="15"/>
    </row>
    <row r="200" customFormat="false" ht="18" hidden="false" customHeight="true" outlineLevel="0" collapsed="false">
      <c r="A200" s="16" t="n">
        <v>198</v>
      </c>
      <c r="B200" s="17" t="s">
        <v>544</v>
      </c>
      <c r="C200" s="26" t="s">
        <v>690</v>
      </c>
      <c r="D200" s="19" t="s">
        <v>32</v>
      </c>
      <c r="E200" s="20" t="s">
        <v>691</v>
      </c>
      <c r="F200" s="16" t="n">
        <v>18</v>
      </c>
      <c r="G200" s="16" t="n">
        <f aca="false">F200*4</f>
        <v>72</v>
      </c>
      <c r="H200" s="21" t="n">
        <v>986626</v>
      </c>
      <c r="I200" s="22" t="s">
        <v>692</v>
      </c>
      <c r="J200" s="12"/>
      <c r="K200" s="12"/>
      <c r="L200" s="12"/>
      <c r="M200" s="12"/>
      <c r="N200" s="12"/>
      <c r="O200" s="12"/>
      <c r="Q200" s="16"/>
      <c r="R200" s="23"/>
      <c r="S200" s="12"/>
      <c r="T200" s="14" t="s">
        <v>30</v>
      </c>
      <c r="U200" s="30"/>
      <c r="X200" s="25"/>
    </row>
    <row r="201" customFormat="false" ht="18" hidden="false" customHeight="true" outlineLevel="0" collapsed="false">
      <c r="A201" s="5" t="n">
        <v>199</v>
      </c>
      <c r="B201" s="6" t="s">
        <v>544</v>
      </c>
      <c r="C201" s="27" t="s">
        <v>693</v>
      </c>
      <c r="D201" s="8" t="s">
        <v>27</v>
      </c>
      <c r="E201" s="9" t="s">
        <v>694</v>
      </c>
      <c r="F201" s="5" t="n">
        <v>27</v>
      </c>
      <c r="G201" s="5" t="n">
        <f aca="false">F201*4</f>
        <v>108</v>
      </c>
      <c r="H201" s="10" t="n">
        <v>1630602</v>
      </c>
      <c r="I201" s="11" t="s">
        <v>695</v>
      </c>
      <c r="J201" s="12"/>
      <c r="K201" s="12"/>
      <c r="L201" s="12"/>
      <c r="M201" s="12"/>
      <c r="N201" s="12"/>
      <c r="O201" s="12"/>
      <c r="Q201" s="5"/>
      <c r="R201" s="13"/>
      <c r="S201" s="12"/>
      <c r="T201" s="14" t="s">
        <v>30</v>
      </c>
      <c r="U201" s="40"/>
      <c r="X201" s="15"/>
    </row>
    <row r="202" customFormat="false" ht="18" hidden="false" customHeight="true" outlineLevel="0" collapsed="false">
      <c r="A202" s="16" t="n">
        <v>200</v>
      </c>
      <c r="B202" s="17" t="s">
        <v>544</v>
      </c>
      <c r="C202" s="26" t="s">
        <v>696</v>
      </c>
      <c r="D202" s="8" t="s">
        <v>27</v>
      </c>
      <c r="E202" s="20" t="s">
        <v>697</v>
      </c>
      <c r="F202" s="16" t="n">
        <v>18</v>
      </c>
      <c r="G202" s="16" t="n">
        <f aca="false">F202*4</f>
        <v>72</v>
      </c>
      <c r="H202" s="21" t="n">
        <v>1033746</v>
      </c>
      <c r="I202" s="22" t="s">
        <v>698</v>
      </c>
      <c r="J202" s="12"/>
      <c r="K202" s="12"/>
      <c r="L202" s="12"/>
      <c r="M202" s="12"/>
      <c r="N202" s="12"/>
      <c r="O202" s="12"/>
      <c r="Q202" s="16"/>
      <c r="R202" s="23"/>
      <c r="S202" s="12"/>
      <c r="T202" s="14" t="s">
        <v>30</v>
      </c>
      <c r="U202" s="30" t="s">
        <v>699</v>
      </c>
      <c r="V202" s="1" t="n">
        <v>2008</v>
      </c>
      <c r="W202" s="1" t="s">
        <v>700</v>
      </c>
      <c r="X202" s="25"/>
    </row>
    <row r="203" customFormat="false" ht="18" hidden="false" customHeight="true" outlineLevel="0" collapsed="false">
      <c r="A203" s="5" t="n">
        <v>201</v>
      </c>
      <c r="B203" s="6" t="s">
        <v>544</v>
      </c>
      <c r="C203" s="27" t="s">
        <v>701</v>
      </c>
      <c r="D203" s="8" t="s">
        <v>27</v>
      </c>
      <c r="E203" s="9" t="s">
        <v>702</v>
      </c>
      <c r="F203" s="5" t="n">
        <v>27</v>
      </c>
      <c r="G203" s="5" t="n">
        <f aca="false">F203*4</f>
        <v>108</v>
      </c>
      <c r="H203" s="10" t="n">
        <v>1484811</v>
      </c>
      <c r="I203" s="40" t="s">
        <v>703</v>
      </c>
      <c r="J203" s="12"/>
      <c r="K203" s="12"/>
      <c r="L203" s="12"/>
      <c r="M203" s="12"/>
      <c r="N203" s="12"/>
      <c r="O203" s="12"/>
      <c r="Q203" s="5"/>
      <c r="R203" s="13"/>
      <c r="S203" s="12"/>
      <c r="T203" s="14" t="s">
        <v>30</v>
      </c>
      <c r="U203" s="40"/>
      <c r="X203" s="15"/>
    </row>
    <row r="204" customFormat="false" ht="18" hidden="false" customHeight="true" outlineLevel="0" collapsed="false">
      <c r="A204" s="16" t="n">
        <v>202</v>
      </c>
      <c r="B204" s="17" t="s">
        <v>544</v>
      </c>
      <c r="C204" s="26" t="s">
        <v>704</v>
      </c>
      <c r="D204" s="8" t="s">
        <v>27</v>
      </c>
      <c r="E204" s="20" t="s">
        <v>705</v>
      </c>
      <c r="F204" s="16" t="n">
        <v>18</v>
      </c>
      <c r="G204" s="16" t="n">
        <f aca="false">F204*4</f>
        <v>72</v>
      </c>
      <c r="H204" s="21" t="n">
        <v>969816</v>
      </c>
      <c r="I204" s="22" t="s">
        <v>706</v>
      </c>
      <c r="J204" s="12"/>
      <c r="K204" s="12"/>
      <c r="L204" s="12"/>
      <c r="M204" s="12"/>
      <c r="N204" s="12"/>
      <c r="O204" s="12"/>
      <c r="Q204" s="16"/>
      <c r="R204" s="23"/>
      <c r="S204" s="12"/>
      <c r="T204" s="14" t="s">
        <v>30</v>
      </c>
      <c r="U204" s="30"/>
      <c r="X204" s="25"/>
    </row>
    <row r="205" customFormat="false" ht="18" hidden="false" customHeight="true" outlineLevel="0" collapsed="false">
      <c r="A205" s="5" t="n">
        <v>203</v>
      </c>
      <c r="B205" s="6" t="s">
        <v>544</v>
      </c>
      <c r="C205" s="27" t="s">
        <v>707</v>
      </c>
      <c r="D205" s="8" t="s">
        <v>27</v>
      </c>
      <c r="E205" s="9" t="s">
        <v>708</v>
      </c>
      <c r="F205" s="5" t="n">
        <v>18</v>
      </c>
      <c r="G205" s="5" t="n">
        <f aca="false">F205*4</f>
        <v>72</v>
      </c>
      <c r="H205" s="10" t="n">
        <v>1072958</v>
      </c>
      <c r="I205" s="11" t="s">
        <v>709</v>
      </c>
      <c r="J205" s="12"/>
      <c r="K205" s="12"/>
      <c r="L205" s="12"/>
      <c r="M205" s="12"/>
      <c r="N205" s="12"/>
      <c r="O205" s="12"/>
      <c r="Q205" s="5"/>
      <c r="R205" s="13"/>
      <c r="S205" s="12"/>
      <c r="T205" s="14" t="s">
        <v>30</v>
      </c>
      <c r="U205" s="40"/>
      <c r="X205" s="15"/>
    </row>
    <row r="206" customFormat="false" ht="18" hidden="false" customHeight="true" outlineLevel="0" collapsed="false">
      <c r="A206" s="16" t="n">
        <v>204</v>
      </c>
      <c r="B206" s="17" t="s">
        <v>544</v>
      </c>
      <c r="C206" s="26" t="s">
        <v>710</v>
      </c>
      <c r="D206" s="8" t="s">
        <v>27</v>
      </c>
      <c r="E206" s="20" t="s">
        <v>711</v>
      </c>
      <c r="F206" s="16" t="n">
        <v>18</v>
      </c>
      <c r="G206" s="16" t="n">
        <f aca="false">F206*4</f>
        <v>72</v>
      </c>
      <c r="H206" s="21" t="n">
        <v>1079662</v>
      </c>
      <c r="I206" s="22" t="s">
        <v>712</v>
      </c>
      <c r="J206" s="12"/>
      <c r="K206" s="12"/>
      <c r="L206" s="12"/>
      <c r="M206" s="12"/>
      <c r="N206" s="12"/>
      <c r="O206" s="12"/>
      <c r="Q206" s="16"/>
      <c r="R206" s="23"/>
      <c r="S206" s="12"/>
      <c r="T206" s="14" t="s">
        <v>30</v>
      </c>
      <c r="U206" s="30" t="s">
        <v>713</v>
      </c>
      <c r="V206" s="1" t="n">
        <v>2008</v>
      </c>
      <c r="W206" s="1" t="s">
        <v>714</v>
      </c>
      <c r="X206" s="25"/>
    </row>
    <row r="207" customFormat="false" ht="18" hidden="false" customHeight="true" outlineLevel="0" collapsed="false">
      <c r="A207" s="5" t="n">
        <v>205</v>
      </c>
      <c r="B207" s="6" t="s">
        <v>544</v>
      </c>
      <c r="C207" s="27" t="s">
        <v>715</v>
      </c>
      <c r="D207" s="8" t="s">
        <v>27</v>
      </c>
      <c r="E207" s="9" t="s">
        <v>716</v>
      </c>
      <c r="F207" s="5" t="n">
        <v>18</v>
      </c>
      <c r="G207" s="5" t="n">
        <f aca="false">F207*4</f>
        <v>72</v>
      </c>
      <c r="H207" s="10" t="n">
        <v>876679</v>
      </c>
      <c r="I207" s="11" t="s">
        <v>717</v>
      </c>
      <c r="J207" s="12"/>
      <c r="K207" s="12"/>
      <c r="L207" s="12"/>
      <c r="M207" s="12"/>
      <c r="N207" s="12"/>
      <c r="O207" s="12"/>
      <c r="Q207" s="5"/>
      <c r="R207" s="13"/>
      <c r="S207" s="12"/>
      <c r="T207" s="14" t="s">
        <v>30</v>
      </c>
      <c r="U207" s="40"/>
      <c r="X207" s="15"/>
    </row>
    <row r="208" customFormat="false" ht="18" hidden="false" customHeight="true" outlineLevel="0" collapsed="false">
      <c r="A208" s="16" t="n">
        <v>206</v>
      </c>
      <c r="B208" s="17" t="s">
        <v>544</v>
      </c>
      <c r="C208" s="26" t="s">
        <v>718</v>
      </c>
      <c r="D208" s="19" t="s">
        <v>32</v>
      </c>
      <c r="E208" s="20" t="s">
        <v>719</v>
      </c>
      <c r="F208" s="16" t="n">
        <v>18</v>
      </c>
      <c r="G208" s="16" t="n">
        <f aca="false">F208*4</f>
        <v>72</v>
      </c>
      <c r="H208" s="21" t="n">
        <v>1058644</v>
      </c>
      <c r="I208" s="22" t="s">
        <v>720</v>
      </c>
      <c r="J208" s="12"/>
      <c r="K208" s="12"/>
      <c r="L208" s="12"/>
      <c r="M208" s="12"/>
      <c r="N208" s="12"/>
      <c r="O208" s="12"/>
      <c r="Q208" s="16"/>
      <c r="R208" s="23"/>
      <c r="S208" s="12"/>
      <c r="T208" s="14" t="s">
        <v>30</v>
      </c>
      <c r="U208" s="30"/>
      <c r="X208" s="25"/>
    </row>
    <row r="209" customFormat="false" ht="18" hidden="false" customHeight="true" outlineLevel="0" collapsed="false">
      <c r="A209" s="5" t="n">
        <v>207</v>
      </c>
      <c r="B209" s="6" t="s">
        <v>544</v>
      </c>
      <c r="C209" s="27" t="s">
        <v>721</v>
      </c>
      <c r="D209" s="19" t="s">
        <v>32</v>
      </c>
      <c r="E209" s="9" t="s">
        <v>722</v>
      </c>
      <c r="F209" s="5" t="n">
        <v>27</v>
      </c>
      <c r="G209" s="5" t="n">
        <f aca="false">F209*4</f>
        <v>108</v>
      </c>
      <c r="H209" s="10" t="n">
        <v>1716158</v>
      </c>
      <c r="I209" s="11" t="s">
        <v>723</v>
      </c>
      <c r="J209" s="12" t="n">
        <v>4.7</v>
      </c>
      <c r="K209" s="12" t="n">
        <v>4.4</v>
      </c>
      <c r="L209" s="12" t="n">
        <v>4.5</v>
      </c>
      <c r="M209" s="12" t="n">
        <v>4.7</v>
      </c>
      <c r="N209" s="12" t="n">
        <v>4.7</v>
      </c>
      <c r="O209" s="12" t="n">
        <f aca="false">ROUND(AVERAGE(J209:N209),2)</f>
        <v>4.6</v>
      </c>
      <c r="P209" s="1" t="n">
        <v>101</v>
      </c>
      <c r="Q209" s="5"/>
      <c r="R209" s="13"/>
      <c r="S209" s="12"/>
      <c r="T209" s="14" t="s">
        <v>490</v>
      </c>
      <c r="U209" s="40" t="s">
        <v>724</v>
      </c>
      <c r="V209" s="1" t="n">
        <v>2012</v>
      </c>
      <c r="W209" s="1" t="s">
        <v>725</v>
      </c>
      <c r="X209" s="45" t="s">
        <v>726</v>
      </c>
    </row>
    <row r="210" customFormat="false" ht="18" hidden="false" customHeight="true" outlineLevel="0" collapsed="false">
      <c r="A210" s="16" t="n">
        <v>208</v>
      </c>
      <c r="B210" s="17" t="s">
        <v>544</v>
      </c>
      <c r="C210" s="26" t="s">
        <v>727</v>
      </c>
      <c r="D210" s="8" t="s">
        <v>27</v>
      </c>
      <c r="E210" s="20" t="s">
        <v>728</v>
      </c>
      <c r="F210" s="16" t="n">
        <v>18</v>
      </c>
      <c r="G210" s="16" t="n">
        <f aca="false">F210*4</f>
        <v>72</v>
      </c>
      <c r="H210" s="21" t="n">
        <v>1031837</v>
      </c>
      <c r="I210" s="22" t="s">
        <v>729</v>
      </c>
      <c r="J210" s="12"/>
      <c r="K210" s="12"/>
      <c r="L210" s="12"/>
      <c r="M210" s="12"/>
      <c r="N210" s="12"/>
      <c r="O210" s="12"/>
      <c r="Q210" s="16"/>
      <c r="R210" s="23"/>
      <c r="S210" s="12"/>
      <c r="T210" s="14" t="s">
        <v>30</v>
      </c>
      <c r="U210" s="30" t="s">
        <v>730</v>
      </c>
      <c r="V210" s="1" t="n">
        <v>2010</v>
      </c>
      <c r="W210" s="1" t="s">
        <v>731</v>
      </c>
      <c r="X210" s="25"/>
    </row>
    <row r="211" customFormat="false" ht="18" hidden="false" customHeight="true" outlineLevel="0" collapsed="false">
      <c r="A211" s="57" t="n">
        <v>209</v>
      </c>
      <c r="B211" s="58" t="s">
        <v>732</v>
      </c>
      <c r="C211" s="68" t="s">
        <v>733</v>
      </c>
      <c r="D211" s="49" t="s">
        <v>27</v>
      </c>
      <c r="E211" s="60" t="s">
        <v>734</v>
      </c>
      <c r="F211" s="57" t="n">
        <v>18</v>
      </c>
      <c r="G211" s="57" t="n">
        <f aca="false">F211*4</f>
        <v>72</v>
      </c>
      <c r="H211" s="61" t="n">
        <v>981904</v>
      </c>
      <c r="I211" s="62" t="s">
        <v>735</v>
      </c>
      <c r="J211" s="53"/>
      <c r="K211" s="53"/>
      <c r="L211" s="53"/>
      <c r="M211" s="53"/>
      <c r="N211" s="53"/>
      <c r="O211" s="53"/>
      <c r="Q211" s="57"/>
      <c r="R211" s="63"/>
      <c r="S211" s="53"/>
      <c r="T211" s="55" t="s">
        <v>30</v>
      </c>
      <c r="U211" s="62"/>
      <c r="X211" s="64"/>
    </row>
    <row r="212" customFormat="false" ht="18" hidden="false" customHeight="true" outlineLevel="0" collapsed="false">
      <c r="A212" s="16" t="n">
        <v>210</v>
      </c>
      <c r="B212" s="17" t="s">
        <v>732</v>
      </c>
      <c r="C212" s="26" t="s">
        <v>736</v>
      </c>
      <c r="D212" s="8" t="s">
        <v>27</v>
      </c>
      <c r="E212" s="20" t="s">
        <v>737</v>
      </c>
      <c r="F212" s="16" t="n">
        <v>9</v>
      </c>
      <c r="G212" s="16" t="n">
        <f aca="false">F212*4</f>
        <v>36</v>
      </c>
      <c r="H212" s="21" t="n">
        <v>103426</v>
      </c>
      <c r="I212" s="22" t="s">
        <v>736</v>
      </c>
      <c r="J212" s="12"/>
      <c r="K212" s="12"/>
      <c r="L212" s="12"/>
      <c r="M212" s="12"/>
      <c r="N212" s="12"/>
      <c r="O212" s="12"/>
      <c r="Q212" s="16"/>
      <c r="R212" s="23"/>
      <c r="S212" s="12"/>
      <c r="T212" s="14" t="s">
        <v>30</v>
      </c>
      <c r="U212" s="30"/>
      <c r="X212" s="25"/>
    </row>
    <row r="213" customFormat="false" ht="18" hidden="false" customHeight="true" outlineLevel="0" collapsed="false">
      <c r="A213" s="5" t="n">
        <v>211</v>
      </c>
      <c r="B213" s="6" t="s">
        <v>732</v>
      </c>
      <c r="C213" s="27" t="s">
        <v>738</v>
      </c>
      <c r="D213" s="8" t="s">
        <v>27</v>
      </c>
      <c r="E213" s="9" t="s">
        <v>739</v>
      </c>
      <c r="F213" s="5" t="n">
        <v>9</v>
      </c>
      <c r="G213" s="5" t="n">
        <f aca="false">F213*4</f>
        <v>36</v>
      </c>
      <c r="H213" s="10" t="n">
        <v>152438</v>
      </c>
      <c r="I213" s="11" t="s">
        <v>740</v>
      </c>
      <c r="J213" s="12"/>
      <c r="K213" s="12"/>
      <c r="L213" s="12"/>
      <c r="M213" s="12"/>
      <c r="N213" s="12"/>
      <c r="O213" s="12"/>
      <c r="Q213" s="5"/>
      <c r="R213" s="13"/>
      <c r="S213" s="12"/>
      <c r="T213" s="14" t="s">
        <v>30</v>
      </c>
      <c r="U213" s="40"/>
      <c r="X213" s="15"/>
    </row>
    <row r="214" customFormat="false" ht="18" hidden="false" customHeight="true" outlineLevel="0" collapsed="false">
      <c r="A214" s="16" t="n">
        <v>212</v>
      </c>
      <c r="B214" s="17" t="s">
        <v>732</v>
      </c>
      <c r="C214" s="26" t="s">
        <v>741</v>
      </c>
      <c r="D214" s="8" t="s">
        <v>27</v>
      </c>
      <c r="E214" s="20" t="s">
        <v>742</v>
      </c>
      <c r="F214" s="16" t="n">
        <v>27</v>
      </c>
      <c r="G214" s="16" t="n">
        <f aca="false">F214*4</f>
        <v>108</v>
      </c>
      <c r="H214" s="21" t="n">
        <v>1385535</v>
      </c>
      <c r="I214" s="22" t="s">
        <v>743</v>
      </c>
      <c r="J214" s="12"/>
      <c r="K214" s="12"/>
      <c r="L214" s="12"/>
      <c r="M214" s="12"/>
      <c r="N214" s="12"/>
      <c r="O214" s="12"/>
      <c r="Q214" s="16"/>
      <c r="R214" s="23"/>
      <c r="S214" s="12"/>
      <c r="T214" s="14" t="s">
        <v>30</v>
      </c>
      <c r="U214" s="30"/>
      <c r="X214" s="25"/>
    </row>
    <row r="215" customFormat="false" ht="18" hidden="false" customHeight="true" outlineLevel="0" collapsed="false">
      <c r="A215" s="5" t="n">
        <v>213</v>
      </c>
      <c r="B215" s="6" t="s">
        <v>732</v>
      </c>
      <c r="C215" s="27" t="s">
        <v>744</v>
      </c>
      <c r="D215" s="8" t="s">
        <v>27</v>
      </c>
      <c r="E215" s="9" t="s">
        <v>745</v>
      </c>
      <c r="F215" s="5" t="n">
        <v>18</v>
      </c>
      <c r="G215" s="5" t="n">
        <f aca="false">F215*4</f>
        <v>72</v>
      </c>
      <c r="H215" s="10" t="n">
        <v>913887</v>
      </c>
      <c r="I215" s="11" t="s">
        <v>746</v>
      </c>
      <c r="J215" s="43" t="n">
        <v>3.9</v>
      </c>
      <c r="K215" s="43" t="n">
        <v>4</v>
      </c>
      <c r="L215" s="43" t="n">
        <v>3.7</v>
      </c>
      <c r="M215" s="32" t="n">
        <v>4.4</v>
      </c>
      <c r="N215" s="43" t="n">
        <v>4.1</v>
      </c>
      <c r="O215" s="44" t="n">
        <f aca="false">ROUND(AVERAGE(J215:N215),2)</f>
        <v>4.02</v>
      </c>
      <c r="Q215" s="5" t="n">
        <v>121</v>
      </c>
      <c r="R215" s="13" t="n">
        <v>70.6</v>
      </c>
      <c r="S215" s="34" t="s">
        <v>90</v>
      </c>
      <c r="T215" s="35" t="s">
        <v>91</v>
      </c>
      <c r="U215" s="42" t="s">
        <v>747</v>
      </c>
      <c r="X215" s="15"/>
    </row>
    <row r="216" customFormat="false" ht="18" hidden="false" customHeight="true" outlineLevel="0" collapsed="false">
      <c r="A216" s="16" t="n">
        <v>214</v>
      </c>
      <c r="B216" s="17" t="s">
        <v>732</v>
      </c>
      <c r="C216" s="26" t="s">
        <v>748</v>
      </c>
      <c r="D216" s="19" t="s">
        <v>32</v>
      </c>
      <c r="E216" s="20" t="s">
        <v>749</v>
      </c>
      <c r="F216" s="16" t="n">
        <v>18</v>
      </c>
      <c r="G216" s="16" t="n">
        <f aca="false">F216*4</f>
        <v>72</v>
      </c>
      <c r="H216" s="21" t="n">
        <v>1027365</v>
      </c>
      <c r="I216" s="22" t="s">
        <v>750</v>
      </c>
      <c r="J216" s="12"/>
      <c r="K216" s="12"/>
      <c r="L216" s="12"/>
      <c r="M216" s="12"/>
      <c r="N216" s="12"/>
      <c r="O216" s="12"/>
      <c r="Q216" s="16"/>
      <c r="R216" s="23"/>
      <c r="S216" s="12"/>
      <c r="T216" s="14" t="s">
        <v>30</v>
      </c>
      <c r="U216" s="30"/>
      <c r="X216" s="25"/>
    </row>
    <row r="217" customFormat="false" ht="18" hidden="false" customHeight="true" outlineLevel="0" collapsed="false">
      <c r="A217" s="5" t="n">
        <v>215</v>
      </c>
      <c r="B217" s="6" t="s">
        <v>732</v>
      </c>
      <c r="C217" s="27" t="s">
        <v>751</v>
      </c>
      <c r="D217" s="8" t="s">
        <v>27</v>
      </c>
      <c r="E217" s="9" t="s">
        <v>752</v>
      </c>
      <c r="F217" s="5" t="n">
        <v>9</v>
      </c>
      <c r="G217" s="5" t="n">
        <f aca="false">F217*4</f>
        <v>36</v>
      </c>
      <c r="H217" s="10" t="n">
        <v>247641</v>
      </c>
      <c r="I217" s="11" t="s">
        <v>753</v>
      </c>
      <c r="J217" s="12"/>
      <c r="K217" s="12"/>
      <c r="L217" s="12"/>
      <c r="M217" s="12"/>
      <c r="N217" s="12"/>
      <c r="O217" s="12"/>
      <c r="Q217" s="5"/>
      <c r="R217" s="13"/>
      <c r="S217" s="12"/>
      <c r="T217" s="14" t="s">
        <v>30</v>
      </c>
      <c r="U217" s="40"/>
      <c r="X217" s="15"/>
    </row>
    <row r="218" customFormat="false" ht="18" hidden="false" customHeight="true" outlineLevel="0" collapsed="false">
      <c r="A218" s="16" t="n">
        <v>216</v>
      </c>
      <c r="B218" s="17" t="s">
        <v>732</v>
      </c>
      <c r="C218" s="26" t="s">
        <v>754</v>
      </c>
      <c r="D218" s="19" t="s">
        <v>32</v>
      </c>
      <c r="E218" s="20" t="s">
        <v>755</v>
      </c>
      <c r="F218" s="16" t="n">
        <v>18</v>
      </c>
      <c r="G218" s="16" t="n">
        <f aca="false">F218*4</f>
        <v>72</v>
      </c>
      <c r="H218" s="21" t="n">
        <v>904536</v>
      </c>
      <c r="I218" s="22" t="s">
        <v>756</v>
      </c>
      <c r="J218" s="12"/>
      <c r="K218" s="12"/>
      <c r="L218" s="12"/>
      <c r="M218" s="12"/>
      <c r="N218" s="12"/>
      <c r="O218" s="12"/>
      <c r="Q218" s="16"/>
      <c r="R218" s="23"/>
      <c r="S218" s="12"/>
      <c r="T218" s="14" t="s">
        <v>30</v>
      </c>
      <c r="U218" s="30"/>
      <c r="X218" s="25"/>
    </row>
    <row r="219" customFormat="false" ht="18" hidden="false" customHeight="true" outlineLevel="0" collapsed="false">
      <c r="A219" s="5" t="n">
        <v>217</v>
      </c>
      <c r="B219" s="6" t="s">
        <v>732</v>
      </c>
      <c r="C219" s="27" t="s">
        <v>757</v>
      </c>
      <c r="D219" s="8" t="s">
        <v>27</v>
      </c>
      <c r="E219" s="9" t="s">
        <v>758</v>
      </c>
      <c r="F219" s="5" t="n">
        <v>18</v>
      </c>
      <c r="G219" s="5" t="n">
        <f aca="false">F219*4</f>
        <v>72</v>
      </c>
      <c r="H219" s="10" t="n">
        <v>707220</v>
      </c>
      <c r="I219" s="11" t="s">
        <v>759</v>
      </c>
      <c r="J219" s="12"/>
      <c r="K219" s="12"/>
      <c r="L219" s="12"/>
      <c r="M219" s="12"/>
      <c r="N219" s="12"/>
      <c r="O219" s="12"/>
      <c r="Q219" s="5"/>
      <c r="R219" s="13"/>
      <c r="S219" s="12"/>
      <c r="T219" s="14" t="s">
        <v>30</v>
      </c>
      <c r="U219" s="40"/>
      <c r="X219" s="15"/>
    </row>
    <row r="220" customFormat="false" ht="18" hidden="false" customHeight="true" outlineLevel="0" collapsed="false">
      <c r="A220" s="16" t="n">
        <v>218</v>
      </c>
      <c r="B220" s="17" t="s">
        <v>732</v>
      </c>
      <c r="C220" s="26" t="s">
        <v>760</v>
      </c>
      <c r="D220" s="8" t="s">
        <v>27</v>
      </c>
      <c r="E220" s="20" t="s">
        <v>758</v>
      </c>
      <c r="F220" s="16" t="n">
        <v>18</v>
      </c>
      <c r="G220" s="16" t="n">
        <f aca="false">F220*4</f>
        <v>72</v>
      </c>
      <c r="H220" s="21" t="n">
        <v>714790</v>
      </c>
      <c r="I220" s="22" t="s">
        <v>759</v>
      </c>
      <c r="J220" s="12"/>
      <c r="K220" s="12"/>
      <c r="L220" s="12"/>
      <c r="M220" s="12"/>
      <c r="N220" s="12"/>
      <c r="O220" s="12"/>
      <c r="Q220" s="16"/>
      <c r="R220" s="23"/>
      <c r="S220" s="12"/>
      <c r="T220" s="14" t="s">
        <v>30</v>
      </c>
      <c r="U220" s="30"/>
      <c r="X220" s="25"/>
    </row>
    <row r="221" customFormat="false" ht="18" hidden="false" customHeight="true" outlineLevel="0" collapsed="false">
      <c r="A221" s="5" t="n">
        <v>219</v>
      </c>
      <c r="B221" s="6" t="s">
        <v>732</v>
      </c>
      <c r="C221" s="27" t="s">
        <v>761</v>
      </c>
      <c r="D221" s="8" t="s">
        <v>27</v>
      </c>
      <c r="E221" s="9" t="s">
        <v>762</v>
      </c>
      <c r="F221" s="5" t="n">
        <v>27</v>
      </c>
      <c r="G221" s="5" t="n">
        <f aca="false">F221*4</f>
        <v>108</v>
      </c>
      <c r="H221" s="10" t="n">
        <v>1459801</v>
      </c>
      <c r="I221" s="11" t="s">
        <v>763</v>
      </c>
      <c r="J221" s="12"/>
      <c r="K221" s="12"/>
      <c r="L221" s="12"/>
      <c r="M221" s="12"/>
      <c r="N221" s="12"/>
      <c r="O221" s="12"/>
      <c r="Q221" s="5"/>
      <c r="R221" s="13"/>
      <c r="S221" s="12"/>
      <c r="T221" s="14" t="s">
        <v>30</v>
      </c>
      <c r="U221" s="40"/>
      <c r="X221" s="15"/>
    </row>
    <row r="222" customFormat="false" ht="18" hidden="false" customHeight="true" outlineLevel="0" collapsed="false">
      <c r="A222" s="16" t="n">
        <v>220</v>
      </c>
      <c r="B222" s="17" t="s">
        <v>732</v>
      </c>
      <c r="C222" s="26" t="s">
        <v>764</v>
      </c>
      <c r="D222" s="8" t="s">
        <v>27</v>
      </c>
      <c r="E222" s="20" t="s">
        <v>765</v>
      </c>
      <c r="F222" s="16" t="n">
        <v>9</v>
      </c>
      <c r="G222" s="16" t="n">
        <f aca="false">F222*4</f>
        <v>36</v>
      </c>
      <c r="H222" s="21" t="n">
        <v>350420</v>
      </c>
      <c r="I222" s="22" t="s">
        <v>766</v>
      </c>
      <c r="J222" s="12"/>
      <c r="K222" s="12"/>
      <c r="L222" s="12"/>
      <c r="M222" s="12"/>
      <c r="N222" s="12"/>
      <c r="O222" s="12"/>
      <c r="Q222" s="16"/>
      <c r="R222" s="23"/>
      <c r="S222" s="12"/>
      <c r="T222" s="14" t="s">
        <v>30</v>
      </c>
      <c r="U222" s="30"/>
      <c r="X222" s="25"/>
    </row>
    <row r="223" customFormat="false" ht="18" hidden="false" customHeight="true" outlineLevel="0" collapsed="false">
      <c r="A223" s="5" t="n">
        <v>221</v>
      </c>
      <c r="B223" s="6" t="s">
        <v>732</v>
      </c>
      <c r="C223" s="27" t="s">
        <v>767</v>
      </c>
      <c r="D223" s="8" t="s">
        <v>27</v>
      </c>
      <c r="E223" s="9" t="s">
        <v>768</v>
      </c>
      <c r="F223" s="5" t="n">
        <v>18</v>
      </c>
      <c r="G223" s="5" t="n">
        <f aca="false">F223*4</f>
        <v>72</v>
      </c>
      <c r="H223" s="10" t="n">
        <v>955691</v>
      </c>
      <c r="I223" s="11" t="s">
        <v>769</v>
      </c>
      <c r="J223" s="12"/>
      <c r="K223" s="12"/>
      <c r="L223" s="12"/>
      <c r="M223" s="12"/>
      <c r="N223" s="12"/>
      <c r="O223" s="12"/>
      <c r="Q223" s="5"/>
      <c r="R223" s="13"/>
      <c r="S223" s="12"/>
      <c r="T223" s="14" t="s">
        <v>30</v>
      </c>
      <c r="U223" s="40"/>
      <c r="X223" s="15"/>
    </row>
    <row r="224" customFormat="false" ht="18" hidden="false" customHeight="true" outlineLevel="0" collapsed="false">
      <c r="A224" s="16" t="n">
        <v>222</v>
      </c>
      <c r="B224" s="17" t="s">
        <v>732</v>
      </c>
      <c r="C224" s="26" t="s">
        <v>770</v>
      </c>
      <c r="D224" s="8" t="s">
        <v>27</v>
      </c>
      <c r="E224" s="20" t="s">
        <v>771</v>
      </c>
      <c r="F224" s="16" t="n">
        <v>18</v>
      </c>
      <c r="G224" s="16" t="n">
        <f aca="false">F224*4</f>
        <v>72</v>
      </c>
      <c r="H224" s="21" t="n">
        <v>720400</v>
      </c>
      <c r="I224" s="22" t="s">
        <v>772</v>
      </c>
      <c r="J224" s="12"/>
      <c r="K224" s="12"/>
      <c r="L224" s="12"/>
      <c r="M224" s="12"/>
      <c r="N224" s="12"/>
      <c r="O224" s="12"/>
      <c r="Q224" s="16"/>
      <c r="R224" s="23"/>
      <c r="S224" s="12"/>
      <c r="T224" s="14" t="s">
        <v>30</v>
      </c>
      <c r="U224" s="30"/>
      <c r="X224" s="25"/>
    </row>
    <row r="225" customFormat="false" ht="18" hidden="false" customHeight="true" outlineLevel="0" collapsed="false">
      <c r="A225" s="5" t="n">
        <v>223</v>
      </c>
      <c r="B225" s="6" t="s">
        <v>732</v>
      </c>
      <c r="C225" s="27" t="s">
        <v>773</v>
      </c>
      <c r="D225" s="8" t="s">
        <v>27</v>
      </c>
      <c r="E225" s="9" t="s">
        <v>771</v>
      </c>
      <c r="F225" s="5" t="n">
        <v>18</v>
      </c>
      <c r="G225" s="5" t="n">
        <f aca="false">F225*4</f>
        <v>72</v>
      </c>
      <c r="H225" s="10" t="n">
        <v>843860</v>
      </c>
      <c r="I225" s="11" t="s">
        <v>772</v>
      </c>
      <c r="J225" s="12"/>
      <c r="K225" s="12"/>
      <c r="L225" s="12"/>
      <c r="M225" s="12"/>
      <c r="N225" s="12"/>
      <c r="O225" s="12"/>
      <c r="Q225" s="5"/>
      <c r="R225" s="13"/>
      <c r="S225" s="12"/>
      <c r="T225" s="14" t="s">
        <v>30</v>
      </c>
      <c r="U225" s="40"/>
      <c r="X225" s="15"/>
    </row>
    <row r="226" customFormat="false" ht="18" hidden="false" customHeight="true" outlineLevel="0" collapsed="false">
      <c r="A226" s="16" t="n">
        <v>224</v>
      </c>
      <c r="B226" s="17" t="s">
        <v>732</v>
      </c>
      <c r="C226" s="26" t="s">
        <v>774</v>
      </c>
      <c r="D226" s="8" t="s">
        <v>27</v>
      </c>
      <c r="E226" s="20" t="s">
        <v>775</v>
      </c>
      <c r="F226" s="16" t="n">
        <v>18</v>
      </c>
      <c r="G226" s="16" t="n">
        <f aca="false">F226*4</f>
        <v>72</v>
      </c>
      <c r="H226" s="21" t="n">
        <v>523948</v>
      </c>
      <c r="I226" s="22" t="s">
        <v>776</v>
      </c>
      <c r="J226" s="12"/>
      <c r="K226" s="12"/>
      <c r="L226" s="12"/>
      <c r="M226" s="12"/>
      <c r="N226" s="12"/>
      <c r="O226" s="12"/>
      <c r="Q226" s="16"/>
      <c r="R226" s="23"/>
      <c r="S226" s="12"/>
      <c r="T226" s="14" t="s">
        <v>30</v>
      </c>
      <c r="U226" s="30"/>
      <c r="X226" s="25"/>
    </row>
    <row r="227" customFormat="false" ht="18" hidden="false" customHeight="true" outlineLevel="0" collapsed="false">
      <c r="A227" s="5" t="n">
        <v>225</v>
      </c>
      <c r="B227" s="6" t="s">
        <v>732</v>
      </c>
      <c r="C227" s="27" t="s">
        <v>777</v>
      </c>
      <c r="D227" s="8" t="s">
        <v>27</v>
      </c>
      <c r="E227" s="9" t="s">
        <v>778</v>
      </c>
      <c r="F227" s="5" t="n">
        <v>18</v>
      </c>
      <c r="G227" s="5" t="n">
        <f aca="false">F227*4</f>
        <v>72</v>
      </c>
      <c r="H227" s="10" t="n">
        <v>898530</v>
      </c>
      <c r="I227" s="11" t="s">
        <v>779</v>
      </c>
      <c r="J227" s="12"/>
      <c r="K227" s="12"/>
      <c r="L227" s="12"/>
      <c r="M227" s="12"/>
      <c r="N227" s="12"/>
      <c r="O227" s="12"/>
      <c r="Q227" s="5"/>
      <c r="R227" s="13"/>
      <c r="S227" s="12"/>
      <c r="T227" s="14" t="s">
        <v>30</v>
      </c>
      <c r="U227" s="40"/>
      <c r="X227" s="15"/>
    </row>
    <row r="228" customFormat="false" ht="18" hidden="false" customHeight="true" outlineLevel="0" collapsed="false">
      <c r="A228" s="16" t="n">
        <v>226</v>
      </c>
      <c r="B228" s="17" t="s">
        <v>732</v>
      </c>
      <c r="C228" s="26" t="s">
        <v>780</v>
      </c>
      <c r="D228" s="19" t="s">
        <v>32</v>
      </c>
      <c r="E228" s="20" t="s">
        <v>781</v>
      </c>
      <c r="F228" s="16" t="n">
        <v>18</v>
      </c>
      <c r="G228" s="16" t="n">
        <f aca="false">F228*4</f>
        <v>72</v>
      </c>
      <c r="H228" s="21" t="n">
        <v>1024690</v>
      </c>
      <c r="I228" s="30" t="s">
        <v>782</v>
      </c>
      <c r="J228" s="12"/>
      <c r="K228" s="12"/>
      <c r="L228" s="12"/>
      <c r="M228" s="12"/>
      <c r="N228" s="12"/>
      <c r="O228" s="12"/>
      <c r="Q228" s="16"/>
      <c r="R228" s="23"/>
      <c r="S228" s="12"/>
      <c r="T228" s="14" t="s">
        <v>30</v>
      </c>
      <c r="U228" s="30"/>
      <c r="X228" s="25"/>
    </row>
    <row r="229" customFormat="false" ht="18" hidden="false" customHeight="true" outlineLevel="0" collapsed="false">
      <c r="A229" s="5" t="n">
        <v>227</v>
      </c>
      <c r="B229" s="6" t="s">
        <v>732</v>
      </c>
      <c r="C229" s="27" t="s">
        <v>783</v>
      </c>
      <c r="D229" s="8" t="s">
        <v>27</v>
      </c>
      <c r="E229" s="9" t="s">
        <v>784</v>
      </c>
      <c r="F229" s="5" t="n">
        <v>9</v>
      </c>
      <c r="G229" s="5" t="n">
        <f aca="false">F229*4</f>
        <v>36</v>
      </c>
      <c r="H229" s="10" t="n">
        <v>205503</v>
      </c>
      <c r="I229" s="11" t="s">
        <v>785</v>
      </c>
      <c r="J229" s="12"/>
      <c r="K229" s="12"/>
      <c r="L229" s="12"/>
      <c r="M229" s="12"/>
      <c r="N229" s="12"/>
      <c r="O229" s="12"/>
      <c r="Q229" s="5"/>
      <c r="R229" s="13"/>
      <c r="S229" s="12"/>
      <c r="T229" s="14" t="s">
        <v>30</v>
      </c>
      <c r="U229" s="40"/>
      <c r="X229" s="15"/>
    </row>
    <row r="230" customFormat="false" ht="18" hidden="false" customHeight="true" outlineLevel="0" collapsed="false">
      <c r="A230" s="16" t="n">
        <v>228</v>
      </c>
      <c r="B230" s="17" t="s">
        <v>732</v>
      </c>
      <c r="C230" s="26" t="s">
        <v>786</v>
      </c>
      <c r="D230" s="8" t="s">
        <v>27</v>
      </c>
      <c r="E230" s="20" t="s">
        <v>787</v>
      </c>
      <c r="F230" s="16" t="n">
        <v>27</v>
      </c>
      <c r="G230" s="16" t="n">
        <f aca="false">F230*4</f>
        <v>108</v>
      </c>
      <c r="H230" s="21" t="n">
        <v>1648880</v>
      </c>
      <c r="I230" s="22" t="s">
        <v>788</v>
      </c>
      <c r="J230" s="12"/>
      <c r="K230" s="12"/>
      <c r="L230" s="12"/>
      <c r="M230" s="12"/>
      <c r="N230" s="12"/>
      <c r="O230" s="12"/>
      <c r="Q230" s="16"/>
      <c r="R230" s="23"/>
      <c r="S230" s="12"/>
      <c r="T230" s="14" t="s">
        <v>30</v>
      </c>
      <c r="U230" s="30"/>
      <c r="X230" s="25"/>
    </row>
    <row r="231" customFormat="false" ht="18" hidden="false" customHeight="true" outlineLevel="0" collapsed="false">
      <c r="A231" s="5" t="n">
        <v>229</v>
      </c>
      <c r="B231" s="6" t="s">
        <v>732</v>
      </c>
      <c r="C231" s="27" t="s">
        <v>789</v>
      </c>
      <c r="D231" s="19" t="s">
        <v>32</v>
      </c>
      <c r="E231" s="9" t="s">
        <v>790</v>
      </c>
      <c r="F231" s="5" t="n">
        <v>18</v>
      </c>
      <c r="G231" s="5" t="n">
        <f aca="false">F231*4</f>
        <v>72</v>
      </c>
      <c r="H231" s="10" t="n">
        <v>1049767</v>
      </c>
      <c r="I231" s="11" t="s">
        <v>791</v>
      </c>
      <c r="J231" s="12" t="n">
        <v>4.5</v>
      </c>
      <c r="K231" s="12" t="n">
        <v>4.4</v>
      </c>
      <c r="L231" s="12" t="n">
        <v>4.7</v>
      </c>
      <c r="M231" s="12" t="n">
        <v>4.3</v>
      </c>
      <c r="N231" s="12" t="n">
        <v>4.2</v>
      </c>
      <c r="O231" s="12" t="n">
        <f aca="false">ROUND(AVERAGE(J231:N231),2)</f>
        <v>4.42</v>
      </c>
      <c r="P231" s="1" t="n">
        <v>98</v>
      </c>
      <c r="Q231" s="5"/>
      <c r="R231" s="13"/>
      <c r="S231" s="12"/>
      <c r="T231" s="14" t="s">
        <v>490</v>
      </c>
      <c r="U231" s="40" t="s">
        <v>792</v>
      </c>
      <c r="V231" s="1" t="n">
        <v>1996</v>
      </c>
      <c r="W231" s="1" t="s">
        <v>793</v>
      </c>
      <c r="X231" s="45" t="s">
        <v>794</v>
      </c>
    </row>
    <row r="232" customFormat="false" ht="18" hidden="false" customHeight="true" outlineLevel="0" collapsed="false">
      <c r="A232" s="16" t="n">
        <v>230</v>
      </c>
      <c r="B232" s="17" t="s">
        <v>732</v>
      </c>
      <c r="C232" s="26" t="s">
        <v>795</v>
      </c>
      <c r="D232" s="8" t="s">
        <v>27</v>
      </c>
      <c r="E232" s="20" t="s">
        <v>796</v>
      </c>
      <c r="F232" s="16" t="n">
        <v>27</v>
      </c>
      <c r="G232" s="16" t="n">
        <f aca="false">F232*4</f>
        <v>108</v>
      </c>
      <c r="H232" s="21" t="n">
        <v>1314137</v>
      </c>
      <c r="I232" s="22" t="s">
        <v>797</v>
      </c>
      <c r="J232" s="12"/>
      <c r="K232" s="12"/>
      <c r="L232" s="12"/>
      <c r="M232" s="12"/>
      <c r="N232" s="12"/>
      <c r="O232" s="12"/>
      <c r="Q232" s="16"/>
      <c r="R232" s="23"/>
      <c r="S232" s="12"/>
      <c r="T232" s="14" t="s">
        <v>30</v>
      </c>
      <c r="U232" s="30"/>
      <c r="X232" s="25"/>
    </row>
    <row r="233" customFormat="false" ht="18" hidden="false" customHeight="true" outlineLevel="0" collapsed="false">
      <c r="A233" s="5" t="n">
        <v>231</v>
      </c>
      <c r="B233" s="6" t="s">
        <v>732</v>
      </c>
      <c r="C233" s="27" t="s">
        <v>798</v>
      </c>
      <c r="D233" s="8" t="s">
        <v>27</v>
      </c>
      <c r="E233" s="9" t="s">
        <v>799</v>
      </c>
      <c r="F233" s="5" t="n">
        <v>9</v>
      </c>
      <c r="G233" s="5" t="n">
        <f aca="false">F233*4</f>
        <v>36</v>
      </c>
      <c r="H233" s="10" t="n">
        <v>387448</v>
      </c>
      <c r="I233" s="11" t="s">
        <v>800</v>
      </c>
      <c r="J233" s="12"/>
      <c r="K233" s="12"/>
      <c r="L233" s="12"/>
      <c r="M233" s="12"/>
      <c r="N233" s="12"/>
      <c r="O233" s="12"/>
      <c r="Q233" s="5"/>
      <c r="R233" s="13"/>
      <c r="S233" s="12"/>
      <c r="T233" s="14" t="s">
        <v>30</v>
      </c>
      <c r="U233" s="40"/>
      <c r="X233" s="15"/>
    </row>
    <row r="234" customFormat="false" ht="18" hidden="false" customHeight="true" outlineLevel="0" collapsed="false">
      <c r="A234" s="16" t="n">
        <v>232</v>
      </c>
      <c r="B234" s="17" t="s">
        <v>732</v>
      </c>
      <c r="C234" s="26" t="s">
        <v>801</v>
      </c>
      <c r="D234" s="8" t="s">
        <v>27</v>
      </c>
      <c r="E234" s="20" t="s">
        <v>802</v>
      </c>
      <c r="F234" s="16" t="n">
        <v>18</v>
      </c>
      <c r="G234" s="16" t="n">
        <f aca="false">F234*4</f>
        <v>72</v>
      </c>
      <c r="H234" s="21" t="n">
        <v>686891</v>
      </c>
      <c r="I234" s="22" t="s">
        <v>803</v>
      </c>
      <c r="J234" s="12"/>
      <c r="K234" s="12"/>
      <c r="L234" s="12"/>
      <c r="M234" s="12"/>
      <c r="N234" s="12"/>
      <c r="O234" s="12"/>
      <c r="Q234" s="16"/>
      <c r="R234" s="23"/>
      <c r="S234" s="12"/>
      <c r="T234" s="14" t="s">
        <v>30</v>
      </c>
      <c r="U234" s="30"/>
      <c r="X234" s="25"/>
    </row>
    <row r="235" customFormat="false" ht="18" hidden="false" customHeight="true" outlineLevel="0" collapsed="false">
      <c r="A235" s="5" t="n">
        <v>233</v>
      </c>
      <c r="B235" s="6" t="s">
        <v>732</v>
      </c>
      <c r="C235" s="27" t="s">
        <v>804</v>
      </c>
      <c r="D235" s="8" t="s">
        <v>27</v>
      </c>
      <c r="E235" s="9" t="s">
        <v>805</v>
      </c>
      <c r="F235" s="5" t="n">
        <v>18</v>
      </c>
      <c r="G235" s="5" t="n">
        <f aca="false">F235*4</f>
        <v>72</v>
      </c>
      <c r="H235" s="10" t="n">
        <v>751706</v>
      </c>
      <c r="I235" s="11" t="s">
        <v>806</v>
      </c>
      <c r="J235" s="12"/>
      <c r="K235" s="12"/>
      <c r="L235" s="12"/>
      <c r="M235" s="12"/>
      <c r="N235" s="12"/>
      <c r="O235" s="12"/>
      <c r="Q235" s="5"/>
      <c r="R235" s="13"/>
      <c r="S235" s="12"/>
      <c r="T235" s="14" t="s">
        <v>30</v>
      </c>
      <c r="U235" s="40"/>
      <c r="X235" s="15"/>
    </row>
    <row r="236" customFormat="false" ht="18" hidden="false" customHeight="true" outlineLevel="0" collapsed="false">
      <c r="A236" s="46" t="n">
        <v>234</v>
      </c>
      <c r="B236" s="47" t="s">
        <v>807</v>
      </c>
      <c r="C236" s="48" t="s">
        <v>808</v>
      </c>
      <c r="D236" s="49" t="s">
        <v>27</v>
      </c>
      <c r="E236" s="50" t="s">
        <v>809</v>
      </c>
      <c r="F236" s="46" t="n">
        <v>18</v>
      </c>
      <c r="G236" s="46" t="n">
        <f aca="false">F236*4</f>
        <v>72</v>
      </c>
      <c r="H236" s="51" t="n">
        <v>1023114</v>
      </c>
      <c r="I236" s="52" t="s">
        <v>810</v>
      </c>
      <c r="J236" s="53"/>
      <c r="K236" s="53"/>
      <c r="L236" s="53"/>
      <c r="M236" s="53"/>
      <c r="N236" s="53"/>
      <c r="O236" s="53"/>
      <c r="Q236" s="46"/>
      <c r="R236" s="54"/>
      <c r="S236" s="53"/>
      <c r="T236" s="55" t="s">
        <v>30</v>
      </c>
      <c r="U236" s="52"/>
      <c r="X236" s="56"/>
    </row>
    <row r="237" customFormat="false" ht="18" hidden="false" customHeight="true" outlineLevel="0" collapsed="false">
      <c r="A237" s="5" t="n">
        <v>235</v>
      </c>
      <c r="B237" s="6" t="s">
        <v>807</v>
      </c>
      <c r="C237" s="27" t="s">
        <v>811</v>
      </c>
      <c r="D237" s="8" t="s">
        <v>27</v>
      </c>
      <c r="E237" s="9" t="s">
        <v>812</v>
      </c>
      <c r="F237" s="5" t="n">
        <v>9</v>
      </c>
      <c r="G237" s="5" t="n">
        <f aca="false">F237*4</f>
        <v>36</v>
      </c>
      <c r="H237" s="10" t="n">
        <v>421101</v>
      </c>
      <c r="I237" s="11" t="s">
        <v>813</v>
      </c>
      <c r="J237" s="12"/>
      <c r="K237" s="12"/>
      <c r="L237" s="12"/>
      <c r="M237" s="12"/>
      <c r="N237" s="12"/>
      <c r="O237" s="12"/>
      <c r="Q237" s="5"/>
      <c r="R237" s="13"/>
      <c r="S237" s="12"/>
      <c r="T237" s="14" t="s">
        <v>30</v>
      </c>
      <c r="U237" s="40"/>
      <c r="X237" s="15"/>
    </row>
    <row r="238" customFormat="false" ht="18" hidden="false" customHeight="true" outlineLevel="0" collapsed="false">
      <c r="A238" s="16" t="n">
        <v>236</v>
      </c>
      <c r="B238" s="17" t="s">
        <v>807</v>
      </c>
      <c r="C238" s="26" t="s">
        <v>814</v>
      </c>
      <c r="D238" s="8" t="s">
        <v>27</v>
      </c>
      <c r="E238" s="20" t="s">
        <v>815</v>
      </c>
      <c r="F238" s="16" t="n">
        <v>27</v>
      </c>
      <c r="G238" s="16" t="n">
        <f aca="false">F238*4</f>
        <v>108</v>
      </c>
      <c r="H238" s="21" t="n">
        <v>1200500</v>
      </c>
      <c r="I238" s="22" t="s">
        <v>816</v>
      </c>
      <c r="J238" s="12"/>
      <c r="K238" s="12"/>
      <c r="L238" s="12"/>
      <c r="M238" s="12"/>
      <c r="N238" s="12"/>
      <c r="O238" s="12"/>
      <c r="Q238" s="16"/>
      <c r="R238" s="23"/>
      <c r="S238" s="12"/>
      <c r="T238" s="14" t="s">
        <v>30</v>
      </c>
      <c r="U238" s="30"/>
      <c r="X238" s="25"/>
    </row>
    <row r="239" customFormat="false" ht="18" hidden="false" customHeight="true" outlineLevel="0" collapsed="false">
      <c r="A239" s="5" t="n">
        <v>237</v>
      </c>
      <c r="B239" s="6" t="s">
        <v>807</v>
      </c>
      <c r="C239" s="27" t="s">
        <v>817</v>
      </c>
      <c r="D239" s="8" t="s">
        <v>27</v>
      </c>
      <c r="E239" s="9" t="s">
        <v>818</v>
      </c>
      <c r="F239" s="5" t="n">
        <v>18</v>
      </c>
      <c r="G239" s="5" t="n">
        <f aca="false">F239*4</f>
        <v>72</v>
      </c>
      <c r="H239" s="10" t="n">
        <v>998111</v>
      </c>
      <c r="I239" s="11" t="s">
        <v>819</v>
      </c>
      <c r="J239" s="12"/>
      <c r="K239" s="12"/>
      <c r="L239" s="12"/>
      <c r="M239" s="12"/>
      <c r="N239" s="12"/>
      <c r="O239" s="12"/>
      <c r="Q239" s="5"/>
      <c r="R239" s="13"/>
      <c r="S239" s="12"/>
      <c r="T239" s="14" t="s">
        <v>30</v>
      </c>
      <c r="U239" s="40"/>
      <c r="X239" s="15"/>
    </row>
    <row r="240" customFormat="false" ht="18" hidden="false" customHeight="true" outlineLevel="0" collapsed="false">
      <c r="A240" s="16" t="n">
        <v>238</v>
      </c>
      <c r="B240" s="17" t="s">
        <v>807</v>
      </c>
      <c r="C240" s="26" t="s">
        <v>820</v>
      </c>
      <c r="D240" s="19" t="s">
        <v>32</v>
      </c>
      <c r="E240" s="20" t="s">
        <v>821</v>
      </c>
      <c r="F240" s="16" t="n">
        <v>27</v>
      </c>
      <c r="G240" s="16" t="n">
        <f aca="false">F240*4</f>
        <v>108</v>
      </c>
      <c r="H240" s="21" t="n">
        <v>1696299</v>
      </c>
      <c r="I240" s="22" t="s">
        <v>822</v>
      </c>
      <c r="J240" s="12"/>
      <c r="K240" s="12"/>
      <c r="L240" s="12"/>
      <c r="M240" s="12"/>
      <c r="N240" s="12"/>
      <c r="O240" s="12"/>
      <c r="Q240" s="16"/>
      <c r="R240" s="23"/>
      <c r="S240" s="12"/>
      <c r="T240" s="14" t="s">
        <v>30</v>
      </c>
      <c r="U240" s="30"/>
      <c r="X240" s="25"/>
    </row>
    <row r="241" customFormat="false" ht="18" hidden="false" customHeight="true" outlineLevel="0" collapsed="false">
      <c r="A241" s="5" t="n">
        <v>239</v>
      </c>
      <c r="B241" s="6" t="s">
        <v>807</v>
      </c>
      <c r="C241" s="27" t="s">
        <v>823</v>
      </c>
      <c r="D241" s="8" t="s">
        <v>27</v>
      </c>
      <c r="E241" s="9" t="s">
        <v>824</v>
      </c>
      <c r="F241" s="5" t="n">
        <v>18</v>
      </c>
      <c r="G241" s="5" t="n">
        <f aca="false">F241*4</f>
        <v>72</v>
      </c>
      <c r="H241" s="10" t="n">
        <v>999268</v>
      </c>
      <c r="I241" s="11" t="s">
        <v>825</v>
      </c>
      <c r="J241" s="12"/>
      <c r="K241" s="12"/>
      <c r="L241" s="12"/>
      <c r="M241" s="12"/>
      <c r="N241" s="12"/>
      <c r="O241" s="12"/>
      <c r="Q241" s="5"/>
      <c r="R241" s="13"/>
      <c r="S241" s="12"/>
      <c r="T241" s="14" t="s">
        <v>30</v>
      </c>
      <c r="U241" s="40"/>
      <c r="X241" s="15"/>
    </row>
    <row r="242" customFormat="false" ht="18" hidden="false" customHeight="true" outlineLevel="0" collapsed="false">
      <c r="A242" s="16" t="n">
        <v>240</v>
      </c>
      <c r="B242" s="17" t="s">
        <v>807</v>
      </c>
      <c r="C242" s="26" t="s">
        <v>826</v>
      </c>
      <c r="D242" s="8" t="s">
        <v>27</v>
      </c>
      <c r="E242" s="20" t="s">
        <v>827</v>
      </c>
      <c r="F242" s="16" t="n">
        <v>27</v>
      </c>
      <c r="G242" s="16" t="n">
        <f aca="false">F242*4</f>
        <v>108</v>
      </c>
      <c r="H242" s="21" t="n">
        <v>1167916</v>
      </c>
      <c r="I242" s="22" t="s">
        <v>825</v>
      </c>
      <c r="J242" s="12"/>
      <c r="K242" s="12"/>
      <c r="L242" s="12"/>
      <c r="M242" s="12"/>
      <c r="N242" s="12"/>
      <c r="O242" s="12"/>
      <c r="Q242" s="16"/>
      <c r="R242" s="23"/>
      <c r="S242" s="12"/>
      <c r="T242" s="14" t="s">
        <v>30</v>
      </c>
      <c r="U242" s="30"/>
      <c r="X242" s="25"/>
    </row>
    <row r="243" customFormat="false" ht="18" hidden="false" customHeight="true" outlineLevel="0" collapsed="false">
      <c r="A243" s="5" t="n">
        <v>241</v>
      </c>
      <c r="B243" s="6" t="s">
        <v>807</v>
      </c>
      <c r="C243" s="27" t="s">
        <v>828</v>
      </c>
      <c r="D243" s="8" t="s">
        <v>27</v>
      </c>
      <c r="E243" s="9" t="s">
        <v>829</v>
      </c>
      <c r="F243" s="5" t="n">
        <v>18</v>
      </c>
      <c r="G243" s="5" t="n">
        <f aca="false">F243*4</f>
        <v>72</v>
      </c>
      <c r="H243" s="10" t="n">
        <v>920073</v>
      </c>
      <c r="I243" s="11" t="s">
        <v>830</v>
      </c>
      <c r="J243" s="12"/>
      <c r="K243" s="12"/>
      <c r="L243" s="12"/>
      <c r="M243" s="12"/>
      <c r="N243" s="12"/>
      <c r="O243" s="12"/>
      <c r="Q243" s="5"/>
      <c r="R243" s="13"/>
      <c r="S243" s="12"/>
      <c r="T243" s="14" t="s">
        <v>30</v>
      </c>
      <c r="U243" s="40"/>
      <c r="X243" s="15"/>
    </row>
    <row r="244" customFormat="false" ht="18" hidden="false" customHeight="true" outlineLevel="0" collapsed="false">
      <c r="A244" s="16" t="n">
        <v>242</v>
      </c>
      <c r="B244" s="17" t="s">
        <v>807</v>
      </c>
      <c r="C244" s="26" t="s">
        <v>831</v>
      </c>
      <c r="D244" s="8" t="s">
        <v>27</v>
      </c>
      <c r="E244" s="20" t="s">
        <v>832</v>
      </c>
      <c r="F244" s="16" t="n">
        <v>18</v>
      </c>
      <c r="G244" s="16" t="n">
        <f aca="false">F244*4</f>
        <v>72</v>
      </c>
      <c r="H244" s="21" t="n">
        <v>1047645</v>
      </c>
      <c r="I244" s="22" t="s">
        <v>833</v>
      </c>
      <c r="J244" s="12"/>
      <c r="K244" s="12"/>
      <c r="L244" s="12"/>
      <c r="M244" s="12"/>
      <c r="N244" s="12"/>
      <c r="O244" s="12"/>
      <c r="Q244" s="16"/>
      <c r="R244" s="23"/>
      <c r="S244" s="12"/>
      <c r="T244" s="14" t="s">
        <v>30</v>
      </c>
      <c r="U244" s="30"/>
      <c r="X244" s="25"/>
    </row>
    <row r="245" customFormat="false" ht="18" hidden="false" customHeight="true" outlineLevel="0" collapsed="false">
      <c r="A245" s="5" t="n">
        <v>243</v>
      </c>
      <c r="B245" s="6" t="s">
        <v>807</v>
      </c>
      <c r="C245" s="27" t="s">
        <v>834</v>
      </c>
      <c r="D245" s="8" t="s">
        <v>27</v>
      </c>
      <c r="E245" s="9" t="s">
        <v>835</v>
      </c>
      <c r="F245" s="5" t="n">
        <v>36</v>
      </c>
      <c r="G245" s="5" t="n">
        <f aca="false">F245*4</f>
        <v>144</v>
      </c>
      <c r="H245" s="10" t="n">
        <v>1567859</v>
      </c>
      <c r="I245" s="11" t="s">
        <v>836</v>
      </c>
      <c r="J245" s="12"/>
      <c r="K245" s="12"/>
      <c r="L245" s="12"/>
      <c r="M245" s="12"/>
      <c r="N245" s="12"/>
      <c r="O245" s="12"/>
      <c r="Q245" s="5"/>
      <c r="R245" s="13"/>
      <c r="S245" s="12"/>
      <c r="T245" s="14" t="s">
        <v>30</v>
      </c>
      <c r="U245" s="40"/>
      <c r="X245" s="15"/>
    </row>
    <row r="246" customFormat="false" ht="18" hidden="false" customHeight="true" outlineLevel="0" collapsed="false">
      <c r="A246" s="16" t="n">
        <v>244</v>
      </c>
      <c r="B246" s="17" t="s">
        <v>807</v>
      </c>
      <c r="C246" s="26" t="s">
        <v>837</v>
      </c>
      <c r="D246" s="8" t="s">
        <v>27</v>
      </c>
      <c r="E246" s="20" t="s">
        <v>838</v>
      </c>
      <c r="F246" s="16" t="n">
        <v>27</v>
      </c>
      <c r="G246" s="16" t="n">
        <f aca="false">F246*4</f>
        <v>108</v>
      </c>
      <c r="H246" s="21" t="n">
        <v>2180205</v>
      </c>
      <c r="I246" s="22" t="s">
        <v>839</v>
      </c>
      <c r="J246" s="12"/>
      <c r="K246" s="12"/>
      <c r="L246" s="12"/>
      <c r="M246" s="12"/>
      <c r="N246" s="12"/>
      <c r="O246" s="12"/>
      <c r="Q246" s="16"/>
      <c r="R246" s="23"/>
      <c r="S246" s="12"/>
      <c r="T246" s="14" t="s">
        <v>30</v>
      </c>
      <c r="U246" s="30" t="s">
        <v>840</v>
      </c>
      <c r="V246" s="1" t="n">
        <v>2009</v>
      </c>
      <c r="W246" s="1" t="s">
        <v>841</v>
      </c>
      <c r="X246" s="25"/>
    </row>
    <row r="247" customFormat="false" ht="18" hidden="false" customHeight="true" outlineLevel="0" collapsed="false">
      <c r="A247" s="5" t="n">
        <v>245</v>
      </c>
      <c r="B247" s="6" t="s">
        <v>807</v>
      </c>
      <c r="C247" s="27" t="s">
        <v>842</v>
      </c>
      <c r="D247" s="8" t="s">
        <v>27</v>
      </c>
      <c r="E247" s="9" t="s">
        <v>843</v>
      </c>
      <c r="F247" s="5" t="n">
        <v>18</v>
      </c>
      <c r="G247" s="5" t="n">
        <f aca="false">F247*4</f>
        <v>72</v>
      </c>
      <c r="H247" s="10" t="n">
        <v>926019</v>
      </c>
      <c r="I247" s="11" t="s">
        <v>844</v>
      </c>
      <c r="J247" s="12"/>
      <c r="K247" s="12"/>
      <c r="L247" s="12"/>
      <c r="M247" s="12"/>
      <c r="N247" s="12"/>
      <c r="O247" s="12"/>
      <c r="Q247" s="5"/>
      <c r="R247" s="13"/>
      <c r="S247" s="12"/>
      <c r="T247" s="14" t="s">
        <v>30</v>
      </c>
      <c r="U247" s="40"/>
      <c r="X247" s="15"/>
    </row>
    <row r="248" customFormat="false" ht="18" hidden="false" customHeight="true" outlineLevel="0" collapsed="false">
      <c r="A248" s="16" t="n">
        <v>246</v>
      </c>
      <c r="B248" s="17" t="s">
        <v>807</v>
      </c>
      <c r="C248" s="26" t="s">
        <v>845</v>
      </c>
      <c r="D248" s="8" t="s">
        <v>27</v>
      </c>
      <c r="E248" s="20" t="s">
        <v>846</v>
      </c>
      <c r="F248" s="16" t="n">
        <v>18</v>
      </c>
      <c r="G248" s="16" t="n">
        <f aca="false">F248*4</f>
        <v>72</v>
      </c>
      <c r="H248" s="21" t="n">
        <v>690038</v>
      </c>
      <c r="I248" s="22" t="s">
        <v>847</v>
      </c>
      <c r="J248" s="12"/>
      <c r="K248" s="12"/>
      <c r="L248" s="12"/>
      <c r="M248" s="12"/>
      <c r="N248" s="12"/>
      <c r="O248" s="12"/>
      <c r="Q248" s="16"/>
      <c r="R248" s="23"/>
      <c r="S248" s="12"/>
      <c r="T248" s="14" t="s">
        <v>30</v>
      </c>
      <c r="U248" s="30" t="s">
        <v>848</v>
      </c>
      <c r="V248" s="1" t="n">
        <v>2010</v>
      </c>
      <c r="W248" s="1" t="s">
        <v>849</v>
      </c>
      <c r="X248" s="25"/>
    </row>
    <row r="249" customFormat="false" ht="18" hidden="false" customHeight="true" outlineLevel="0" collapsed="false">
      <c r="A249" s="5" t="n">
        <v>247</v>
      </c>
      <c r="B249" s="6" t="s">
        <v>807</v>
      </c>
      <c r="C249" s="27" t="s">
        <v>850</v>
      </c>
      <c r="D249" s="19" t="s">
        <v>32</v>
      </c>
      <c r="E249" s="9" t="s">
        <v>851</v>
      </c>
      <c r="F249" s="5" t="n">
        <v>18</v>
      </c>
      <c r="G249" s="5" t="n">
        <f aca="false">F249*4</f>
        <v>72</v>
      </c>
      <c r="H249" s="10" t="n">
        <v>1075151</v>
      </c>
      <c r="I249" s="11" t="s">
        <v>852</v>
      </c>
      <c r="J249" s="12"/>
      <c r="K249" s="12"/>
      <c r="L249" s="12"/>
      <c r="M249" s="12"/>
      <c r="N249" s="12"/>
      <c r="O249" s="12"/>
      <c r="Q249" s="5"/>
      <c r="R249" s="13"/>
      <c r="S249" s="12"/>
      <c r="T249" s="14" t="s">
        <v>30</v>
      </c>
      <c r="U249" s="40"/>
      <c r="X249" s="15"/>
    </row>
    <row r="250" customFormat="false" ht="18" hidden="false" customHeight="true" outlineLevel="0" collapsed="false">
      <c r="A250" s="16" t="n">
        <v>248</v>
      </c>
      <c r="B250" s="17" t="s">
        <v>807</v>
      </c>
      <c r="C250" s="26" t="s">
        <v>853</v>
      </c>
      <c r="D250" s="8" t="s">
        <v>27</v>
      </c>
      <c r="E250" s="20" t="s">
        <v>854</v>
      </c>
      <c r="F250" s="16" t="n">
        <v>18</v>
      </c>
      <c r="G250" s="16" t="n">
        <f aca="false">F250*4</f>
        <v>72</v>
      </c>
      <c r="H250" s="21" t="n">
        <v>880653</v>
      </c>
      <c r="I250" s="22" t="s">
        <v>855</v>
      </c>
      <c r="J250" s="12"/>
      <c r="K250" s="12"/>
      <c r="L250" s="12"/>
      <c r="M250" s="12"/>
      <c r="N250" s="12"/>
      <c r="O250" s="12"/>
      <c r="Q250" s="16"/>
      <c r="R250" s="23"/>
      <c r="S250" s="12"/>
      <c r="T250" s="14" t="s">
        <v>30</v>
      </c>
      <c r="U250" s="30"/>
      <c r="X250" s="25"/>
    </row>
    <row r="251" customFormat="false" ht="18" hidden="false" customHeight="true" outlineLevel="0" collapsed="false">
      <c r="A251" s="5" t="n">
        <v>249</v>
      </c>
      <c r="B251" s="6" t="s">
        <v>807</v>
      </c>
      <c r="C251" s="27" t="s">
        <v>856</v>
      </c>
      <c r="D251" s="8" t="s">
        <v>27</v>
      </c>
      <c r="E251" s="9" t="s">
        <v>857</v>
      </c>
      <c r="F251" s="5" t="n">
        <v>27</v>
      </c>
      <c r="G251" s="5" t="n">
        <f aca="false">F251*4</f>
        <v>108</v>
      </c>
      <c r="H251" s="10" t="n">
        <v>1415008</v>
      </c>
      <c r="I251" s="11" t="s">
        <v>858</v>
      </c>
      <c r="J251" s="12"/>
      <c r="K251" s="12"/>
      <c r="L251" s="12"/>
      <c r="M251" s="12"/>
      <c r="N251" s="12"/>
      <c r="O251" s="12"/>
      <c r="Q251" s="5"/>
      <c r="R251" s="13"/>
      <c r="S251" s="12"/>
      <c r="T251" s="14" t="s">
        <v>30</v>
      </c>
      <c r="U251" s="40"/>
      <c r="X251" s="15"/>
    </row>
    <row r="252" customFormat="false" ht="18" hidden="false" customHeight="true" outlineLevel="0" collapsed="false">
      <c r="A252" s="16" t="n">
        <v>250</v>
      </c>
      <c r="B252" s="17" t="s">
        <v>807</v>
      </c>
      <c r="C252" s="26" t="s">
        <v>859</v>
      </c>
      <c r="D252" s="19" t="s">
        <v>32</v>
      </c>
      <c r="E252" s="20" t="s">
        <v>860</v>
      </c>
      <c r="F252" s="16" t="n">
        <v>18</v>
      </c>
      <c r="G252" s="16" t="n">
        <f aca="false">F252*4</f>
        <v>72</v>
      </c>
      <c r="H252" s="21" t="n">
        <v>1005341</v>
      </c>
      <c r="I252" s="22" t="s">
        <v>861</v>
      </c>
      <c r="J252" s="12"/>
      <c r="K252" s="12"/>
      <c r="L252" s="12"/>
      <c r="M252" s="12"/>
      <c r="N252" s="12"/>
      <c r="O252" s="12"/>
      <c r="Q252" s="16"/>
      <c r="R252" s="23"/>
      <c r="S252" s="12"/>
      <c r="T252" s="14" t="s">
        <v>30</v>
      </c>
      <c r="U252" s="30"/>
      <c r="X252" s="25"/>
    </row>
    <row r="253" customFormat="false" ht="18" hidden="false" customHeight="true" outlineLevel="0" collapsed="false">
      <c r="A253" s="5" t="n">
        <v>251</v>
      </c>
      <c r="B253" s="6" t="s">
        <v>807</v>
      </c>
      <c r="C253" s="27" t="s">
        <v>862</v>
      </c>
      <c r="D253" s="8" t="s">
        <v>27</v>
      </c>
      <c r="E253" s="9" t="s">
        <v>863</v>
      </c>
      <c r="F253" s="5" t="n">
        <v>18</v>
      </c>
      <c r="G253" s="5" t="n">
        <f aca="false">F253*4</f>
        <v>72</v>
      </c>
      <c r="H253" s="10" t="n">
        <v>893383</v>
      </c>
      <c r="I253" s="11" t="s">
        <v>864</v>
      </c>
      <c r="J253" s="12"/>
      <c r="K253" s="12"/>
      <c r="L253" s="12"/>
      <c r="M253" s="12"/>
      <c r="N253" s="12"/>
      <c r="O253" s="12"/>
      <c r="Q253" s="5"/>
      <c r="R253" s="13"/>
      <c r="S253" s="12"/>
      <c r="T253" s="14" t="s">
        <v>30</v>
      </c>
      <c r="U253" s="40"/>
      <c r="X253" s="15"/>
    </row>
    <row r="254" customFormat="false" ht="18" hidden="false" customHeight="true" outlineLevel="0" collapsed="false">
      <c r="A254" s="16" t="n">
        <v>252</v>
      </c>
      <c r="B254" s="17" t="s">
        <v>807</v>
      </c>
      <c r="C254" s="26" t="s">
        <v>865</v>
      </c>
      <c r="D254" s="8" t="s">
        <v>27</v>
      </c>
      <c r="E254" s="20" t="s">
        <v>866</v>
      </c>
      <c r="F254" s="16" t="n">
        <v>18</v>
      </c>
      <c r="G254" s="16" t="n">
        <f aca="false">F254*4</f>
        <v>72</v>
      </c>
      <c r="H254" s="21" t="n">
        <v>944976</v>
      </c>
      <c r="I254" s="22" t="s">
        <v>867</v>
      </c>
      <c r="J254" s="12"/>
      <c r="K254" s="12"/>
      <c r="L254" s="12"/>
      <c r="M254" s="12"/>
      <c r="N254" s="12"/>
      <c r="O254" s="12"/>
      <c r="Q254" s="16"/>
      <c r="R254" s="23"/>
      <c r="S254" s="12"/>
      <c r="T254" s="14" t="s">
        <v>30</v>
      </c>
      <c r="U254" s="30"/>
      <c r="X254" s="25"/>
    </row>
    <row r="255" customFormat="false" ht="18" hidden="false" customHeight="true" outlineLevel="0" collapsed="false">
      <c r="A255" s="5" t="n">
        <v>253</v>
      </c>
      <c r="B255" s="6" t="s">
        <v>807</v>
      </c>
      <c r="C255" s="27" t="s">
        <v>868</v>
      </c>
      <c r="D255" s="19" t="s">
        <v>32</v>
      </c>
      <c r="E255" s="9" t="s">
        <v>869</v>
      </c>
      <c r="F255" s="5" t="n">
        <v>27</v>
      </c>
      <c r="G255" s="5" t="n">
        <f aca="false">F255*4</f>
        <v>108</v>
      </c>
      <c r="H255" s="10" t="n">
        <v>1151924</v>
      </c>
      <c r="I255" s="11" t="s">
        <v>870</v>
      </c>
      <c r="J255" s="12"/>
      <c r="K255" s="12"/>
      <c r="L255" s="12"/>
      <c r="M255" s="12"/>
      <c r="N255" s="12"/>
      <c r="O255" s="12"/>
      <c r="Q255" s="5"/>
      <c r="R255" s="13"/>
      <c r="S255" s="12"/>
      <c r="T255" s="14" t="s">
        <v>30</v>
      </c>
      <c r="U255" s="40"/>
      <c r="X255" s="15"/>
    </row>
    <row r="256" customFormat="false" ht="18" hidden="false" customHeight="true" outlineLevel="0" collapsed="false">
      <c r="A256" s="16" t="n">
        <v>254</v>
      </c>
      <c r="B256" s="17" t="s">
        <v>807</v>
      </c>
      <c r="C256" s="26" t="s">
        <v>871</v>
      </c>
      <c r="D256" s="8" t="s">
        <v>27</v>
      </c>
      <c r="E256" s="20" t="s">
        <v>872</v>
      </c>
      <c r="F256" s="16" t="n">
        <v>27</v>
      </c>
      <c r="G256" s="16" t="n">
        <f aca="false">F256*4</f>
        <v>108</v>
      </c>
      <c r="H256" s="21" t="n">
        <v>1434573</v>
      </c>
      <c r="I256" s="22" t="s">
        <v>873</v>
      </c>
      <c r="J256" s="12"/>
      <c r="K256" s="12"/>
      <c r="L256" s="12"/>
      <c r="M256" s="12"/>
      <c r="N256" s="12"/>
      <c r="O256" s="12"/>
      <c r="Q256" s="16"/>
      <c r="R256" s="23"/>
      <c r="S256" s="12"/>
      <c r="T256" s="14" t="s">
        <v>30</v>
      </c>
      <c r="U256" s="30"/>
      <c r="X256" s="25"/>
    </row>
    <row r="257" customFormat="false" ht="18" hidden="false" customHeight="true" outlineLevel="0" collapsed="false">
      <c r="A257" s="5" t="n">
        <v>255</v>
      </c>
      <c r="B257" s="6" t="s">
        <v>807</v>
      </c>
      <c r="C257" s="27" t="s">
        <v>874</v>
      </c>
      <c r="D257" s="8" t="s">
        <v>27</v>
      </c>
      <c r="E257" s="9" t="s">
        <v>875</v>
      </c>
      <c r="F257" s="5" t="n">
        <v>18</v>
      </c>
      <c r="G257" s="5" t="n">
        <f aca="false">F257*4</f>
        <v>72</v>
      </c>
      <c r="H257" s="10" t="n">
        <v>830332</v>
      </c>
      <c r="I257" s="11" t="s">
        <v>876</v>
      </c>
      <c r="J257" s="12"/>
      <c r="K257" s="12"/>
      <c r="L257" s="12"/>
      <c r="M257" s="12"/>
      <c r="N257" s="12"/>
      <c r="O257" s="12"/>
      <c r="Q257" s="5"/>
      <c r="R257" s="13"/>
      <c r="S257" s="12"/>
      <c r="T257" s="14" t="s">
        <v>30</v>
      </c>
      <c r="U257" s="40" t="s">
        <v>877</v>
      </c>
      <c r="V257" s="1" t="n">
        <v>2006</v>
      </c>
      <c r="W257" s="1" t="s">
        <v>878</v>
      </c>
      <c r="X257" s="29"/>
    </row>
    <row r="258" customFormat="false" ht="18" hidden="false" customHeight="true" outlineLevel="0" collapsed="false">
      <c r="A258" s="16" t="n">
        <v>256</v>
      </c>
      <c r="B258" s="17" t="s">
        <v>807</v>
      </c>
      <c r="C258" s="26" t="s">
        <v>879</v>
      </c>
      <c r="D258" s="8" t="s">
        <v>27</v>
      </c>
      <c r="E258" s="20" t="s">
        <v>880</v>
      </c>
      <c r="F258" s="16" t="n">
        <v>9</v>
      </c>
      <c r="G258" s="16" t="n">
        <f aca="false">F258*4</f>
        <v>36</v>
      </c>
      <c r="H258" s="21" t="n">
        <v>371280</v>
      </c>
      <c r="I258" s="22" t="s">
        <v>881</v>
      </c>
      <c r="J258" s="12"/>
      <c r="K258" s="12"/>
      <c r="L258" s="12"/>
      <c r="M258" s="12"/>
      <c r="N258" s="12"/>
      <c r="O258" s="12"/>
      <c r="Q258" s="16"/>
      <c r="R258" s="23"/>
      <c r="S258" s="12"/>
      <c r="T258" s="14" t="s">
        <v>30</v>
      </c>
      <c r="U258" s="30"/>
      <c r="X258" s="25"/>
    </row>
    <row r="259" customFormat="false" ht="18" hidden="false" customHeight="true" outlineLevel="0" collapsed="false">
      <c r="A259" s="5" t="n">
        <v>257</v>
      </c>
      <c r="B259" s="6" t="s">
        <v>807</v>
      </c>
      <c r="C259" s="27" t="s">
        <v>882</v>
      </c>
      <c r="D259" s="8" t="s">
        <v>27</v>
      </c>
      <c r="E259" s="9" t="s">
        <v>883</v>
      </c>
      <c r="F259" s="5" t="n">
        <v>18</v>
      </c>
      <c r="G259" s="5" t="n">
        <f aca="false">F259*4</f>
        <v>72</v>
      </c>
      <c r="H259" s="10" t="n">
        <v>889884</v>
      </c>
      <c r="I259" s="11" t="s">
        <v>884</v>
      </c>
      <c r="J259" s="12"/>
      <c r="K259" s="12"/>
      <c r="L259" s="12"/>
      <c r="M259" s="12"/>
      <c r="N259" s="12"/>
      <c r="O259" s="12"/>
      <c r="Q259" s="5"/>
      <c r="R259" s="13"/>
      <c r="S259" s="12"/>
      <c r="T259" s="14" t="s">
        <v>30</v>
      </c>
      <c r="U259" s="40"/>
      <c r="X259" s="15"/>
    </row>
    <row r="260" customFormat="false" ht="18" hidden="false" customHeight="true" outlineLevel="0" collapsed="false">
      <c r="A260" s="16" t="n">
        <v>258</v>
      </c>
      <c r="B260" s="17" t="s">
        <v>807</v>
      </c>
      <c r="C260" s="26" t="s">
        <v>885</v>
      </c>
      <c r="D260" s="8" t="s">
        <v>27</v>
      </c>
      <c r="E260" s="20" t="s">
        <v>886</v>
      </c>
      <c r="F260" s="16" t="n">
        <v>9</v>
      </c>
      <c r="G260" s="16" t="n">
        <f aca="false">F260*4</f>
        <v>36</v>
      </c>
      <c r="H260" s="21" t="n">
        <v>391643</v>
      </c>
      <c r="I260" s="22" t="s">
        <v>887</v>
      </c>
      <c r="J260" s="12"/>
      <c r="K260" s="12"/>
      <c r="L260" s="12"/>
      <c r="M260" s="12"/>
      <c r="N260" s="12"/>
      <c r="O260" s="12"/>
      <c r="Q260" s="16"/>
      <c r="R260" s="23"/>
      <c r="S260" s="12"/>
      <c r="T260" s="14" t="s">
        <v>30</v>
      </c>
      <c r="U260" s="30"/>
      <c r="X260" s="25"/>
    </row>
    <row r="261" customFormat="false" ht="18" hidden="false" customHeight="true" outlineLevel="0" collapsed="false">
      <c r="A261" s="5" t="n">
        <v>259</v>
      </c>
      <c r="B261" s="6" t="s">
        <v>807</v>
      </c>
      <c r="C261" s="27" t="s">
        <v>888</v>
      </c>
      <c r="D261" s="8" t="s">
        <v>27</v>
      </c>
      <c r="E261" s="9" t="s">
        <v>889</v>
      </c>
      <c r="F261" s="5" t="n">
        <v>27</v>
      </c>
      <c r="G261" s="5" t="n">
        <f aca="false">F261*4</f>
        <v>108</v>
      </c>
      <c r="H261" s="10" t="n">
        <v>1371052</v>
      </c>
      <c r="I261" s="11" t="s">
        <v>890</v>
      </c>
      <c r="J261" s="12"/>
      <c r="K261" s="12"/>
      <c r="L261" s="12"/>
      <c r="M261" s="12"/>
      <c r="N261" s="12"/>
      <c r="O261" s="12"/>
      <c r="Q261" s="5"/>
      <c r="R261" s="13"/>
      <c r="S261" s="12"/>
      <c r="T261" s="14" t="s">
        <v>30</v>
      </c>
      <c r="U261" s="40"/>
      <c r="X261" s="15"/>
    </row>
    <row r="262" customFormat="false" ht="18" hidden="false" customHeight="true" outlineLevel="0" collapsed="false">
      <c r="A262" s="16" t="n">
        <v>260</v>
      </c>
      <c r="B262" s="17" t="s">
        <v>807</v>
      </c>
      <c r="C262" s="26" t="s">
        <v>891</v>
      </c>
      <c r="D262" s="8" t="s">
        <v>27</v>
      </c>
      <c r="E262" s="20" t="s">
        <v>892</v>
      </c>
      <c r="F262" s="16" t="n">
        <v>18</v>
      </c>
      <c r="G262" s="16" t="n">
        <f aca="false">F262*4</f>
        <v>72</v>
      </c>
      <c r="H262" s="21" t="n">
        <v>982711</v>
      </c>
      <c r="I262" s="30" t="s">
        <v>893</v>
      </c>
      <c r="J262" s="12"/>
      <c r="K262" s="12"/>
      <c r="L262" s="12"/>
      <c r="M262" s="12"/>
      <c r="N262" s="12"/>
      <c r="O262" s="12"/>
      <c r="Q262" s="16"/>
      <c r="R262" s="23"/>
      <c r="S262" s="12"/>
      <c r="T262" s="14" t="s">
        <v>30</v>
      </c>
      <c r="U262" s="30"/>
      <c r="X262" s="25"/>
    </row>
    <row r="263" customFormat="false" ht="18" hidden="false" customHeight="true" outlineLevel="0" collapsed="false">
      <c r="A263" s="5" t="n">
        <v>261</v>
      </c>
      <c r="B263" s="6" t="s">
        <v>807</v>
      </c>
      <c r="C263" s="27" t="s">
        <v>894</v>
      </c>
      <c r="D263" s="8" t="s">
        <v>27</v>
      </c>
      <c r="E263" s="9" t="s">
        <v>895</v>
      </c>
      <c r="F263" s="5" t="n">
        <v>18</v>
      </c>
      <c r="G263" s="5" t="n">
        <f aca="false">F263*4</f>
        <v>72</v>
      </c>
      <c r="H263" s="10" t="n">
        <v>1245258</v>
      </c>
      <c r="I263" s="40" t="s">
        <v>896</v>
      </c>
      <c r="J263" s="12"/>
      <c r="K263" s="12"/>
      <c r="L263" s="12"/>
      <c r="M263" s="12"/>
      <c r="N263" s="12"/>
      <c r="O263" s="12"/>
      <c r="Q263" s="5"/>
      <c r="R263" s="13"/>
      <c r="S263" s="12"/>
      <c r="T263" s="14" t="s">
        <v>30</v>
      </c>
      <c r="U263" s="40"/>
      <c r="X263" s="15"/>
    </row>
    <row r="264" customFormat="false" ht="18" hidden="false" customHeight="true" outlineLevel="0" collapsed="false">
      <c r="A264" s="16" t="n">
        <v>262</v>
      </c>
      <c r="B264" s="17" t="s">
        <v>807</v>
      </c>
      <c r="C264" s="26" t="s">
        <v>897</v>
      </c>
      <c r="D264" s="8" t="s">
        <v>27</v>
      </c>
      <c r="E264" s="20" t="s">
        <v>898</v>
      </c>
      <c r="F264" s="16" t="n">
        <v>18</v>
      </c>
      <c r="G264" s="16" t="n">
        <f aca="false">F264*4</f>
        <v>72</v>
      </c>
      <c r="H264" s="21" t="n">
        <v>896185</v>
      </c>
      <c r="I264" s="22" t="s">
        <v>899</v>
      </c>
      <c r="J264" s="12"/>
      <c r="K264" s="12"/>
      <c r="L264" s="12"/>
      <c r="M264" s="12"/>
      <c r="N264" s="12"/>
      <c r="O264" s="12"/>
      <c r="Q264" s="16"/>
      <c r="R264" s="23"/>
      <c r="S264" s="12"/>
      <c r="T264" s="14" t="s">
        <v>30</v>
      </c>
      <c r="U264" s="30"/>
      <c r="X264" s="25"/>
    </row>
    <row r="265" customFormat="false" ht="18" hidden="false" customHeight="true" outlineLevel="0" collapsed="false">
      <c r="A265" s="5" t="n">
        <v>263</v>
      </c>
      <c r="B265" s="6" t="s">
        <v>807</v>
      </c>
      <c r="C265" s="27" t="s">
        <v>900</v>
      </c>
      <c r="D265" s="8" t="s">
        <v>27</v>
      </c>
      <c r="E265" s="9" t="s">
        <v>901</v>
      </c>
      <c r="F265" s="5" t="n">
        <v>27</v>
      </c>
      <c r="G265" s="5" t="n">
        <f aca="false">F265*4</f>
        <v>108</v>
      </c>
      <c r="H265" s="10" t="n">
        <v>1179674</v>
      </c>
      <c r="I265" s="40" t="s">
        <v>902</v>
      </c>
      <c r="J265" s="12"/>
      <c r="K265" s="12"/>
      <c r="L265" s="12"/>
      <c r="M265" s="12"/>
      <c r="N265" s="12"/>
      <c r="O265" s="12"/>
      <c r="Q265" s="5"/>
      <c r="R265" s="13"/>
      <c r="S265" s="12"/>
      <c r="T265" s="14" t="s">
        <v>30</v>
      </c>
      <c r="U265" s="40"/>
      <c r="X265" s="15"/>
    </row>
    <row r="266" customFormat="false" ht="18" hidden="false" customHeight="true" outlineLevel="0" collapsed="false">
      <c r="A266" s="16" t="n">
        <v>264</v>
      </c>
      <c r="B266" s="17" t="s">
        <v>807</v>
      </c>
      <c r="C266" s="26" t="s">
        <v>903</v>
      </c>
      <c r="D266" s="8" t="s">
        <v>27</v>
      </c>
      <c r="E266" s="20" t="s">
        <v>904</v>
      </c>
      <c r="F266" s="16" t="n">
        <v>27</v>
      </c>
      <c r="G266" s="16" t="n">
        <f aca="false">F266*4</f>
        <v>108</v>
      </c>
      <c r="H266" s="21" t="n">
        <v>1372015</v>
      </c>
      <c r="I266" s="22" t="s">
        <v>905</v>
      </c>
      <c r="J266" s="12"/>
      <c r="K266" s="12"/>
      <c r="L266" s="12"/>
      <c r="M266" s="12"/>
      <c r="N266" s="12"/>
      <c r="O266" s="12"/>
      <c r="Q266" s="16"/>
      <c r="R266" s="23"/>
      <c r="S266" s="12"/>
      <c r="T266" s="14" t="s">
        <v>30</v>
      </c>
      <c r="U266" s="30"/>
      <c r="X266" s="25"/>
    </row>
    <row r="267" customFormat="false" ht="18" hidden="false" customHeight="true" outlineLevel="0" collapsed="false">
      <c r="A267" s="5" t="n">
        <v>265</v>
      </c>
      <c r="B267" s="6" t="s">
        <v>807</v>
      </c>
      <c r="C267" s="27" t="s">
        <v>906</v>
      </c>
      <c r="D267" s="19" t="s">
        <v>32</v>
      </c>
      <c r="E267" s="9" t="s">
        <v>907</v>
      </c>
      <c r="F267" s="5" t="n">
        <v>27</v>
      </c>
      <c r="G267" s="5" t="n">
        <f aca="false">F267*4</f>
        <v>108</v>
      </c>
      <c r="H267" s="10" t="n">
        <v>1153107</v>
      </c>
      <c r="I267" s="11" t="s">
        <v>908</v>
      </c>
      <c r="J267" s="12"/>
      <c r="K267" s="12"/>
      <c r="L267" s="12"/>
      <c r="M267" s="12"/>
      <c r="N267" s="12"/>
      <c r="O267" s="12"/>
      <c r="Q267" s="5"/>
      <c r="R267" s="13"/>
      <c r="S267" s="12"/>
      <c r="T267" s="14" t="s">
        <v>30</v>
      </c>
      <c r="U267" s="40" t="s">
        <v>909</v>
      </c>
      <c r="V267" s="1" t="n">
        <v>2009</v>
      </c>
      <c r="W267" s="1" t="s">
        <v>910</v>
      </c>
      <c r="X267" s="29"/>
    </row>
    <row r="268" customFormat="false" ht="18" hidden="false" customHeight="true" outlineLevel="0" collapsed="false">
      <c r="A268" s="16" t="n">
        <v>266</v>
      </c>
      <c r="B268" s="17" t="s">
        <v>807</v>
      </c>
      <c r="C268" s="26" t="s">
        <v>906</v>
      </c>
      <c r="D268" s="8" t="s">
        <v>27</v>
      </c>
      <c r="E268" s="20" t="s">
        <v>911</v>
      </c>
      <c r="F268" s="16" t="n">
        <v>9</v>
      </c>
      <c r="G268" s="16" t="n">
        <f aca="false">F268*4</f>
        <v>36</v>
      </c>
      <c r="H268" s="21" t="n">
        <v>259636</v>
      </c>
      <c r="I268" s="22" t="s">
        <v>908</v>
      </c>
      <c r="J268" s="12"/>
      <c r="K268" s="12"/>
      <c r="L268" s="12"/>
      <c r="M268" s="12"/>
      <c r="N268" s="12"/>
      <c r="O268" s="12"/>
      <c r="Q268" s="16"/>
      <c r="R268" s="23"/>
      <c r="S268" s="12"/>
      <c r="T268" s="14" t="s">
        <v>30</v>
      </c>
      <c r="U268" s="30" t="s">
        <v>909</v>
      </c>
      <c r="V268" s="1" t="n">
        <v>2009</v>
      </c>
      <c r="W268" s="1" t="s">
        <v>910</v>
      </c>
      <c r="X268" s="25"/>
    </row>
    <row r="269" customFormat="false" ht="18" hidden="false" customHeight="true" outlineLevel="0" collapsed="false">
      <c r="A269" s="5" t="n">
        <v>267</v>
      </c>
      <c r="B269" s="6" t="s">
        <v>807</v>
      </c>
      <c r="C269" s="27" t="s">
        <v>912</v>
      </c>
      <c r="D269" s="8" t="s">
        <v>27</v>
      </c>
      <c r="E269" s="9" t="s">
        <v>913</v>
      </c>
      <c r="F269" s="5" t="n">
        <v>27</v>
      </c>
      <c r="G269" s="5" t="n">
        <f aca="false">F269*4</f>
        <v>108</v>
      </c>
      <c r="H269" s="10" t="n">
        <v>1421784</v>
      </c>
      <c r="I269" s="11" t="s">
        <v>914</v>
      </c>
      <c r="J269" s="12"/>
      <c r="K269" s="12"/>
      <c r="L269" s="12"/>
      <c r="M269" s="12"/>
      <c r="N269" s="12"/>
      <c r="O269" s="12"/>
      <c r="Q269" s="5"/>
      <c r="R269" s="13"/>
      <c r="S269" s="12"/>
      <c r="T269" s="14" t="s">
        <v>30</v>
      </c>
      <c r="U269" s="40"/>
      <c r="X269" s="15"/>
    </row>
    <row r="270" customFormat="false" ht="18" hidden="false" customHeight="true" outlineLevel="0" collapsed="false">
      <c r="A270" s="16" t="n">
        <v>268</v>
      </c>
      <c r="B270" s="17" t="s">
        <v>807</v>
      </c>
      <c r="C270" s="26" t="s">
        <v>915</v>
      </c>
      <c r="D270" s="8" t="s">
        <v>27</v>
      </c>
      <c r="E270" s="20" t="s">
        <v>916</v>
      </c>
      <c r="F270" s="16" t="n">
        <v>18</v>
      </c>
      <c r="G270" s="16" t="n">
        <f aca="false">F270*4</f>
        <v>72</v>
      </c>
      <c r="H270" s="21" t="n">
        <v>944128</v>
      </c>
      <c r="I270" s="22" t="s">
        <v>917</v>
      </c>
      <c r="J270" s="12"/>
      <c r="K270" s="12"/>
      <c r="L270" s="12"/>
      <c r="M270" s="12"/>
      <c r="N270" s="12"/>
      <c r="O270" s="12"/>
      <c r="Q270" s="16"/>
      <c r="R270" s="23"/>
      <c r="S270" s="12"/>
      <c r="T270" s="14" t="s">
        <v>30</v>
      </c>
      <c r="U270" s="30"/>
      <c r="X270" s="25"/>
    </row>
    <row r="271" customFormat="false" ht="18" hidden="false" customHeight="true" outlineLevel="0" collapsed="false">
      <c r="A271" s="5" t="n">
        <v>269</v>
      </c>
      <c r="B271" s="6" t="s">
        <v>807</v>
      </c>
      <c r="C271" s="27" t="s">
        <v>918</v>
      </c>
      <c r="D271" s="8" t="s">
        <v>27</v>
      </c>
      <c r="E271" s="9" t="s">
        <v>919</v>
      </c>
      <c r="F271" s="5" t="n">
        <v>18</v>
      </c>
      <c r="G271" s="5" t="n">
        <f aca="false">F271*4</f>
        <v>72</v>
      </c>
      <c r="H271" s="10" t="n">
        <v>828506</v>
      </c>
      <c r="I271" s="11" t="s">
        <v>917</v>
      </c>
      <c r="J271" s="12"/>
      <c r="K271" s="12"/>
      <c r="L271" s="12"/>
      <c r="M271" s="12"/>
      <c r="N271" s="12"/>
      <c r="O271" s="12"/>
      <c r="Q271" s="5"/>
      <c r="R271" s="13"/>
      <c r="S271" s="12"/>
      <c r="T271" s="14" t="s">
        <v>30</v>
      </c>
      <c r="U271" s="40"/>
      <c r="X271" s="15"/>
    </row>
    <row r="272" customFormat="false" ht="18" hidden="false" customHeight="true" outlineLevel="0" collapsed="false">
      <c r="A272" s="16" t="n">
        <v>270</v>
      </c>
      <c r="B272" s="17" t="s">
        <v>807</v>
      </c>
      <c r="C272" s="26" t="s">
        <v>920</v>
      </c>
      <c r="D272" s="8" t="s">
        <v>27</v>
      </c>
      <c r="E272" s="20" t="s">
        <v>921</v>
      </c>
      <c r="F272" s="16" t="n">
        <v>18</v>
      </c>
      <c r="G272" s="16" t="n">
        <f aca="false">F272*4</f>
        <v>72</v>
      </c>
      <c r="H272" s="21" t="n">
        <v>870252</v>
      </c>
      <c r="I272" s="22" t="s">
        <v>922</v>
      </c>
      <c r="J272" s="12"/>
      <c r="K272" s="12"/>
      <c r="L272" s="12"/>
      <c r="M272" s="12"/>
      <c r="N272" s="12"/>
      <c r="O272" s="12"/>
      <c r="Q272" s="16"/>
      <c r="R272" s="23"/>
      <c r="S272" s="12"/>
      <c r="T272" s="14" t="s">
        <v>30</v>
      </c>
      <c r="U272" s="30"/>
      <c r="X272" s="25"/>
    </row>
    <row r="273" customFormat="false" ht="18" hidden="false" customHeight="true" outlineLevel="0" collapsed="false">
      <c r="A273" s="5" t="n">
        <v>271</v>
      </c>
      <c r="B273" s="6" t="s">
        <v>807</v>
      </c>
      <c r="C273" s="27" t="s">
        <v>923</v>
      </c>
      <c r="D273" s="8" t="s">
        <v>27</v>
      </c>
      <c r="E273" s="9" t="s">
        <v>924</v>
      </c>
      <c r="F273" s="5" t="n">
        <v>27</v>
      </c>
      <c r="G273" s="5" t="n">
        <f aca="false">F273*4</f>
        <v>108</v>
      </c>
      <c r="H273" s="10" t="n">
        <v>1253344</v>
      </c>
      <c r="I273" s="11" t="s">
        <v>925</v>
      </c>
      <c r="J273" s="12"/>
      <c r="K273" s="12"/>
      <c r="L273" s="12"/>
      <c r="M273" s="12"/>
      <c r="N273" s="12"/>
      <c r="O273" s="12"/>
      <c r="Q273" s="5"/>
      <c r="R273" s="13"/>
      <c r="S273" s="12"/>
      <c r="T273" s="14" t="s">
        <v>30</v>
      </c>
      <c r="U273" s="40"/>
      <c r="X273" s="15"/>
    </row>
    <row r="274" customFormat="false" ht="18" hidden="false" customHeight="true" outlineLevel="0" collapsed="false">
      <c r="A274" s="46" t="n">
        <v>272</v>
      </c>
      <c r="B274" s="47" t="s">
        <v>926</v>
      </c>
      <c r="C274" s="48" t="s">
        <v>927</v>
      </c>
      <c r="D274" s="49" t="s">
        <v>27</v>
      </c>
      <c r="E274" s="50" t="s">
        <v>928</v>
      </c>
      <c r="F274" s="46" t="n">
        <v>9</v>
      </c>
      <c r="G274" s="46" t="n">
        <f aca="false">F274*4</f>
        <v>36</v>
      </c>
      <c r="H274" s="51" t="n">
        <v>259401</v>
      </c>
      <c r="I274" s="52" t="s">
        <v>929</v>
      </c>
      <c r="J274" s="53"/>
      <c r="K274" s="53"/>
      <c r="L274" s="53"/>
      <c r="M274" s="53"/>
      <c r="N274" s="53"/>
      <c r="O274" s="53"/>
      <c r="Q274" s="46"/>
      <c r="R274" s="54"/>
      <c r="S274" s="53"/>
      <c r="T274" s="55" t="s">
        <v>30</v>
      </c>
      <c r="U274" s="52"/>
      <c r="X274" s="56"/>
    </row>
    <row r="275" customFormat="false" ht="18" hidden="false" customHeight="true" outlineLevel="0" collapsed="false">
      <c r="A275" s="5" t="n">
        <v>273</v>
      </c>
      <c r="B275" s="6" t="s">
        <v>926</v>
      </c>
      <c r="C275" s="27" t="s">
        <v>930</v>
      </c>
      <c r="D275" s="8" t="s">
        <v>27</v>
      </c>
      <c r="E275" s="9" t="s">
        <v>931</v>
      </c>
      <c r="F275" s="5" t="n">
        <v>9</v>
      </c>
      <c r="G275" s="5" t="n">
        <f aca="false">F275*4</f>
        <v>36</v>
      </c>
      <c r="H275" s="10" t="n">
        <v>318382</v>
      </c>
      <c r="I275" s="11" t="s">
        <v>932</v>
      </c>
      <c r="J275" s="12"/>
      <c r="K275" s="12"/>
      <c r="L275" s="12"/>
      <c r="M275" s="12"/>
      <c r="N275" s="12"/>
      <c r="O275" s="12"/>
      <c r="Q275" s="5"/>
      <c r="R275" s="13"/>
      <c r="S275" s="12"/>
      <c r="T275" s="14" t="s">
        <v>30</v>
      </c>
      <c r="U275" s="40"/>
      <c r="X275" s="15"/>
    </row>
    <row r="276" customFormat="false" ht="18" hidden="false" customHeight="true" outlineLevel="0" collapsed="false">
      <c r="A276" s="16" t="n">
        <v>274</v>
      </c>
      <c r="B276" s="17" t="s">
        <v>926</v>
      </c>
      <c r="C276" s="26" t="s">
        <v>933</v>
      </c>
      <c r="D276" s="19" t="s">
        <v>32</v>
      </c>
      <c r="E276" s="20" t="s">
        <v>934</v>
      </c>
      <c r="F276" s="16" t="n">
        <v>18</v>
      </c>
      <c r="G276" s="16" t="n">
        <f aca="false">F276*4</f>
        <v>72</v>
      </c>
      <c r="H276" s="21" t="n">
        <v>1156423</v>
      </c>
      <c r="I276" s="22" t="s">
        <v>935</v>
      </c>
      <c r="J276" s="37" t="n">
        <v>2.8</v>
      </c>
      <c r="K276" s="37" t="n">
        <v>3</v>
      </c>
      <c r="L276" s="37" t="n">
        <v>3.2</v>
      </c>
      <c r="M276" s="43" t="n">
        <v>4</v>
      </c>
      <c r="N276" s="37" t="n">
        <v>3.3</v>
      </c>
      <c r="O276" s="39" t="n">
        <f aca="false">ROUND(AVERAGE(J276:N276),2)</f>
        <v>3.26</v>
      </c>
      <c r="Q276" s="16" t="n">
        <v>113</v>
      </c>
      <c r="R276" s="23" t="n">
        <v>69.3</v>
      </c>
      <c r="S276" s="69" t="s">
        <v>936</v>
      </c>
      <c r="T276" s="35" t="s">
        <v>91</v>
      </c>
      <c r="U276" s="36" t="s">
        <v>937</v>
      </c>
      <c r="X276" s="25"/>
    </row>
    <row r="277" customFormat="false" ht="18" hidden="false" customHeight="true" outlineLevel="0" collapsed="false">
      <c r="A277" s="57" t="n">
        <v>275</v>
      </c>
      <c r="B277" s="58" t="s">
        <v>938</v>
      </c>
      <c r="C277" s="68" t="s">
        <v>939</v>
      </c>
      <c r="D277" s="49" t="s">
        <v>27</v>
      </c>
      <c r="E277" s="60" t="s">
        <v>940</v>
      </c>
      <c r="F277" s="57" t="n">
        <v>18</v>
      </c>
      <c r="G277" s="57" t="n">
        <f aca="false">F277*4</f>
        <v>72</v>
      </c>
      <c r="H277" s="61" t="n">
        <v>1009660</v>
      </c>
      <c r="I277" s="62" t="s">
        <v>941</v>
      </c>
      <c r="J277" s="53"/>
      <c r="K277" s="53"/>
      <c r="L277" s="53"/>
      <c r="M277" s="53"/>
      <c r="N277" s="53"/>
      <c r="O277" s="53"/>
      <c r="Q277" s="57"/>
      <c r="R277" s="63"/>
      <c r="S277" s="53"/>
      <c r="T277" s="55" t="s">
        <v>30</v>
      </c>
      <c r="U277" s="70" t="s">
        <v>942</v>
      </c>
      <c r="V277" s="1" t="n">
        <v>2004</v>
      </c>
      <c r="W277" s="1" t="s">
        <v>943</v>
      </c>
      <c r="X277" s="71"/>
    </row>
    <row r="278" customFormat="false" ht="18" hidden="false" customHeight="true" outlineLevel="0" collapsed="false">
      <c r="A278" s="16" t="n">
        <v>276</v>
      </c>
      <c r="B278" s="17" t="s">
        <v>938</v>
      </c>
      <c r="C278" s="26" t="s">
        <v>944</v>
      </c>
      <c r="D278" s="8" t="s">
        <v>27</v>
      </c>
      <c r="E278" s="20" t="s">
        <v>945</v>
      </c>
      <c r="F278" s="16" t="n">
        <v>27</v>
      </c>
      <c r="G278" s="16" t="n">
        <f aca="false">F278*4</f>
        <v>108</v>
      </c>
      <c r="H278" s="21" t="n">
        <v>1301532</v>
      </c>
      <c r="I278" s="22" t="s">
        <v>946</v>
      </c>
      <c r="J278" s="12"/>
      <c r="K278" s="12"/>
      <c r="L278" s="12"/>
      <c r="M278" s="12"/>
      <c r="N278" s="12"/>
      <c r="O278" s="12"/>
      <c r="Q278" s="16"/>
      <c r="R278" s="23"/>
      <c r="S278" s="12"/>
      <c r="T278" s="14" t="s">
        <v>30</v>
      </c>
      <c r="U278" s="30"/>
      <c r="X278" s="25"/>
    </row>
    <row r="279" customFormat="false" ht="18" hidden="false" customHeight="true" outlineLevel="0" collapsed="false">
      <c r="A279" s="5" t="n">
        <v>277</v>
      </c>
      <c r="B279" s="6" t="s">
        <v>938</v>
      </c>
      <c r="C279" s="27" t="s">
        <v>947</v>
      </c>
      <c r="D279" s="19" t="s">
        <v>32</v>
      </c>
      <c r="E279" s="9" t="s">
        <v>948</v>
      </c>
      <c r="F279" s="5" t="n">
        <v>27</v>
      </c>
      <c r="G279" s="5" t="n">
        <f aca="false">F279*4</f>
        <v>108</v>
      </c>
      <c r="H279" s="10" t="n">
        <v>1496123</v>
      </c>
      <c r="I279" s="11" t="s">
        <v>949</v>
      </c>
      <c r="J279" s="12"/>
      <c r="K279" s="12"/>
      <c r="L279" s="12"/>
      <c r="M279" s="12"/>
      <c r="N279" s="12"/>
      <c r="O279" s="12"/>
      <c r="Q279" s="5"/>
      <c r="R279" s="13"/>
      <c r="S279" s="12"/>
      <c r="T279" s="14" t="s">
        <v>30</v>
      </c>
      <c r="U279" s="40"/>
      <c r="X279" s="15"/>
    </row>
    <row r="280" customFormat="false" ht="18" hidden="false" customHeight="true" outlineLevel="0" collapsed="false">
      <c r="A280" s="46" t="n">
        <v>278</v>
      </c>
      <c r="B280" s="47" t="s">
        <v>950</v>
      </c>
      <c r="C280" s="65" t="s">
        <v>951</v>
      </c>
      <c r="D280" s="49" t="s">
        <v>27</v>
      </c>
      <c r="E280" s="50" t="s">
        <v>952</v>
      </c>
      <c r="F280" s="46" t="n">
        <v>18</v>
      </c>
      <c r="G280" s="46" t="n">
        <f aca="false">F280*4</f>
        <v>72</v>
      </c>
      <c r="H280" s="51" t="n">
        <v>1242476.09</v>
      </c>
      <c r="I280" s="52" t="s">
        <v>953</v>
      </c>
      <c r="J280" s="53"/>
      <c r="K280" s="53"/>
      <c r="L280" s="53"/>
      <c r="M280" s="53"/>
      <c r="N280" s="53"/>
      <c r="O280" s="53"/>
      <c r="Q280" s="46"/>
      <c r="R280" s="54"/>
      <c r="S280" s="53"/>
      <c r="T280" s="55" t="s">
        <v>30</v>
      </c>
      <c r="U280" s="52"/>
      <c r="X280" s="56"/>
    </row>
    <row r="281" customFormat="false" ht="18" hidden="false" customHeight="true" outlineLevel="0" collapsed="false">
      <c r="A281" s="5" t="n">
        <v>279</v>
      </c>
      <c r="B281" s="6" t="s">
        <v>950</v>
      </c>
      <c r="C281" s="7" t="s">
        <v>954</v>
      </c>
      <c r="D281" s="8" t="s">
        <v>27</v>
      </c>
      <c r="E281" s="9" t="s">
        <v>955</v>
      </c>
      <c r="F281" s="5" t="n">
        <v>9</v>
      </c>
      <c r="G281" s="5" t="n">
        <f aca="false">F281*4</f>
        <v>36</v>
      </c>
      <c r="H281" s="10" t="n">
        <v>341398</v>
      </c>
      <c r="I281" s="11" t="s">
        <v>956</v>
      </c>
      <c r="J281" s="12"/>
      <c r="K281" s="12"/>
      <c r="L281" s="12"/>
      <c r="M281" s="12"/>
      <c r="N281" s="12"/>
      <c r="O281" s="12"/>
      <c r="Q281" s="5"/>
      <c r="R281" s="13"/>
      <c r="S281" s="12"/>
      <c r="T281" s="14" t="s">
        <v>30</v>
      </c>
      <c r="U281" s="40"/>
      <c r="X281" s="15"/>
    </row>
    <row r="282" customFormat="false" ht="18" hidden="false" customHeight="true" outlineLevel="0" collapsed="false">
      <c r="A282" s="16" t="n">
        <v>280</v>
      </c>
      <c r="B282" s="17" t="s">
        <v>950</v>
      </c>
      <c r="C282" s="26" t="s">
        <v>957</v>
      </c>
      <c r="D282" s="8" t="s">
        <v>27</v>
      </c>
      <c r="E282" s="20" t="s">
        <v>958</v>
      </c>
      <c r="F282" s="16" t="n">
        <v>21</v>
      </c>
      <c r="G282" s="16" t="n">
        <f aca="false">F282*4</f>
        <v>84</v>
      </c>
      <c r="H282" s="21" t="n">
        <v>760515</v>
      </c>
      <c r="I282" s="22" t="s">
        <v>959</v>
      </c>
      <c r="J282" s="12"/>
      <c r="K282" s="12"/>
      <c r="L282" s="12"/>
      <c r="M282" s="12"/>
      <c r="N282" s="12"/>
      <c r="O282" s="12"/>
      <c r="Q282" s="16"/>
      <c r="R282" s="23"/>
      <c r="S282" s="12"/>
      <c r="T282" s="14" t="s">
        <v>30</v>
      </c>
      <c r="U282" s="30"/>
      <c r="X282" s="25"/>
    </row>
    <row r="283" customFormat="false" ht="18" hidden="false" customHeight="true" outlineLevel="0" collapsed="false">
      <c r="A283" s="5" t="n">
        <v>281</v>
      </c>
      <c r="B283" s="6" t="s">
        <v>950</v>
      </c>
      <c r="C283" s="27" t="s">
        <v>960</v>
      </c>
      <c r="D283" s="8" t="s">
        <v>27</v>
      </c>
      <c r="E283" s="9" t="s">
        <v>961</v>
      </c>
      <c r="F283" s="5" t="n">
        <v>18</v>
      </c>
      <c r="G283" s="5" t="n">
        <f aca="false">F283*4</f>
        <v>72</v>
      </c>
      <c r="H283" s="10" t="n">
        <v>939327</v>
      </c>
      <c r="I283" s="11" t="s">
        <v>962</v>
      </c>
      <c r="J283" s="12"/>
      <c r="K283" s="12"/>
      <c r="L283" s="12"/>
      <c r="M283" s="12"/>
      <c r="N283" s="12"/>
      <c r="O283" s="12"/>
      <c r="Q283" s="5"/>
      <c r="R283" s="13"/>
      <c r="S283" s="12"/>
      <c r="T283" s="14" t="s">
        <v>30</v>
      </c>
      <c r="U283" s="40"/>
      <c r="X283" s="15"/>
    </row>
    <row r="284" customFormat="false" ht="18" hidden="false" customHeight="true" outlineLevel="0" collapsed="false">
      <c r="A284" s="16" t="n">
        <v>282</v>
      </c>
      <c r="B284" s="17" t="s">
        <v>950</v>
      </c>
      <c r="C284" s="26" t="s">
        <v>963</v>
      </c>
      <c r="D284" s="8" t="s">
        <v>27</v>
      </c>
      <c r="E284" s="20" t="s">
        <v>964</v>
      </c>
      <c r="F284" s="16" t="n">
        <v>18</v>
      </c>
      <c r="G284" s="16" t="n">
        <f aca="false">F284*4</f>
        <v>72</v>
      </c>
      <c r="H284" s="21" t="n">
        <v>895464.6</v>
      </c>
      <c r="I284" s="22" t="s">
        <v>965</v>
      </c>
      <c r="J284" s="12"/>
      <c r="K284" s="12"/>
      <c r="L284" s="12"/>
      <c r="M284" s="12"/>
      <c r="N284" s="12"/>
      <c r="O284" s="12"/>
      <c r="Q284" s="16"/>
      <c r="R284" s="23"/>
      <c r="S284" s="12"/>
      <c r="T284" s="14" t="s">
        <v>30</v>
      </c>
      <c r="U284" s="30"/>
      <c r="X284" s="25"/>
    </row>
    <row r="285" customFormat="false" ht="18" hidden="false" customHeight="true" outlineLevel="0" collapsed="false">
      <c r="A285" s="5" t="n">
        <v>283</v>
      </c>
      <c r="B285" s="6" t="s">
        <v>950</v>
      </c>
      <c r="C285" s="27" t="s">
        <v>966</v>
      </c>
      <c r="D285" s="8" t="s">
        <v>27</v>
      </c>
      <c r="E285" s="9" t="s">
        <v>967</v>
      </c>
      <c r="F285" s="5" t="n">
        <v>18</v>
      </c>
      <c r="G285" s="5" t="n">
        <f aca="false">F285*4</f>
        <v>72</v>
      </c>
      <c r="H285" s="10" t="n">
        <v>930788</v>
      </c>
      <c r="I285" s="11" t="s">
        <v>59</v>
      </c>
      <c r="J285" s="12"/>
      <c r="K285" s="12"/>
      <c r="L285" s="12"/>
      <c r="M285" s="12"/>
      <c r="N285" s="12"/>
      <c r="O285" s="12"/>
      <c r="Q285" s="5"/>
      <c r="R285" s="13"/>
      <c r="S285" s="12"/>
      <c r="T285" s="14" t="s">
        <v>30</v>
      </c>
      <c r="U285" s="40"/>
      <c r="X285" s="15"/>
    </row>
    <row r="286" customFormat="false" ht="18" hidden="false" customHeight="true" outlineLevel="0" collapsed="false">
      <c r="A286" s="16" t="n">
        <v>284</v>
      </c>
      <c r="B286" s="17" t="s">
        <v>950</v>
      </c>
      <c r="C286" s="26" t="s">
        <v>968</v>
      </c>
      <c r="D286" s="8" t="s">
        <v>27</v>
      </c>
      <c r="E286" s="20" t="s">
        <v>969</v>
      </c>
      <c r="F286" s="16" t="n">
        <v>81</v>
      </c>
      <c r="G286" s="16" t="n">
        <f aca="false">F286*4</f>
        <v>324</v>
      </c>
      <c r="H286" s="21" t="n">
        <v>4240782</v>
      </c>
      <c r="I286" s="22" t="s">
        <v>970</v>
      </c>
      <c r="J286" s="12"/>
      <c r="K286" s="12"/>
      <c r="L286" s="12"/>
      <c r="M286" s="12"/>
      <c r="N286" s="12"/>
      <c r="O286" s="12"/>
      <c r="Q286" s="16"/>
      <c r="R286" s="23"/>
      <c r="S286" s="12"/>
      <c r="T286" s="14" t="s">
        <v>30</v>
      </c>
      <c r="U286" s="30"/>
      <c r="X286" s="25"/>
    </row>
    <row r="287" customFormat="false" ht="18" hidden="false" customHeight="true" outlineLevel="0" collapsed="false">
      <c r="A287" s="5" t="n">
        <v>285</v>
      </c>
      <c r="B287" s="6" t="s">
        <v>950</v>
      </c>
      <c r="C287" s="27" t="s">
        <v>971</v>
      </c>
      <c r="D287" s="8" t="s">
        <v>27</v>
      </c>
      <c r="E287" s="9" t="s">
        <v>972</v>
      </c>
      <c r="F287" s="5" t="n">
        <v>18</v>
      </c>
      <c r="G287" s="5" t="n">
        <f aca="false">F287*4</f>
        <v>72</v>
      </c>
      <c r="H287" s="10" t="n">
        <v>559779</v>
      </c>
      <c r="I287" s="11" t="s">
        <v>973</v>
      </c>
      <c r="J287" s="12"/>
      <c r="K287" s="12"/>
      <c r="L287" s="12"/>
      <c r="M287" s="12"/>
      <c r="N287" s="12"/>
      <c r="O287" s="12"/>
      <c r="Q287" s="5"/>
      <c r="R287" s="13"/>
      <c r="S287" s="12"/>
      <c r="T287" s="14" t="s">
        <v>30</v>
      </c>
      <c r="U287" s="40"/>
      <c r="X287" s="15"/>
    </row>
    <row r="288" customFormat="false" ht="18" hidden="false" customHeight="true" outlineLevel="0" collapsed="false">
      <c r="A288" s="16" t="n">
        <v>286</v>
      </c>
      <c r="B288" s="17" t="s">
        <v>950</v>
      </c>
      <c r="C288" s="26" t="s">
        <v>974</v>
      </c>
      <c r="D288" s="8" t="s">
        <v>27</v>
      </c>
      <c r="E288" s="20" t="s">
        <v>975</v>
      </c>
      <c r="F288" s="16" t="n">
        <v>18</v>
      </c>
      <c r="G288" s="16" t="n">
        <f aca="false">F288*4</f>
        <v>72</v>
      </c>
      <c r="H288" s="21" t="n">
        <v>1157.2</v>
      </c>
      <c r="I288" s="22" t="s">
        <v>976</v>
      </c>
      <c r="J288" s="12"/>
      <c r="K288" s="12"/>
      <c r="L288" s="12"/>
      <c r="M288" s="12"/>
      <c r="N288" s="12"/>
      <c r="O288" s="12"/>
      <c r="Q288" s="16"/>
      <c r="R288" s="23"/>
      <c r="S288" s="12"/>
      <c r="T288" s="14" t="s">
        <v>30</v>
      </c>
      <c r="U288" s="30"/>
      <c r="X288" s="25"/>
    </row>
    <row r="289" customFormat="false" ht="18" hidden="false" customHeight="true" outlineLevel="0" collapsed="false">
      <c r="A289" s="5" t="n">
        <v>287</v>
      </c>
      <c r="B289" s="6" t="s">
        <v>950</v>
      </c>
      <c r="C289" s="27" t="s">
        <v>977</v>
      </c>
      <c r="D289" s="8" t="s">
        <v>27</v>
      </c>
      <c r="E289" s="9" t="s">
        <v>978</v>
      </c>
      <c r="F289" s="5" t="n">
        <v>18</v>
      </c>
      <c r="G289" s="5" t="n">
        <f aca="false">F289*4</f>
        <v>72</v>
      </c>
      <c r="H289" s="10" t="n">
        <v>913884.4</v>
      </c>
      <c r="I289" s="11" t="s">
        <v>979</v>
      </c>
      <c r="J289" s="12"/>
      <c r="K289" s="12"/>
      <c r="L289" s="12"/>
      <c r="M289" s="12"/>
      <c r="N289" s="12"/>
      <c r="O289" s="12"/>
      <c r="Q289" s="5"/>
      <c r="R289" s="13"/>
      <c r="S289" s="12"/>
      <c r="T289" s="14" t="s">
        <v>30</v>
      </c>
      <c r="U289" s="40"/>
      <c r="X289" s="15"/>
    </row>
    <row r="290" customFormat="false" ht="18" hidden="false" customHeight="true" outlineLevel="0" collapsed="false">
      <c r="A290" s="16" t="n">
        <v>288</v>
      </c>
      <c r="B290" s="17" t="s">
        <v>950</v>
      </c>
      <c r="C290" s="26" t="s">
        <v>980</v>
      </c>
      <c r="D290" s="8" t="s">
        <v>27</v>
      </c>
      <c r="E290" s="20" t="s">
        <v>981</v>
      </c>
      <c r="F290" s="16" t="n">
        <v>9</v>
      </c>
      <c r="G290" s="16" t="n">
        <f aca="false">F290*4</f>
        <v>36</v>
      </c>
      <c r="H290" s="21" t="n">
        <v>446586</v>
      </c>
      <c r="I290" s="22" t="s">
        <v>982</v>
      </c>
      <c r="J290" s="12"/>
      <c r="K290" s="12"/>
      <c r="L290" s="12"/>
      <c r="M290" s="12"/>
      <c r="N290" s="12"/>
      <c r="O290" s="12"/>
      <c r="Q290" s="16"/>
      <c r="R290" s="23"/>
      <c r="S290" s="12"/>
      <c r="T290" s="14" t="s">
        <v>30</v>
      </c>
      <c r="U290" s="30"/>
      <c r="X290" s="25"/>
    </row>
    <row r="291" customFormat="false" ht="18" hidden="false" customHeight="true" outlineLevel="0" collapsed="false">
      <c r="A291" s="5" t="n">
        <v>289</v>
      </c>
      <c r="B291" s="6" t="s">
        <v>950</v>
      </c>
      <c r="C291" s="27" t="s">
        <v>983</v>
      </c>
      <c r="D291" s="8" t="s">
        <v>27</v>
      </c>
      <c r="E291" s="9" t="s">
        <v>984</v>
      </c>
      <c r="F291" s="5" t="n">
        <v>9</v>
      </c>
      <c r="G291" s="5" t="n">
        <f aca="false">F291*4</f>
        <v>36</v>
      </c>
      <c r="H291" s="10" t="n">
        <v>203636</v>
      </c>
      <c r="I291" s="11" t="s">
        <v>985</v>
      </c>
      <c r="J291" s="12"/>
      <c r="K291" s="12"/>
      <c r="L291" s="12"/>
      <c r="M291" s="12"/>
      <c r="N291" s="12"/>
      <c r="O291" s="12"/>
      <c r="Q291" s="5"/>
      <c r="R291" s="13"/>
      <c r="S291" s="12"/>
      <c r="T291" s="14" t="s">
        <v>30</v>
      </c>
      <c r="U291" s="40"/>
      <c r="X291" s="15"/>
    </row>
    <row r="292" customFormat="false" ht="18" hidden="false" customHeight="true" outlineLevel="0" collapsed="false">
      <c r="A292" s="16" t="n">
        <v>290</v>
      </c>
      <c r="B292" s="17" t="s">
        <v>950</v>
      </c>
      <c r="C292" s="26" t="s">
        <v>986</v>
      </c>
      <c r="D292" s="19" t="s">
        <v>32</v>
      </c>
      <c r="E292" s="20" t="s">
        <v>987</v>
      </c>
      <c r="F292" s="16" t="n">
        <v>18</v>
      </c>
      <c r="G292" s="16" t="n">
        <f aca="false">F292*4</f>
        <v>72</v>
      </c>
      <c r="H292" s="21" t="n">
        <v>848000</v>
      </c>
      <c r="I292" s="22" t="s">
        <v>988</v>
      </c>
      <c r="J292" s="12"/>
      <c r="K292" s="12"/>
      <c r="L292" s="12"/>
      <c r="M292" s="12"/>
      <c r="N292" s="12"/>
      <c r="O292" s="12"/>
      <c r="Q292" s="16"/>
      <c r="R292" s="23"/>
      <c r="S292" s="12"/>
      <c r="T292" s="14" t="s">
        <v>30</v>
      </c>
      <c r="U292" s="30" t="s">
        <v>989</v>
      </c>
      <c r="V292" s="1" t="n">
        <v>1993</v>
      </c>
      <c r="W292" s="1" t="s">
        <v>990</v>
      </c>
      <c r="X292" s="25"/>
    </row>
    <row r="293" customFormat="false" ht="18" hidden="false" customHeight="true" outlineLevel="0" collapsed="false">
      <c r="A293" s="5" t="n">
        <v>291</v>
      </c>
      <c r="B293" s="6" t="s">
        <v>950</v>
      </c>
      <c r="C293" s="27" t="s">
        <v>991</v>
      </c>
      <c r="D293" s="8" t="s">
        <v>27</v>
      </c>
      <c r="E293" s="9" t="s">
        <v>992</v>
      </c>
      <c r="F293" s="5" t="n">
        <v>18</v>
      </c>
      <c r="G293" s="5" t="n">
        <f aca="false">F293*4</f>
        <v>72</v>
      </c>
      <c r="H293" s="10" t="n">
        <v>610249.5</v>
      </c>
      <c r="I293" s="11" t="s">
        <v>993</v>
      </c>
      <c r="J293" s="12"/>
      <c r="K293" s="12"/>
      <c r="L293" s="12"/>
      <c r="M293" s="12"/>
      <c r="N293" s="12"/>
      <c r="O293" s="12"/>
      <c r="Q293" s="5"/>
      <c r="R293" s="13"/>
      <c r="S293" s="12"/>
      <c r="T293" s="14" t="s">
        <v>30</v>
      </c>
      <c r="U293" s="40"/>
      <c r="X293" s="15"/>
    </row>
    <row r="294" customFormat="false" ht="18" hidden="false" customHeight="true" outlineLevel="0" collapsed="false">
      <c r="A294" s="16" t="n">
        <v>292</v>
      </c>
      <c r="B294" s="17" t="s">
        <v>950</v>
      </c>
      <c r="C294" s="26" t="s">
        <v>994</v>
      </c>
      <c r="D294" s="8" t="s">
        <v>27</v>
      </c>
      <c r="E294" s="20" t="s">
        <v>995</v>
      </c>
      <c r="F294" s="16" t="n">
        <v>27</v>
      </c>
      <c r="G294" s="16" t="n">
        <f aca="false">F294*4</f>
        <v>108</v>
      </c>
      <c r="H294" s="21" t="n">
        <v>1405820</v>
      </c>
      <c r="I294" s="22" t="s">
        <v>996</v>
      </c>
      <c r="J294" s="12"/>
      <c r="K294" s="12"/>
      <c r="L294" s="12"/>
      <c r="M294" s="12"/>
      <c r="N294" s="12"/>
      <c r="O294" s="12"/>
      <c r="Q294" s="16"/>
      <c r="R294" s="23"/>
      <c r="S294" s="12"/>
      <c r="T294" s="14" t="s">
        <v>30</v>
      </c>
      <c r="U294" s="30"/>
      <c r="X294" s="25"/>
    </row>
    <row r="295" customFormat="false" ht="18" hidden="false" customHeight="true" outlineLevel="0" collapsed="false">
      <c r="A295" s="5" t="n">
        <v>293</v>
      </c>
      <c r="B295" s="6" t="s">
        <v>950</v>
      </c>
      <c r="C295" s="27" t="s">
        <v>997</v>
      </c>
      <c r="D295" s="8" t="s">
        <v>27</v>
      </c>
      <c r="E295" s="9" t="s">
        <v>998</v>
      </c>
      <c r="F295" s="5" t="n">
        <v>9</v>
      </c>
      <c r="G295" s="5" t="n">
        <f aca="false">F295*4</f>
        <v>36</v>
      </c>
      <c r="H295" s="10" t="n">
        <v>299986</v>
      </c>
      <c r="I295" s="11" t="s">
        <v>999</v>
      </c>
      <c r="J295" s="12"/>
      <c r="K295" s="12"/>
      <c r="L295" s="12"/>
      <c r="M295" s="12"/>
      <c r="N295" s="12"/>
      <c r="O295" s="12"/>
      <c r="Q295" s="5"/>
      <c r="R295" s="13"/>
      <c r="S295" s="12"/>
      <c r="T295" s="14" t="s">
        <v>30</v>
      </c>
      <c r="U295" s="40"/>
      <c r="X295" s="15"/>
    </row>
    <row r="296" customFormat="false" ht="18" hidden="false" customHeight="true" outlineLevel="0" collapsed="false">
      <c r="A296" s="16" t="n">
        <v>294</v>
      </c>
      <c r="B296" s="17" t="s">
        <v>950</v>
      </c>
      <c r="C296" s="26" t="s">
        <v>1000</v>
      </c>
      <c r="D296" s="8" t="s">
        <v>27</v>
      </c>
      <c r="E296" s="20" t="s">
        <v>1001</v>
      </c>
      <c r="F296" s="16" t="n">
        <v>10</v>
      </c>
      <c r="G296" s="16" t="n">
        <f aca="false">F296*4</f>
        <v>40</v>
      </c>
      <c r="H296" s="21" t="n">
        <v>147181</v>
      </c>
      <c r="I296" s="22" t="s">
        <v>1002</v>
      </c>
      <c r="J296" s="12"/>
      <c r="K296" s="12"/>
      <c r="L296" s="12"/>
      <c r="M296" s="12"/>
      <c r="N296" s="12"/>
      <c r="O296" s="12"/>
      <c r="Q296" s="16"/>
      <c r="R296" s="23"/>
      <c r="S296" s="12"/>
      <c r="T296" s="14" t="s">
        <v>30</v>
      </c>
      <c r="U296" s="30"/>
      <c r="X296" s="25"/>
    </row>
    <row r="297" customFormat="false" ht="18" hidden="false" customHeight="true" outlineLevel="0" collapsed="false">
      <c r="A297" s="5" t="n">
        <v>295</v>
      </c>
      <c r="B297" s="6" t="s">
        <v>950</v>
      </c>
      <c r="C297" s="27" t="s">
        <v>1003</v>
      </c>
      <c r="D297" s="8" t="s">
        <v>27</v>
      </c>
      <c r="E297" s="9" t="s">
        <v>952</v>
      </c>
      <c r="F297" s="5" t="n">
        <v>18</v>
      </c>
      <c r="G297" s="5" t="n">
        <f aca="false">F297*4</f>
        <v>72</v>
      </c>
      <c r="H297" s="10" t="n">
        <v>917246.11</v>
      </c>
      <c r="I297" s="11" t="s">
        <v>1004</v>
      </c>
      <c r="J297" s="12"/>
      <c r="K297" s="12"/>
      <c r="L297" s="12"/>
      <c r="M297" s="12"/>
      <c r="N297" s="12"/>
      <c r="O297" s="12"/>
      <c r="Q297" s="5"/>
      <c r="R297" s="13"/>
      <c r="S297" s="12"/>
      <c r="T297" s="14" t="s">
        <v>30</v>
      </c>
      <c r="U297" s="40"/>
      <c r="X297" s="15"/>
    </row>
    <row r="298" customFormat="false" ht="18" hidden="false" customHeight="true" outlineLevel="0" collapsed="false">
      <c r="A298" s="16" t="n">
        <v>296</v>
      </c>
      <c r="B298" s="17" t="s">
        <v>950</v>
      </c>
      <c r="C298" s="26" t="s">
        <v>1005</v>
      </c>
      <c r="D298" s="8" t="s">
        <v>27</v>
      </c>
      <c r="E298" s="20" t="s">
        <v>1006</v>
      </c>
      <c r="F298" s="16" t="n">
        <v>18</v>
      </c>
      <c r="G298" s="16" t="n">
        <f aca="false">F298*4</f>
        <v>72</v>
      </c>
      <c r="H298" s="21" t="n">
        <v>797168</v>
      </c>
      <c r="I298" s="22" t="s">
        <v>1007</v>
      </c>
      <c r="J298" s="12"/>
      <c r="K298" s="12"/>
      <c r="L298" s="12"/>
      <c r="M298" s="12"/>
      <c r="N298" s="12"/>
      <c r="O298" s="12"/>
      <c r="Q298" s="16"/>
      <c r="R298" s="23"/>
      <c r="S298" s="12"/>
      <c r="T298" s="14" t="s">
        <v>30</v>
      </c>
      <c r="U298" s="30"/>
      <c r="X298" s="25"/>
    </row>
    <row r="299" customFormat="false" ht="18" hidden="false" customHeight="true" outlineLevel="0" collapsed="false">
      <c r="A299" s="5" t="n">
        <v>297</v>
      </c>
      <c r="B299" s="6" t="s">
        <v>950</v>
      </c>
      <c r="C299" s="27" t="s">
        <v>1008</v>
      </c>
      <c r="D299" s="8" t="s">
        <v>27</v>
      </c>
      <c r="E299" s="9" t="s">
        <v>1009</v>
      </c>
      <c r="F299" s="5" t="n">
        <v>18</v>
      </c>
      <c r="G299" s="5" t="n">
        <f aca="false">F299*4</f>
        <v>72</v>
      </c>
      <c r="H299" s="10" t="n">
        <v>11700330.9</v>
      </c>
      <c r="I299" s="11" t="s">
        <v>1010</v>
      </c>
      <c r="J299" s="12"/>
      <c r="K299" s="12"/>
      <c r="L299" s="12"/>
      <c r="M299" s="12"/>
      <c r="N299" s="12"/>
      <c r="O299" s="12"/>
      <c r="Q299" s="5"/>
      <c r="R299" s="13"/>
      <c r="S299" s="12"/>
      <c r="T299" s="14" t="s">
        <v>30</v>
      </c>
      <c r="U299" s="40"/>
      <c r="X299" s="15"/>
    </row>
    <row r="300" customFormat="false" ht="18" hidden="false" customHeight="true" outlineLevel="0" collapsed="false">
      <c r="A300" s="16" t="n">
        <v>298</v>
      </c>
      <c r="B300" s="17" t="s">
        <v>950</v>
      </c>
      <c r="C300" s="26" t="s">
        <v>1011</v>
      </c>
      <c r="D300" s="19" t="s">
        <v>32</v>
      </c>
      <c r="E300" s="20" t="s">
        <v>1012</v>
      </c>
      <c r="F300" s="16" t="n">
        <v>27</v>
      </c>
      <c r="G300" s="16" t="n">
        <f aca="false">F300*4</f>
        <v>108</v>
      </c>
      <c r="H300" s="21" t="n">
        <v>1221618</v>
      </c>
      <c r="I300" s="22" t="s">
        <v>1013</v>
      </c>
      <c r="J300" s="12"/>
      <c r="K300" s="12"/>
      <c r="L300" s="12"/>
      <c r="M300" s="12"/>
      <c r="N300" s="12"/>
      <c r="O300" s="12"/>
      <c r="Q300" s="16"/>
      <c r="R300" s="23"/>
      <c r="S300" s="12"/>
      <c r="T300" s="14" t="s">
        <v>30</v>
      </c>
      <c r="U300" s="30"/>
      <c r="X300" s="25"/>
    </row>
    <row r="301" customFormat="false" ht="18" hidden="false" customHeight="true" outlineLevel="0" collapsed="false">
      <c r="A301" s="5" t="n">
        <v>299</v>
      </c>
      <c r="B301" s="6" t="s">
        <v>950</v>
      </c>
      <c r="C301" s="27" t="s">
        <v>1014</v>
      </c>
      <c r="D301" s="8" t="s">
        <v>27</v>
      </c>
      <c r="E301" s="9" t="s">
        <v>1015</v>
      </c>
      <c r="F301" s="5" t="n">
        <v>9</v>
      </c>
      <c r="G301" s="5" t="n">
        <f aca="false">F301*4</f>
        <v>36</v>
      </c>
      <c r="H301" s="10" t="n">
        <v>156851</v>
      </c>
      <c r="I301" s="11" t="s">
        <v>1016</v>
      </c>
      <c r="J301" s="12"/>
      <c r="K301" s="12"/>
      <c r="L301" s="12"/>
      <c r="M301" s="12"/>
      <c r="N301" s="12"/>
      <c r="O301" s="12"/>
      <c r="Q301" s="5"/>
      <c r="R301" s="13"/>
      <c r="S301" s="12"/>
      <c r="T301" s="14" t="s">
        <v>30</v>
      </c>
      <c r="U301" s="40"/>
      <c r="X301" s="15"/>
    </row>
    <row r="302" customFormat="false" ht="18" hidden="false" customHeight="true" outlineLevel="0" collapsed="false">
      <c r="A302" s="16" t="n">
        <v>300</v>
      </c>
      <c r="B302" s="17" t="s">
        <v>950</v>
      </c>
      <c r="C302" s="26" t="s">
        <v>1017</v>
      </c>
      <c r="D302" s="8" t="s">
        <v>27</v>
      </c>
      <c r="E302" s="20" t="s">
        <v>1018</v>
      </c>
      <c r="F302" s="16" t="n">
        <v>9</v>
      </c>
      <c r="G302" s="16" t="n">
        <f aca="false">F302*4</f>
        <v>36</v>
      </c>
      <c r="H302" s="21" t="n">
        <v>125496</v>
      </c>
      <c r="I302" s="22" t="s">
        <v>1019</v>
      </c>
      <c r="J302" s="12"/>
      <c r="K302" s="12"/>
      <c r="L302" s="12"/>
      <c r="M302" s="12"/>
      <c r="N302" s="12"/>
      <c r="O302" s="12"/>
      <c r="Q302" s="16"/>
      <c r="R302" s="23"/>
      <c r="S302" s="12"/>
      <c r="T302" s="14" t="s">
        <v>30</v>
      </c>
      <c r="U302" s="30"/>
      <c r="X302" s="25"/>
    </row>
    <row r="303" customFormat="false" ht="18" hidden="false" customHeight="true" outlineLevel="0" collapsed="false">
      <c r="A303" s="5" t="n">
        <v>301</v>
      </c>
      <c r="B303" s="6" t="s">
        <v>950</v>
      </c>
      <c r="C303" s="27" t="s">
        <v>1020</v>
      </c>
      <c r="D303" s="8" t="s">
        <v>27</v>
      </c>
      <c r="E303" s="9" t="s">
        <v>1021</v>
      </c>
      <c r="F303" s="5" t="n">
        <v>18</v>
      </c>
      <c r="G303" s="5" t="n">
        <f aca="false">F303*4</f>
        <v>72</v>
      </c>
      <c r="H303" s="10" t="n">
        <v>854121</v>
      </c>
      <c r="I303" s="11" t="s">
        <v>1022</v>
      </c>
      <c r="J303" s="12"/>
      <c r="K303" s="12"/>
      <c r="L303" s="12"/>
      <c r="M303" s="12"/>
      <c r="N303" s="12"/>
      <c r="O303" s="12"/>
      <c r="Q303" s="5"/>
      <c r="R303" s="13"/>
      <c r="S303" s="12"/>
      <c r="T303" s="14" t="s">
        <v>30</v>
      </c>
      <c r="U303" s="40"/>
      <c r="X303" s="15"/>
    </row>
    <row r="304" customFormat="false" ht="18" hidden="false" customHeight="true" outlineLevel="0" collapsed="false">
      <c r="A304" s="46" t="n">
        <v>302</v>
      </c>
      <c r="B304" s="47" t="s">
        <v>1023</v>
      </c>
      <c r="C304" s="65" t="s">
        <v>1024</v>
      </c>
      <c r="D304" s="49" t="s">
        <v>27</v>
      </c>
      <c r="E304" s="50" t="s">
        <v>1025</v>
      </c>
      <c r="F304" s="46" t="n">
        <v>27</v>
      </c>
      <c r="G304" s="46" t="n">
        <f aca="false">F304*4</f>
        <v>108</v>
      </c>
      <c r="H304" s="51" t="n">
        <v>1450502</v>
      </c>
      <c r="I304" s="52" t="s">
        <v>1026</v>
      </c>
      <c r="J304" s="53"/>
      <c r="K304" s="53"/>
      <c r="L304" s="53"/>
      <c r="M304" s="53"/>
      <c r="N304" s="53"/>
      <c r="O304" s="53"/>
      <c r="Q304" s="46"/>
      <c r="R304" s="54"/>
      <c r="S304" s="53"/>
      <c r="T304" s="55" t="s">
        <v>30</v>
      </c>
      <c r="U304" s="52"/>
      <c r="X304" s="56"/>
    </row>
    <row r="305" customFormat="false" ht="18" hidden="false" customHeight="true" outlineLevel="0" collapsed="false">
      <c r="A305" s="5" t="n">
        <v>303</v>
      </c>
      <c r="B305" s="6" t="s">
        <v>1023</v>
      </c>
      <c r="C305" s="27" t="s">
        <v>1027</v>
      </c>
      <c r="D305" s="8" t="s">
        <v>27</v>
      </c>
      <c r="E305" s="9" t="s">
        <v>1028</v>
      </c>
      <c r="F305" s="5" t="n">
        <v>18</v>
      </c>
      <c r="G305" s="5" t="n">
        <f aca="false">F305*4</f>
        <v>72</v>
      </c>
      <c r="H305" s="10" t="n">
        <v>955301</v>
      </c>
      <c r="I305" s="11" t="s">
        <v>1029</v>
      </c>
      <c r="J305" s="12"/>
      <c r="K305" s="12"/>
      <c r="L305" s="12"/>
      <c r="M305" s="12"/>
      <c r="N305" s="12"/>
      <c r="O305" s="12"/>
      <c r="Q305" s="5"/>
      <c r="R305" s="13"/>
      <c r="S305" s="12"/>
      <c r="T305" s="14" t="s">
        <v>30</v>
      </c>
      <c r="U305" s="40" t="s">
        <v>1030</v>
      </c>
      <c r="V305" s="1" t="n">
        <v>2008</v>
      </c>
      <c r="W305" s="1" t="s">
        <v>1031</v>
      </c>
      <c r="X305" s="29"/>
    </row>
    <row r="306" customFormat="false" ht="18" hidden="false" customHeight="true" outlineLevel="0" collapsed="false">
      <c r="A306" s="16" t="n">
        <v>304</v>
      </c>
      <c r="B306" s="17" t="s">
        <v>1023</v>
      </c>
      <c r="C306" s="26" t="s">
        <v>1032</v>
      </c>
      <c r="D306" s="8" t="s">
        <v>27</v>
      </c>
      <c r="E306" s="20" t="s">
        <v>1033</v>
      </c>
      <c r="F306" s="16" t="n">
        <v>36</v>
      </c>
      <c r="G306" s="16" t="n">
        <f aca="false">F306*4</f>
        <v>144</v>
      </c>
      <c r="H306" s="21" t="n">
        <v>1627955</v>
      </c>
      <c r="I306" s="22" t="s">
        <v>1034</v>
      </c>
      <c r="J306" s="12"/>
      <c r="K306" s="12"/>
      <c r="L306" s="12"/>
      <c r="M306" s="12"/>
      <c r="N306" s="12"/>
      <c r="O306" s="12"/>
      <c r="Q306" s="16"/>
      <c r="R306" s="23"/>
      <c r="S306" s="12"/>
      <c r="T306" s="14" t="s">
        <v>30</v>
      </c>
      <c r="U306" s="30"/>
      <c r="X306" s="25"/>
    </row>
    <row r="307" customFormat="false" ht="18" hidden="false" customHeight="true" outlineLevel="0" collapsed="false">
      <c r="A307" s="5" t="n">
        <v>305</v>
      </c>
      <c r="B307" s="6" t="s">
        <v>1023</v>
      </c>
      <c r="C307" s="27" t="s">
        <v>1035</v>
      </c>
      <c r="D307" s="19" t="s">
        <v>32</v>
      </c>
      <c r="E307" s="9" t="s">
        <v>1036</v>
      </c>
      <c r="F307" s="5" t="n">
        <v>27</v>
      </c>
      <c r="G307" s="5" t="n">
        <f aca="false">F307*4</f>
        <v>108</v>
      </c>
      <c r="H307" s="10" t="n">
        <v>1165945</v>
      </c>
      <c r="I307" s="11" t="s">
        <v>1037</v>
      </c>
      <c r="J307" s="12"/>
      <c r="K307" s="12"/>
      <c r="L307" s="12"/>
      <c r="M307" s="12"/>
      <c r="N307" s="12"/>
      <c r="O307" s="12"/>
      <c r="Q307" s="5"/>
      <c r="R307" s="13"/>
      <c r="S307" s="12"/>
      <c r="T307" s="14" t="s">
        <v>30</v>
      </c>
      <c r="U307" s="40"/>
      <c r="X307" s="15"/>
    </row>
    <row r="308" customFormat="false" ht="18" hidden="false" customHeight="true" outlineLevel="0" collapsed="false">
      <c r="A308" s="16" t="n">
        <v>306</v>
      </c>
      <c r="B308" s="17" t="s">
        <v>1023</v>
      </c>
      <c r="C308" s="26" t="s">
        <v>1038</v>
      </c>
      <c r="D308" s="8" t="s">
        <v>27</v>
      </c>
      <c r="E308" s="20" t="s">
        <v>1039</v>
      </c>
      <c r="F308" s="16" t="n">
        <v>9</v>
      </c>
      <c r="G308" s="16" t="n">
        <f aca="false">F308*4</f>
        <v>36</v>
      </c>
      <c r="H308" s="21" t="n">
        <v>247058</v>
      </c>
      <c r="I308" s="22" t="s">
        <v>1040</v>
      </c>
      <c r="J308" s="12"/>
      <c r="K308" s="12"/>
      <c r="L308" s="12"/>
      <c r="M308" s="12"/>
      <c r="N308" s="12"/>
      <c r="O308" s="12"/>
      <c r="Q308" s="16"/>
      <c r="R308" s="23"/>
      <c r="S308" s="12"/>
      <c r="T308" s="14" t="s">
        <v>30</v>
      </c>
      <c r="U308" s="30"/>
      <c r="X308" s="25"/>
    </row>
    <row r="309" customFormat="false" ht="18" hidden="false" customHeight="true" outlineLevel="0" collapsed="false">
      <c r="A309" s="5" t="n">
        <v>307</v>
      </c>
      <c r="B309" s="6" t="s">
        <v>1023</v>
      </c>
      <c r="C309" s="27" t="s">
        <v>1041</v>
      </c>
      <c r="D309" s="8" t="s">
        <v>27</v>
      </c>
      <c r="E309" s="9" t="s">
        <v>1042</v>
      </c>
      <c r="F309" s="5" t="n">
        <v>9</v>
      </c>
      <c r="G309" s="5" t="n">
        <f aca="false">F309*4</f>
        <v>36</v>
      </c>
      <c r="H309" s="10" t="n">
        <v>242878</v>
      </c>
      <c r="I309" s="11" t="s">
        <v>1043</v>
      </c>
      <c r="J309" s="12"/>
      <c r="K309" s="12"/>
      <c r="L309" s="12"/>
      <c r="M309" s="12"/>
      <c r="N309" s="12"/>
      <c r="O309" s="12"/>
      <c r="Q309" s="5"/>
      <c r="R309" s="13"/>
      <c r="S309" s="12"/>
      <c r="T309" s="14" t="s">
        <v>30</v>
      </c>
      <c r="U309" s="40"/>
      <c r="X309" s="15"/>
    </row>
    <row r="310" customFormat="false" ht="18" hidden="false" customHeight="true" outlineLevel="0" collapsed="false">
      <c r="A310" s="16" t="n">
        <v>308</v>
      </c>
      <c r="B310" s="17" t="s">
        <v>1023</v>
      </c>
      <c r="C310" s="26" t="s">
        <v>1044</v>
      </c>
      <c r="D310" s="8" t="s">
        <v>27</v>
      </c>
      <c r="E310" s="20" t="s">
        <v>1045</v>
      </c>
      <c r="F310" s="16" t="n">
        <v>27</v>
      </c>
      <c r="G310" s="16" t="n">
        <f aca="false">F310*4</f>
        <v>108</v>
      </c>
      <c r="H310" s="21" t="n">
        <v>1420762</v>
      </c>
      <c r="I310" s="22" t="s">
        <v>1046</v>
      </c>
      <c r="J310" s="12"/>
      <c r="K310" s="12"/>
      <c r="L310" s="12"/>
      <c r="M310" s="12"/>
      <c r="N310" s="12"/>
      <c r="O310" s="12"/>
      <c r="Q310" s="16"/>
      <c r="R310" s="23"/>
      <c r="S310" s="12"/>
      <c r="T310" s="14" t="s">
        <v>30</v>
      </c>
      <c r="U310" s="30"/>
      <c r="X310" s="25"/>
    </row>
    <row r="311" customFormat="false" ht="18" hidden="false" customHeight="true" outlineLevel="0" collapsed="false">
      <c r="A311" s="5" t="n">
        <v>309</v>
      </c>
      <c r="B311" s="6" t="s">
        <v>1023</v>
      </c>
      <c r="C311" s="27" t="s">
        <v>1047</v>
      </c>
      <c r="D311" s="8" t="s">
        <v>27</v>
      </c>
      <c r="E311" s="9" t="s">
        <v>1048</v>
      </c>
      <c r="F311" s="5" t="n">
        <v>18</v>
      </c>
      <c r="G311" s="5" t="n">
        <f aca="false">F311*4</f>
        <v>72</v>
      </c>
      <c r="H311" s="10" t="n">
        <v>785210</v>
      </c>
      <c r="I311" s="11" t="s">
        <v>1049</v>
      </c>
      <c r="J311" s="12"/>
      <c r="K311" s="12"/>
      <c r="L311" s="12"/>
      <c r="M311" s="12"/>
      <c r="N311" s="12"/>
      <c r="O311" s="12"/>
      <c r="Q311" s="5"/>
      <c r="R311" s="13"/>
      <c r="S311" s="12"/>
      <c r="T311" s="14" t="s">
        <v>30</v>
      </c>
      <c r="U311" s="40"/>
      <c r="X311" s="15"/>
    </row>
    <row r="312" customFormat="false" ht="18" hidden="false" customHeight="true" outlineLevel="0" collapsed="false">
      <c r="A312" s="16" t="n">
        <v>310</v>
      </c>
      <c r="B312" s="17" t="s">
        <v>1023</v>
      </c>
      <c r="C312" s="26" t="s">
        <v>1050</v>
      </c>
      <c r="D312" s="8" t="s">
        <v>27</v>
      </c>
      <c r="E312" s="20" t="s">
        <v>1051</v>
      </c>
      <c r="F312" s="16" t="n">
        <v>18</v>
      </c>
      <c r="G312" s="16" t="n">
        <f aca="false">F312*4</f>
        <v>72</v>
      </c>
      <c r="H312" s="21" t="n">
        <v>1103049</v>
      </c>
      <c r="I312" s="22" t="s">
        <v>1052</v>
      </c>
      <c r="J312" s="12"/>
      <c r="K312" s="12"/>
      <c r="L312" s="12"/>
      <c r="M312" s="12"/>
      <c r="N312" s="12"/>
      <c r="O312" s="12"/>
      <c r="Q312" s="16"/>
      <c r="R312" s="23"/>
      <c r="S312" s="12"/>
      <c r="T312" s="14" t="s">
        <v>30</v>
      </c>
      <c r="U312" s="30"/>
      <c r="X312" s="25"/>
    </row>
    <row r="313" customFormat="false" ht="18" hidden="false" customHeight="true" outlineLevel="0" collapsed="false">
      <c r="A313" s="5" t="n">
        <v>311</v>
      </c>
      <c r="B313" s="6" t="s">
        <v>1023</v>
      </c>
      <c r="C313" s="27" t="s">
        <v>1053</v>
      </c>
      <c r="D313" s="8" t="s">
        <v>27</v>
      </c>
      <c r="E313" s="9" t="s">
        <v>1054</v>
      </c>
      <c r="F313" s="5" t="n">
        <v>27</v>
      </c>
      <c r="G313" s="5" t="n">
        <f aca="false">F313*4</f>
        <v>108</v>
      </c>
      <c r="H313" s="10" t="n">
        <v>1575772</v>
      </c>
      <c r="I313" s="11" t="s">
        <v>1055</v>
      </c>
      <c r="J313" s="12"/>
      <c r="K313" s="12"/>
      <c r="L313" s="12"/>
      <c r="M313" s="12"/>
      <c r="N313" s="12"/>
      <c r="O313" s="12"/>
      <c r="Q313" s="5"/>
      <c r="R313" s="13"/>
      <c r="S313" s="12"/>
      <c r="T313" s="14" t="s">
        <v>30</v>
      </c>
      <c r="U313" s="40"/>
      <c r="X313" s="15"/>
    </row>
    <row r="314" customFormat="false" ht="18" hidden="false" customHeight="true" outlineLevel="0" collapsed="false">
      <c r="A314" s="16" t="n">
        <v>312</v>
      </c>
      <c r="B314" s="17" t="s">
        <v>1023</v>
      </c>
      <c r="C314" s="26" t="s">
        <v>1056</v>
      </c>
      <c r="D314" s="8" t="s">
        <v>27</v>
      </c>
      <c r="E314" s="20" t="s">
        <v>1057</v>
      </c>
      <c r="F314" s="16" t="n">
        <v>54</v>
      </c>
      <c r="G314" s="16" t="n">
        <f aca="false">F314*4</f>
        <v>216</v>
      </c>
      <c r="H314" s="21" t="n">
        <v>1969760</v>
      </c>
      <c r="I314" s="22" t="s">
        <v>1058</v>
      </c>
      <c r="J314" s="12"/>
      <c r="K314" s="12"/>
      <c r="L314" s="12"/>
      <c r="M314" s="12"/>
      <c r="N314" s="12"/>
      <c r="O314" s="12"/>
      <c r="Q314" s="16"/>
      <c r="R314" s="23"/>
      <c r="S314" s="12"/>
      <c r="T314" s="14" t="s">
        <v>30</v>
      </c>
      <c r="U314" s="30"/>
      <c r="X314" s="25"/>
    </row>
    <row r="315" customFormat="false" ht="18" hidden="false" customHeight="true" outlineLevel="0" collapsed="false">
      <c r="A315" s="5" t="n">
        <v>313</v>
      </c>
      <c r="B315" s="6" t="s">
        <v>1023</v>
      </c>
      <c r="C315" s="27" t="s">
        <v>1059</v>
      </c>
      <c r="D315" s="8" t="s">
        <v>27</v>
      </c>
      <c r="E315" s="9" t="s">
        <v>1060</v>
      </c>
      <c r="F315" s="5" t="n">
        <v>9</v>
      </c>
      <c r="G315" s="5" t="n">
        <f aca="false">F315*4</f>
        <v>36</v>
      </c>
      <c r="H315" s="10" t="n">
        <v>297540</v>
      </c>
      <c r="I315" s="11" t="s">
        <v>1061</v>
      </c>
      <c r="J315" s="12"/>
      <c r="K315" s="12"/>
      <c r="L315" s="12"/>
      <c r="M315" s="12"/>
      <c r="N315" s="12"/>
      <c r="O315" s="12"/>
      <c r="Q315" s="5"/>
      <c r="R315" s="13"/>
      <c r="S315" s="12"/>
      <c r="T315" s="14" t="s">
        <v>30</v>
      </c>
      <c r="U315" s="40"/>
      <c r="X315" s="15"/>
    </row>
    <row r="316" customFormat="false" ht="18" hidden="false" customHeight="true" outlineLevel="0" collapsed="false">
      <c r="A316" s="16" t="n">
        <v>314</v>
      </c>
      <c r="B316" s="17" t="s">
        <v>1023</v>
      </c>
      <c r="C316" s="26" t="s">
        <v>1062</v>
      </c>
      <c r="D316" s="8" t="s">
        <v>27</v>
      </c>
      <c r="E316" s="20" t="s">
        <v>1063</v>
      </c>
      <c r="F316" s="16" t="n">
        <v>18</v>
      </c>
      <c r="G316" s="16" t="n">
        <f aca="false">F316*4</f>
        <v>72</v>
      </c>
      <c r="H316" s="21" t="n">
        <v>911572</v>
      </c>
      <c r="I316" s="22" t="s">
        <v>1064</v>
      </c>
      <c r="J316" s="12"/>
      <c r="K316" s="12"/>
      <c r="L316" s="12"/>
      <c r="M316" s="12"/>
      <c r="N316" s="12"/>
      <c r="O316" s="12"/>
      <c r="Q316" s="16"/>
      <c r="R316" s="23"/>
      <c r="S316" s="12"/>
      <c r="T316" s="14" t="s">
        <v>30</v>
      </c>
      <c r="U316" s="30"/>
      <c r="X316" s="25"/>
    </row>
    <row r="317" customFormat="false" ht="18" hidden="false" customHeight="true" outlineLevel="0" collapsed="false">
      <c r="A317" s="5" t="n">
        <v>315</v>
      </c>
      <c r="B317" s="6" t="s">
        <v>1023</v>
      </c>
      <c r="C317" s="27" t="s">
        <v>1065</v>
      </c>
      <c r="D317" s="8" t="s">
        <v>27</v>
      </c>
      <c r="E317" s="9" t="s">
        <v>1066</v>
      </c>
      <c r="F317" s="5" t="n">
        <v>9</v>
      </c>
      <c r="G317" s="5" t="n">
        <f aca="false">F317*4</f>
        <v>36</v>
      </c>
      <c r="H317" s="10" t="n">
        <v>295701</v>
      </c>
      <c r="I317" s="11" t="s">
        <v>1067</v>
      </c>
      <c r="J317" s="12"/>
      <c r="K317" s="12"/>
      <c r="L317" s="12"/>
      <c r="M317" s="12"/>
      <c r="N317" s="12"/>
      <c r="O317" s="12"/>
      <c r="Q317" s="5"/>
      <c r="R317" s="13"/>
      <c r="S317" s="12"/>
      <c r="T317" s="14" t="s">
        <v>30</v>
      </c>
      <c r="U317" s="40"/>
      <c r="X317" s="15"/>
    </row>
    <row r="318" customFormat="false" ht="18" hidden="false" customHeight="true" outlineLevel="0" collapsed="false">
      <c r="A318" s="16" t="n">
        <v>316</v>
      </c>
      <c r="B318" s="17" t="s">
        <v>1023</v>
      </c>
      <c r="C318" s="26" t="s">
        <v>1068</v>
      </c>
      <c r="D318" s="8" t="s">
        <v>27</v>
      </c>
      <c r="E318" s="20" t="s">
        <v>1069</v>
      </c>
      <c r="F318" s="16" t="n">
        <v>45</v>
      </c>
      <c r="G318" s="16" t="n">
        <f aca="false">F318*4</f>
        <v>180</v>
      </c>
      <c r="H318" s="21" t="n">
        <v>1804843</v>
      </c>
      <c r="I318" s="22" t="s">
        <v>1070</v>
      </c>
      <c r="J318" s="12"/>
      <c r="K318" s="12"/>
      <c r="L318" s="12"/>
      <c r="M318" s="12"/>
      <c r="N318" s="12"/>
      <c r="O318" s="12"/>
      <c r="Q318" s="16"/>
      <c r="R318" s="23"/>
      <c r="S318" s="12"/>
      <c r="T318" s="14" t="s">
        <v>30</v>
      </c>
      <c r="U318" s="30"/>
      <c r="X318" s="25"/>
    </row>
    <row r="319" customFormat="false" ht="18" hidden="false" customHeight="true" outlineLevel="0" collapsed="false">
      <c r="A319" s="5" t="n">
        <v>317</v>
      </c>
      <c r="B319" s="6" t="s">
        <v>1023</v>
      </c>
      <c r="C319" s="27" t="s">
        <v>1071</v>
      </c>
      <c r="D319" s="8" t="s">
        <v>27</v>
      </c>
      <c r="E319" s="9" t="s">
        <v>1072</v>
      </c>
      <c r="F319" s="5" t="n">
        <v>27</v>
      </c>
      <c r="G319" s="5" t="n">
        <f aca="false">F319*4</f>
        <v>108</v>
      </c>
      <c r="H319" s="10" t="n">
        <v>1640629</v>
      </c>
      <c r="I319" s="11" t="s">
        <v>618</v>
      </c>
      <c r="J319" s="12"/>
      <c r="K319" s="12"/>
      <c r="L319" s="12"/>
      <c r="M319" s="12"/>
      <c r="N319" s="12"/>
      <c r="O319" s="12"/>
      <c r="Q319" s="5"/>
      <c r="R319" s="13"/>
      <c r="S319" s="12"/>
      <c r="T319" s="14" t="s">
        <v>30</v>
      </c>
      <c r="U319" s="40"/>
      <c r="X319" s="15"/>
    </row>
    <row r="320" customFormat="false" ht="18" hidden="false" customHeight="true" outlineLevel="0" collapsed="false">
      <c r="A320" s="16" t="n">
        <v>318</v>
      </c>
      <c r="B320" s="17" t="s">
        <v>1023</v>
      </c>
      <c r="C320" s="26" t="s">
        <v>1073</v>
      </c>
      <c r="D320" s="8" t="s">
        <v>27</v>
      </c>
      <c r="E320" s="20" t="s">
        <v>1074</v>
      </c>
      <c r="F320" s="16" t="n">
        <v>18</v>
      </c>
      <c r="G320" s="16" t="n">
        <f aca="false">F320*4</f>
        <v>72</v>
      </c>
      <c r="H320" s="21" t="n">
        <v>774903</v>
      </c>
      <c r="I320" s="22" t="s">
        <v>1075</v>
      </c>
      <c r="J320" s="12"/>
      <c r="K320" s="12"/>
      <c r="L320" s="12"/>
      <c r="M320" s="12"/>
      <c r="N320" s="12"/>
      <c r="O320" s="12"/>
      <c r="Q320" s="16"/>
      <c r="R320" s="23"/>
      <c r="S320" s="12"/>
      <c r="T320" s="14" t="s">
        <v>30</v>
      </c>
      <c r="U320" s="30"/>
      <c r="X320" s="25"/>
    </row>
    <row r="321" customFormat="false" ht="18" hidden="false" customHeight="true" outlineLevel="0" collapsed="false">
      <c r="A321" s="5" t="n">
        <v>319</v>
      </c>
      <c r="B321" s="6" t="s">
        <v>1023</v>
      </c>
      <c r="C321" s="27" t="s">
        <v>1076</v>
      </c>
      <c r="D321" s="8" t="s">
        <v>27</v>
      </c>
      <c r="E321" s="9" t="s">
        <v>1077</v>
      </c>
      <c r="F321" s="5" t="n">
        <v>9</v>
      </c>
      <c r="G321" s="5" t="n">
        <f aca="false">F321*4</f>
        <v>36</v>
      </c>
      <c r="H321" s="10" t="n">
        <v>342120</v>
      </c>
      <c r="I321" s="11" t="s">
        <v>1078</v>
      </c>
      <c r="J321" s="12"/>
      <c r="K321" s="12"/>
      <c r="L321" s="12"/>
      <c r="M321" s="12"/>
      <c r="N321" s="12"/>
      <c r="O321" s="12"/>
      <c r="Q321" s="5"/>
      <c r="R321" s="13"/>
      <c r="S321" s="12"/>
      <c r="T321" s="14" t="s">
        <v>30</v>
      </c>
      <c r="U321" s="40" t="s">
        <v>334</v>
      </c>
      <c r="V321" s="1" t="n">
        <v>2007</v>
      </c>
      <c r="W321" s="1" t="s">
        <v>1079</v>
      </c>
      <c r="X321" s="29"/>
    </row>
    <row r="322" customFormat="false" ht="18" hidden="false" customHeight="true" outlineLevel="0" collapsed="false">
      <c r="A322" s="16" t="n">
        <v>320</v>
      </c>
      <c r="B322" s="17" t="s">
        <v>1023</v>
      </c>
      <c r="C322" s="26" t="s">
        <v>1080</v>
      </c>
      <c r="D322" s="8" t="s">
        <v>27</v>
      </c>
      <c r="E322" s="20" t="s">
        <v>1081</v>
      </c>
      <c r="F322" s="16" t="n">
        <v>18</v>
      </c>
      <c r="G322" s="16" t="n">
        <f aca="false">F322*4</f>
        <v>72</v>
      </c>
      <c r="H322" s="21" t="n">
        <v>842238</v>
      </c>
      <c r="I322" s="22" t="s">
        <v>1082</v>
      </c>
      <c r="J322" s="12"/>
      <c r="K322" s="12"/>
      <c r="L322" s="12"/>
      <c r="M322" s="12"/>
      <c r="N322" s="12"/>
      <c r="O322" s="12"/>
      <c r="Q322" s="16"/>
      <c r="R322" s="23"/>
      <c r="S322" s="12"/>
      <c r="T322" s="14" t="s">
        <v>30</v>
      </c>
      <c r="U322" s="30"/>
      <c r="X322" s="25"/>
    </row>
    <row r="323" customFormat="false" ht="18" hidden="false" customHeight="true" outlineLevel="0" collapsed="false">
      <c r="A323" s="5" t="n">
        <v>321</v>
      </c>
      <c r="B323" s="6" t="s">
        <v>1023</v>
      </c>
      <c r="C323" s="27" t="s">
        <v>1083</v>
      </c>
      <c r="D323" s="19" t="s">
        <v>32</v>
      </c>
      <c r="E323" s="9" t="s">
        <v>1084</v>
      </c>
      <c r="F323" s="5" t="n">
        <v>27</v>
      </c>
      <c r="G323" s="5" t="n">
        <f aca="false">F323*4</f>
        <v>108</v>
      </c>
      <c r="H323" s="10" t="n">
        <v>1791833</v>
      </c>
      <c r="I323" s="11" t="s">
        <v>1085</v>
      </c>
      <c r="J323" s="12"/>
      <c r="K323" s="12"/>
      <c r="L323" s="12"/>
      <c r="M323" s="12"/>
      <c r="N323" s="12"/>
      <c r="O323" s="12"/>
      <c r="Q323" s="5"/>
      <c r="R323" s="13"/>
      <c r="S323" s="12"/>
      <c r="T323" s="14" t="s">
        <v>30</v>
      </c>
      <c r="U323" s="40"/>
      <c r="X323" s="15"/>
    </row>
    <row r="324" customFormat="false" ht="18" hidden="false" customHeight="true" outlineLevel="0" collapsed="false">
      <c r="A324" s="16" t="n">
        <v>322</v>
      </c>
      <c r="B324" s="17" t="s">
        <v>1023</v>
      </c>
      <c r="C324" s="26" t="s">
        <v>1086</v>
      </c>
      <c r="D324" s="8" t="s">
        <v>27</v>
      </c>
      <c r="E324" s="20" t="s">
        <v>1087</v>
      </c>
      <c r="F324" s="16" t="n">
        <v>27</v>
      </c>
      <c r="G324" s="16" t="n">
        <f aca="false">F324*4</f>
        <v>108</v>
      </c>
      <c r="H324" s="21" t="n">
        <v>1462477</v>
      </c>
      <c r="I324" s="22" t="s">
        <v>1088</v>
      </c>
      <c r="J324" s="12"/>
      <c r="K324" s="12"/>
      <c r="L324" s="12"/>
      <c r="M324" s="12"/>
      <c r="N324" s="12"/>
      <c r="O324" s="12"/>
      <c r="Q324" s="16"/>
      <c r="R324" s="23"/>
      <c r="S324" s="12"/>
      <c r="T324" s="14" t="s">
        <v>30</v>
      </c>
      <c r="U324" s="30"/>
      <c r="X324" s="25"/>
    </row>
    <row r="325" customFormat="false" ht="18" hidden="false" customHeight="true" outlineLevel="0" collapsed="false">
      <c r="A325" s="5" t="n">
        <v>323</v>
      </c>
      <c r="B325" s="6" t="s">
        <v>1023</v>
      </c>
      <c r="C325" s="27" t="s">
        <v>1089</v>
      </c>
      <c r="D325" s="8" t="s">
        <v>27</v>
      </c>
      <c r="E325" s="9" t="s">
        <v>1090</v>
      </c>
      <c r="F325" s="5" t="n">
        <v>9</v>
      </c>
      <c r="G325" s="5" t="n">
        <f aca="false">F325*4</f>
        <v>36</v>
      </c>
      <c r="H325" s="10" t="n">
        <v>421962</v>
      </c>
      <c r="I325" s="11" t="s">
        <v>1091</v>
      </c>
      <c r="J325" s="12"/>
      <c r="K325" s="12"/>
      <c r="L325" s="12"/>
      <c r="M325" s="12"/>
      <c r="N325" s="12"/>
      <c r="O325" s="12"/>
      <c r="Q325" s="5"/>
      <c r="R325" s="13"/>
      <c r="S325" s="12"/>
      <c r="T325" s="14" t="s">
        <v>30</v>
      </c>
      <c r="U325" s="40"/>
      <c r="X325" s="15"/>
    </row>
    <row r="326" customFormat="false" ht="18" hidden="false" customHeight="true" outlineLevel="0" collapsed="false">
      <c r="A326" s="16" t="n">
        <v>324</v>
      </c>
      <c r="B326" s="17" t="s">
        <v>1023</v>
      </c>
      <c r="C326" s="26" t="s">
        <v>1092</v>
      </c>
      <c r="D326" s="8" t="s">
        <v>27</v>
      </c>
      <c r="E326" s="20" t="s">
        <v>1093</v>
      </c>
      <c r="F326" s="16" t="n">
        <v>18</v>
      </c>
      <c r="G326" s="16" t="n">
        <f aca="false">F326*4</f>
        <v>72</v>
      </c>
      <c r="H326" s="21" t="n">
        <v>1035509</v>
      </c>
      <c r="I326" s="22" t="s">
        <v>1094</v>
      </c>
      <c r="J326" s="12"/>
      <c r="K326" s="12"/>
      <c r="L326" s="12"/>
      <c r="M326" s="12"/>
      <c r="N326" s="12"/>
      <c r="O326" s="12"/>
      <c r="Q326" s="16"/>
      <c r="R326" s="23"/>
      <c r="S326" s="12"/>
      <c r="T326" s="14" t="s">
        <v>30</v>
      </c>
      <c r="U326" s="30"/>
      <c r="X326" s="25"/>
    </row>
    <row r="327" customFormat="false" ht="18" hidden="false" customHeight="true" outlineLevel="0" collapsed="false">
      <c r="A327" s="5" t="n">
        <v>325</v>
      </c>
      <c r="B327" s="6" t="s">
        <v>1023</v>
      </c>
      <c r="C327" s="27" t="s">
        <v>1095</v>
      </c>
      <c r="D327" s="8" t="s">
        <v>27</v>
      </c>
      <c r="E327" s="9" t="s">
        <v>1096</v>
      </c>
      <c r="F327" s="5" t="n">
        <v>9</v>
      </c>
      <c r="G327" s="5" t="n">
        <f aca="false">F327*4</f>
        <v>36</v>
      </c>
      <c r="H327" s="10" t="n">
        <v>538288</v>
      </c>
      <c r="I327" s="11" t="s">
        <v>1097</v>
      </c>
      <c r="J327" s="12"/>
      <c r="K327" s="12"/>
      <c r="L327" s="12"/>
      <c r="M327" s="12"/>
      <c r="N327" s="12"/>
      <c r="O327" s="12"/>
      <c r="Q327" s="5"/>
      <c r="R327" s="13"/>
      <c r="S327" s="12"/>
      <c r="T327" s="14" t="s">
        <v>30</v>
      </c>
      <c r="U327" s="40"/>
      <c r="X327" s="15"/>
    </row>
    <row r="328" customFormat="false" ht="18" hidden="false" customHeight="true" outlineLevel="0" collapsed="false">
      <c r="A328" s="16" t="n">
        <v>326</v>
      </c>
      <c r="B328" s="17" t="s">
        <v>1023</v>
      </c>
      <c r="C328" s="26" t="s">
        <v>1098</v>
      </c>
      <c r="D328" s="8" t="s">
        <v>27</v>
      </c>
      <c r="E328" s="20" t="s">
        <v>1099</v>
      </c>
      <c r="F328" s="16" t="n">
        <v>9</v>
      </c>
      <c r="G328" s="16" t="n">
        <f aca="false">F328*4</f>
        <v>36</v>
      </c>
      <c r="H328" s="21" t="n">
        <v>242563</v>
      </c>
      <c r="I328" s="22" t="s">
        <v>1100</v>
      </c>
      <c r="J328" s="12"/>
      <c r="K328" s="12"/>
      <c r="L328" s="12"/>
      <c r="M328" s="12"/>
      <c r="N328" s="12"/>
      <c r="O328" s="12"/>
      <c r="Q328" s="16"/>
      <c r="R328" s="23"/>
      <c r="S328" s="12"/>
      <c r="T328" s="14" t="s">
        <v>30</v>
      </c>
      <c r="U328" s="30"/>
      <c r="X328" s="25"/>
    </row>
    <row r="329" customFormat="false" ht="18" hidden="false" customHeight="true" outlineLevel="0" collapsed="false">
      <c r="A329" s="5" t="n">
        <v>327</v>
      </c>
      <c r="B329" s="6" t="s">
        <v>1023</v>
      </c>
      <c r="C329" s="27" t="s">
        <v>1101</v>
      </c>
      <c r="D329" s="8" t="s">
        <v>27</v>
      </c>
      <c r="E329" s="9" t="s">
        <v>1102</v>
      </c>
      <c r="F329" s="5" t="n">
        <v>18</v>
      </c>
      <c r="G329" s="5" t="n">
        <f aca="false">F329*4</f>
        <v>72</v>
      </c>
      <c r="H329" s="10" t="n">
        <v>951318</v>
      </c>
      <c r="I329" s="11" t="s">
        <v>1103</v>
      </c>
      <c r="J329" s="12"/>
      <c r="K329" s="12"/>
      <c r="L329" s="12"/>
      <c r="M329" s="12"/>
      <c r="N329" s="12"/>
      <c r="O329" s="12"/>
      <c r="Q329" s="5"/>
      <c r="R329" s="13"/>
      <c r="S329" s="12"/>
      <c r="T329" s="14" t="s">
        <v>30</v>
      </c>
      <c r="U329" s="40"/>
      <c r="X329" s="15"/>
    </row>
    <row r="330" customFormat="false" ht="18" hidden="false" customHeight="true" outlineLevel="0" collapsed="false">
      <c r="A330" s="16" t="n">
        <v>328</v>
      </c>
      <c r="B330" s="17" t="s">
        <v>1023</v>
      </c>
      <c r="C330" s="26" t="s">
        <v>1104</v>
      </c>
      <c r="D330" s="8" t="s">
        <v>27</v>
      </c>
      <c r="E330" s="20" t="s">
        <v>1105</v>
      </c>
      <c r="F330" s="16" t="n">
        <v>9</v>
      </c>
      <c r="G330" s="16" t="n">
        <f aca="false">F330*4</f>
        <v>36</v>
      </c>
      <c r="H330" s="21" t="n">
        <v>429088</v>
      </c>
      <c r="I330" s="22" t="s">
        <v>1106</v>
      </c>
      <c r="J330" s="12"/>
      <c r="K330" s="12"/>
      <c r="L330" s="12"/>
      <c r="M330" s="12"/>
      <c r="N330" s="12"/>
      <c r="O330" s="12"/>
      <c r="Q330" s="16"/>
      <c r="R330" s="23"/>
      <c r="S330" s="12"/>
      <c r="T330" s="14" t="s">
        <v>30</v>
      </c>
      <c r="U330" s="30"/>
      <c r="X330" s="25"/>
    </row>
    <row r="331" customFormat="false" ht="18" hidden="false" customHeight="true" outlineLevel="0" collapsed="false">
      <c r="A331" s="5" t="n">
        <v>329</v>
      </c>
      <c r="B331" s="6" t="s">
        <v>1023</v>
      </c>
      <c r="C331" s="27" t="s">
        <v>1107</v>
      </c>
      <c r="D331" s="8" t="s">
        <v>27</v>
      </c>
      <c r="E331" s="9" t="s">
        <v>1108</v>
      </c>
      <c r="F331" s="5" t="n">
        <v>9</v>
      </c>
      <c r="G331" s="5" t="n">
        <f aca="false">F331*4</f>
        <v>36</v>
      </c>
      <c r="H331" s="10" t="n">
        <v>396682</v>
      </c>
      <c r="I331" s="11" t="s">
        <v>1109</v>
      </c>
      <c r="J331" s="12"/>
      <c r="K331" s="12"/>
      <c r="L331" s="12"/>
      <c r="M331" s="12"/>
      <c r="N331" s="12"/>
      <c r="O331" s="12"/>
      <c r="Q331" s="5"/>
      <c r="R331" s="13"/>
      <c r="S331" s="12"/>
      <c r="T331" s="14" t="s">
        <v>30</v>
      </c>
      <c r="U331" s="40"/>
      <c r="X331" s="15"/>
    </row>
    <row r="332" customFormat="false" ht="18" hidden="false" customHeight="true" outlineLevel="0" collapsed="false">
      <c r="A332" s="16" t="n">
        <v>330</v>
      </c>
      <c r="B332" s="17" t="s">
        <v>1023</v>
      </c>
      <c r="C332" s="26" t="s">
        <v>1110</v>
      </c>
      <c r="D332" s="8" t="s">
        <v>27</v>
      </c>
      <c r="E332" s="20" t="s">
        <v>1111</v>
      </c>
      <c r="F332" s="16" t="n">
        <v>9</v>
      </c>
      <c r="G332" s="16" t="n">
        <f aca="false">F332*4</f>
        <v>36</v>
      </c>
      <c r="H332" s="21" t="n">
        <v>263053</v>
      </c>
      <c r="I332" s="22" t="s">
        <v>1112</v>
      </c>
      <c r="J332" s="12"/>
      <c r="K332" s="12"/>
      <c r="L332" s="12"/>
      <c r="M332" s="12"/>
      <c r="N332" s="12"/>
      <c r="O332" s="12"/>
      <c r="Q332" s="16"/>
      <c r="R332" s="23"/>
      <c r="S332" s="12"/>
      <c r="T332" s="14" t="s">
        <v>30</v>
      </c>
      <c r="U332" s="30"/>
      <c r="X332" s="25"/>
    </row>
    <row r="333" customFormat="false" ht="18" hidden="false" customHeight="true" outlineLevel="0" collapsed="false">
      <c r="A333" s="5" t="n">
        <v>331</v>
      </c>
      <c r="B333" s="6" t="s">
        <v>1023</v>
      </c>
      <c r="C333" s="27" t="s">
        <v>1113</v>
      </c>
      <c r="D333" s="8" t="s">
        <v>27</v>
      </c>
      <c r="E333" s="9" t="s">
        <v>1114</v>
      </c>
      <c r="F333" s="5" t="n">
        <v>18</v>
      </c>
      <c r="G333" s="5" t="n">
        <f aca="false">F333*4</f>
        <v>72</v>
      </c>
      <c r="H333" s="10" t="n">
        <v>839686</v>
      </c>
      <c r="I333" s="11" t="s">
        <v>1115</v>
      </c>
      <c r="J333" s="12"/>
      <c r="K333" s="12"/>
      <c r="L333" s="12"/>
      <c r="M333" s="12"/>
      <c r="N333" s="12"/>
      <c r="O333" s="12"/>
      <c r="Q333" s="5"/>
      <c r="R333" s="13"/>
      <c r="S333" s="12"/>
      <c r="T333" s="14" t="s">
        <v>30</v>
      </c>
      <c r="U333" s="40"/>
      <c r="X333" s="15"/>
    </row>
    <row r="334" customFormat="false" ht="18" hidden="false" customHeight="true" outlineLevel="0" collapsed="false">
      <c r="A334" s="16" t="n">
        <v>332</v>
      </c>
      <c r="B334" s="17" t="s">
        <v>1023</v>
      </c>
      <c r="C334" s="26" t="s">
        <v>1116</v>
      </c>
      <c r="D334" s="8" t="s">
        <v>27</v>
      </c>
      <c r="E334" s="20" t="s">
        <v>1096</v>
      </c>
      <c r="F334" s="16" t="n">
        <v>18</v>
      </c>
      <c r="G334" s="16" t="n">
        <f aca="false">F334*4</f>
        <v>72</v>
      </c>
      <c r="H334" s="21" t="n">
        <v>834771</v>
      </c>
      <c r="I334" s="22" t="s">
        <v>1117</v>
      </c>
      <c r="J334" s="12" t="n">
        <v>4.3</v>
      </c>
      <c r="K334" s="12" t="n">
        <v>4.4</v>
      </c>
      <c r="L334" s="12" t="n">
        <v>4.3</v>
      </c>
      <c r="M334" s="12" t="n">
        <v>4.4</v>
      </c>
      <c r="N334" s="12" t="n">
        <v>4.3</v>
      </c>
      <c r="O334" s="12" t="n">
        <f aca="false">ROUND(AVERAGE(J334:N334),2)</f>
        <v>4.34</v>
      </c>
      <c r="P334" s="1" t="n">
        <v>97</v>
      </c>
      <c r="Q334" s="16"/>
      <c r="R334" s="23"/>
      <c r="S334" s="12"/>
      <c r="T334" s="14" t="s">
        <v>490</v>
      </c>
      <c r="U334" s="30" t="s">
        <v>1118</v>
      </c>
      <c r="V334" s="1" t="n">
        <v>2008</v>
      </c>
      <c r="W334" s="1" t="s">
        <v>1119</v>
      </c>
      <c r="X334" s="72" t="s">
        <v>1120</v>
      </c>
    </row>
    <row r="335" customFormat="false" ht="18" hidden="false" customHeight="true" outlineLevel="0" collapsed="false">
      <c r="A335" s="5" t="n">
        <v>333</v>
      </c>
      <c r="B335" s="6" t="s">
        <v>1023</v>
      </c>
      <c r="C335" s="27" t="s">
        <v>1121</v>
      </c>
      <c r="D335" s="8" t="s">
        <v>27</v>
      </c>
      <c r="E335" s="9" t="s">
        <v>1122</v>
      </c>
      <c r="F335" s="5" t="n">
        <v>27</v>
      </c>
      <c r="G335" s="5" t="n">
        <f aca="false">F335*4</f>
        <v>108</v>
      </c>
      <c r="H335" s="10" t="n">
        <v>1505472</v>
      </c>
      <c r="I335" s="11" t="s">
        <v>1123</v>
      </c>
      <c r="J335" s="12"/>
      <c r="K335" s="12"/>
      <c r="L335" s="12"/>
      <c r="M335" s="12"/>
      <c r="N335" s="12"/>
      <c r="O335" s="12"/>
      <c r="Q335" s="5"/>
      <c r="R335" s="13"/>
      <c r="S335" s="12"/>
      <c r="T335" s="14" t="s">
        <v>30</v>
      </c>
      <c r="U335" s="40"/>
      <c r="X335" s="15"/>
    </row>
    <row r="336" customFormat="false" ht="18" hidden="false" customHeight="true" outlineLevel="0" collapsed="false">
      <c r="A336" s="16" t="n">
        <v>334</v>
      </c>
      <c r="B336" s="17" t="s">
        <v>1023</v>
      </c>
      <c r="C336" s="26" t="s">
        <v>1124</v>
      </c>
      <c r="D336" s="8" t="s">
        <v>27</v>
      </c>
      <c r="E336" s="20" t="s">
        <v>1125</v>
      </c>
      <c r="F336" s="16" t="n">
        <v>27</v>
      </c>
      <c r="G336" s="16" t="n">
        <f aca="false">F336*4</f>
        <v>108</v>
      </c>
      <c r="H336" s="21" t="n">
        <v>1312986</v>
      </c>
      <c r="I336" s="22" t="s">
        <v>1126</v>
      </c>
      <c r="J336" s="12"/>
      <c r="K336" s="12"/>
      <c r="L336" s="12"/>
      <c r="M336" s="12"/>
      <c r="N336" s="12"/>
      <c r="O336" s="12"/>
      <c r="Q336" s="16"/>
      <c r="R336" s="23"/>
      <c r="S336" s="12"/>
      <c r="T336" s="14" t="s">
        <v>30</v>
      </c>
      <c r="U336" s="30"/>
      <c r="X336" s="25"/>
    </row>
    <row r="337" customFormat="false" ht="18" hidden="false" customHeight="true" outlineLevel="0" collapsed="false">
      <c r="A337" s="5" t="n">
        <v>335</v>
      </c>
      <c r="B337" s="6" t="s">
        <v>1023</v>
      </c>
      <c r="C337" s="27" t="s">
        <v>1127</v>
      </c>
      <c r="D337" s="8" t="s">
        <v>27</v>
      </c>
      <c r="E337" s="9" t="s">
        <v>1128</v>
      </c>
      <c r="F337" s="5" t="n">
        <v>27</v>
      </c>
      <c r="G337" s="5" t="n">
        <f aca="false">F337*4</f>
        <v>108</v>
      </c>
      <c r="H337" s="10" t="n">
        <v>1347715</v>
      </c>
      <c r="I337" s="11" t="s">
        <v>1129</v>
      </c>
      <c r="J337" s="12"/>
      <c r="K337" s="12"/>
      <c r="L337" s="12"/>
      <c r="M337" s="12"/>
      <c r="N337" s="12"/>
      <c r="O337" s="12"/>
      <c r="Q337" s="5"/>
      <c r="R337" s="13"/>
      <c r="S337" s="12"/>
      <c r="T337" s="14" t="s">
        <v>30</v>
      </c>
      <c r="U337" s="40"/>
      <c r="X337" s="15"/>
    </row>
    <row r="338" customFormat="false" ht="18" hidden="false" customHeight="true" outlineLevel="0" collapsed="false">
      <c r="A338" s="16" t="n">
        <v>336</v>
      </c>
      <c r="B338" s="17" t="s">
        <v>1023</v>
      </c>
      <c r="C338" s="26" t="s">
        <v>1130</v>
      </c>
      <c r="D338" s="8" t="s">
        <v>27</v>
      </c>
      <c r="E338" s="20" t="s">
        <v>1131</v>
      </c>
      <c r="F338" s="16" t="n">
        <v>9</v>
      </c>
      <c r="G338" s="16" t="n">
        <f aca="false">F338*4</f>
        <v>36</v>
      </c>
      <c r="H338" s="21" t="n">
        <v>234544</v>
      </c>
      <c r="I338" s="22" t="s">
        <v>1132</v>
      </c>
      <c r="J338" s="12"/>
      <c r="K338" s="12"/>
      <c r="L338" s="12"/>
      <c r="M338" s="12"/>
      <c r="N338" s="12"/>
      <c r="O338" s="12"/>
      <c r="Q338" s="16"/>
      <c r="R338" s="23"/>
      <c r="S338" s="12"/>
      <c r="T338" s="14" t="s">
        <v>30</v>
      </c>
      <c r="U338" s="30"/>
      <c r="X338" s="25"/>
    </row>
    <row r="339" customFormat="false" ht="18" hidden="false" customHeight="true" outlineLevel="0" collapsed="false">
      <c r="A339" s="5" t="n">
        <v>337</v>
      </c>
      <c r="B339" s="6" t="s">
        <v>1023</v>
      </c>
      <c r="C339" s="27" t="s">
        <v>1133</v>
      </c>
      <c r="D339" s="8" t="s">
        <v>27</v>
      </c>
      <c r="E339" s="9" t="s">
        <v>1134</v>
      </c>
      <c r="F339" s="5" t="n">
        <v>18</v>
      </c>
      <c r="G339" s="5" t="n">
        <f aca="false">F339*4</f>
        <v>72</v>
      </c>
      <c r="H339" s="10" t="n">
        <v>1381092</v>
      </c>
      <c r="I339" s="11" t="s">
        <v>1135</v>
      </c>
      <c r="J339" s="12"/>
      <c r="K339" s="12"/>
      <c r="L339" s="12"/>
      <c r="M339" s="12"/>
      <c r="N339" s="12"/>
      <c r="O339" s="12"/>
      <c r="Q339" s="5"/>
      <c r="R339" s="13"/>
      <c r="S339" s="12"/>
      <c r="T339" s="14" t="s">
        <v>30</v>
      </c>
      <c r="U339" s="40"/>
      <c r="X339" s="15"/>
    </row>
    <row r="340" customFormat="false" ht="18" hidden="false" customHeight="true" outlineLevel="0" collapsed="false">
      <c r="A340" s="16" t="n">
        <v>338</v>
      </c>
      <c r="B340" s="17" t="s">
        <v>1023</v>
      </c>
      <c r="C340" s="26" t="s">
        <v>1136</v>
      </c>
      <c r="D340" s="19" t="s">
        <v>32</v>
      </c>
      <c r="E340" s="20" t="s">
        <v>1137</v>
      </c>
      <c r="F340" s="16" t="n">
        <v>27</v>
      </c>
      <c r="G340" s="16" t="n">
        <f aca="false">F340*4</f>
        <v>108</v>
      </c>
      <c r="H340" s="21" t="n">
        <v>1545440</v>
      </c>
      <c r="I340" s="22" t="s">
        <v>1138</v>
      </c>
      <c r="J340" s="12"/>
      <c r="K340" s="12"/>
      <c r="L340" s="12"/>
      <c r="M340" s="12"/>
      <c r="N340" s="12"/>
      <c r="O340" s="12"/>
      <c r="Q340" s="16"/>
      <c r="R340" s="23"/>
      <c r="S340" s="12"/>
      <c r="T340" s="14" t="s">
        <v>30</v>
      </c>
      <c r="U340" s="30"/>
      <c r="X340" s="25"/>
    </row>
    <row r="341" customFormat="false" ht="18" hidden="false" customHeight="true" outlineLevel="0" collapsed="false">
      <c r="A341" s="5" t="n">
        <v>339</v>
      </c>
      <c r="B341" s="6" t="s">
        <v>1023</v>
      </c>
      <c r="C341" s="27" t="s">
        <v>1139</v>
      </c>
      <c r="D341" s="19" t="s">
        <v>32</v>
      </c>
      <c r="E341" s="9" t="s">
        <v>1140</v>
      </c>
      <c r="F341" s="5" t="n">
        <v>18</v>
      </c>
      <c r="G341" s="5" t="n">
        <f aca="false">F341*4</f>
        <v>72</v>
      </c>
      <c r="H341" s="10" t="n">
        <v>1067821</v>
      </c>
      <c r="I341" s="11" t="s">
        <v>1141</v>
      </c>
      <c r="J341" s="12"/>
      <c r="K341" s="12"/>
      <c r="L341" s="12"/>
      <c r="M341" s="12"/>
      <c r="N341" s="12"/>
      <c r="O341" s="12"/>
      <c r="Q341" s="5"/>
      <c r="R341" s="13"/>
      <c r="S341" s="12"/>
      <c r="T341" s="14" t="s">
        <v>30</v>
      </c>
      <c r="U341" s="40"/>
      <c r="X341" s="15"/>
    </row>
    <row r="342" customFormat="false" ht="18" hidden="false" customHeight="true" outlineLevel="0" collapsed="false">
      <c r="A342" s="46" t="n">
        <v>340</v>
      </c>
      <c r="B342" s="47" t="s">
        <v>1142</v>
      </c>
      <c r="C342" s="48" t="s">
        <v>1143</v>
      </c>
      <c r="D342" s="49" t="s">
        <v>27</v>
      </c>
      <c r="E342" s="50" t="s">
        <v>1144</v>
      </c>
      <c r="F342" s="46" t="n">
        <v>9</v>
      </c>
      <c r="G342" s="46" t="n">
        <f aca="false">F342*4</f>
        <v>36</v>
      </c>
      <c r="H342" s="51" t="n">
        <v>201055</v>
      </c>
      <c r="I342" s="52" t="s">
        <v>1145</v>
      </c>
      <c r="J342" s="53"/>
      <c r="K342" s="53"/>
      <c r="L342" s="53"/>
      <c r="M342" s="53"/>
      <c r="N342" s="53"/>
      <c r="O342" s="53"/>
      <c r="Q342" s="46"/>
      <c r="R342" s="54"/>
      <c r="S342" s="53"/>
      <c r="T342" s="55" t="s">
        <v>30</v>
      </c>
      <c r="U342" s="52"/>
      <c r="X342" s="56"/>
    </row>
    <row r="343" customFormat="false" ht="18" hidden="false" customHeight="true" outlineLevel="0" collapsed="false">
      <c r="A343" s="5" t="n">
        <v>341</v>
      </c>
      <c r="B343" s="6" t="s">
        <v>1142</v>
      </c>
      <c r="C343" s="27" t="s">
        <v>1146</v>
      </c>
      <c r="D343" s="8" t="s">
        <v>27</v>
      </c>
      <c r="E343" s="9" t="s">
        <v>1147</v>
      </c>
      <c r="F343" s="5" t="n">
        <v>27</v>
      </c>
      <c r="G343" s="5" t="n">
        <f aca="false">F343*4</f>
        <v>108</v>
      </c>
      <c r="H343" s="10" t="n">
        <v>1567463</v>
      </c>
      <c r="I343" s="40" t="s">
        <v>1148</v>
      </c>
      <c r="J343" s="12"/>
      <c r="K343" s="12"/>
      <c r="L343" s="12"/>
      <c r="M343" s="12"/>
      <c r="N343" s="12"/>
      <c r="O343" s="12"/>
      <c r="Q343" s="5"/>
      <c r="R343" s="13"/>
      <c r="S343" s="12"/>
      <c r="T343" s="14" t="s">
        <v>30</v>
      </c>
      <c r="U343" s="40"/>
      <c r="X343" s="15"/>
    </row>
    <row r="344" customFormat="false" ht="18" hidden="false" customHeight="true" outlineLevel="0" collapsed="false">
      <c r="A344" s="16" t="n">
        <v>342</v>
      </c>
      <c r="B344" s="17" t="s">
        <v>1142</v>
      </c>
      <c r="C344" s="26" t="s">
        <v>1149</v>
      </c>
      <c r="D344" s="8" t="s">
        <v>27</v>
      </c>
      <c r="E344" s="20" t="s">
        <v>1150</v>
      </c>
      <c r="F344" s="16" t="n">
        <v>9</v>
      </c>
      <c r="G344" s="16" t="n">
        <f aca="false">F344*4</f>
        <v>36</v>
      </c>
      <c r="H344" s="21" t="n">
        <v>326823</v>
      </c>
      <c r="I344" s="22" t="s">
        <v>1151</v>
      </c>
      <c r="J344" s="12"/>
      <c r="K344" s="12"/>
      <c r="L344" s="12"/>
      <c r="M344" s="12"/>
      <c r="N344" s="12"/>
      <c r="O344" s="12"/>
      <c r="Q344" s="16"/>
      <c r="R344" s="23"/>
      <c r="S344" s="12"/>
      <c r="T344" s="14" t="s">
        <v>30</v>
      </c>
      <c r="U344" s="30" t="s">
        <v>1152</v>
      </c>
      <c r="V344" s="1" t="n">
        <v>2010</v>
      </c>
      <c r="W344" s="1" t="s">
        <v>1153</v>
      </c>
      <c r="X344" s="25"/>
    </row>
    <row r="345" customFormat="false" ht="18" hidden="false" customHeight="true" outlineLevel="0" collapsed="false">
      <c r="A345" s="57" t="n">
        <v>343</v>
      </c>
      <c r="B345" s="58" t="s">
        <v>1154</v>
      </c>
      <c r="C345" s="59"/>
      <c r="D345" s="49" t="s">
        <v>27</v>
      </c>
      <c r="E345" s="60" t="s">
        <v>1155</v>
      </c>
      <c r="F345" s="57" t="n">
        <v>9</v>
      </c>
      <c r="G345" s="57" t="n">
        <f aca="false">F345*4</f>
        <v>36</v>
      </c>
      <c r="H345" s="61" t="n">
        <v>496811</v>
      </c>
      <c r="I345" s="62" t="s">
        <v>1156</v>
      </c>
      <c r="J345" s="53"/>
      <c r="K345" s="53"/>
      <c r="L345" s="53"/>
      <c r="M345" s="53"/>
      <c r="N345" s="53"/>
      <c r="O345" s="53"/>
      <c r="Q345" s="57"/>
      <c r="R345" s="63"/>
      <c r="S345" s="53"/>
      <c r="T345" s="55" t="s">
        <v>30</v>
      </c>
      <c r="U345" s="62"/>
      <c r="X345" s="64"/>
    </row>
    <row r="346" customFormat="false" ht="18" hidden="false" customHeight="true" outlineLevel="0" collapsed="false">
      <c r="A346" s="16" t="n">
        <v>344</v>
      </c>
      <c r="B346" s="17" t="s">
        <v>1154</v>
      </c>
      <c r="C346" s="26" t="s">
        <v>1157</v>
      </c>
      <c r="D346" s="8" t="s">
        <v>27</v>
      </c>
      <c r="E346" s="20" t="s">
        <v>1158</v>
      </c>
      <c r="F346" s="16" t="n">
        <v>9</v>
      </c>
      <c r="G346" s="16" t="n">
        <f aca="false">F346*4</f>
        <v>36</v>
      </c>
      <c r="H346" s="21" t="n">
        <v>175806</v>
      </c>
      <c r="I346" s="22" t="s">
        <v>1159</v>
      </c>
      <c r="J346" s="12"/>
      <c r="K346" s="12"/>
      <c r="L346" s="12"/>
      <c r="M346" s="12"/>
      <c r="N346" s="12"/>
      <c r="O346" s="12"/>
      <c r="Q346" s="16"/>
      <c r="R346" s="23"/>
      <c r="S346" s="12"/>
      <c r="T346" s="14" t="s">
        <v>30</v>
      </c>
      <c r="U346" s="30"/>
      <c r="X346" s="25"/>
    </row>
    <row r="347" customFormat="false" ht="18" hidden="false" customHeight="true" outlineLevel="0" collapsed="false">
      <c r="A347" s="5" t="n">
        <v>345</v>
      </c>
      <c r="B347" s="6" t="s">
        <v>1154</v>
      </c>
      <c r="C347" s="27" t="s">
        <v>1160</v>
      </c>
      <c r="D347" s="8" t="s">
        <v>27</v>
      </c>
      <c r="E347" s="9" t="s">
        <v>1161</v>
      </c>
      <c r="F347" s="5" t="n">
        <v>27</v>
      </c>
      <c r="G347" s="5" t="n">
        <f aca="false">F347*4</f>
        <v>108</v>
      </c>
      <c r="H347" s="10" t="n">
        <v>1461103</v>
      </c>
      <c r="I347" s="11" t="s">
        <v>1162</v>
      </c>
      <c r="J347" s="12"/>
      <c r="K347" s="12"/>
      <c r="L347" s="12"/>
      <c r="M347" s="12"/>
      <c r="N347" s="12"/>
      <c r="O347" s="12"/>
      <c r="Q347" s="5"/>
      <c r="R347" s="13"/>
      <c r="S347" s="12"/>
      <c r="T347" s="14" t="s">
        <v>30</v>
      </c>
      <c r="U347" s="40"/>
      <c r="X347" s="15"/>
    </row>
    <row r="348" customFormat="false" ht="18" hidden="false" customHeight="true" outlineLevel="0" collapsed="false">
      <c r="A348" s="16" t="n">
        <v>346</v>
      </c>
      <c r="B348" s="17" t="s">
        <v>1154</v>
      </c>
      <c r="C348" s="26" t="s">
        <v>1163</v>
      </c>
      <c r="D348" s="19" t="s">
        <v>32</v>
      </c>
      <c r="E348" s="20" t="s">
        <v>1164</v>
      </c>
      <c r="F348" s="16" t="n">
        <v>36</v>
      </c>
      <c r="G348" s="16" t="n">
        <f aca="false">F348*4</f>
        <v>144</v>
      </c>
      <c r="H348" s="21" t="n">
        <v>1876682</v>
      </c>
      <c r="I348" s="22" t="s">
        <v>1165</v>
      </c>
      <c r="J348" s="12"/>
      <c r="K348" s="12"/>
      <c r="L348" s="12"/>
      <c r="M348" s="12"/>
      <c r="N348" s="12"/>
      <c r="O348" s="12"/>
      <c r="Q348" s="16"/>
      <c r="R348" s="23"/>
      <c r="S348" s="12"/>
      <c r="T348" s="14" t="s">
        <v>30</v>
      </c>
      <c r="U348" s="30" t="s">
        <v>266</v>
      </c>
      <c r="V348" s="1" t="n">
        <v>1978</v>
      </c>
      <c r="W348" s="1" t="s">
        <v>267</v>
      </c>
      <c r="X348" s="25"/>
    </row>
    <row r="349" customFormat="false" ht="18" hidden="false" customHeight="true" outlineLevel="0" collapsed="false">
      <c r="A349" s="5" t="n">
        <v>347</v>
      </c>
      <c r="B349" s="6" t="s">
        <v>1154</v>
      </c>
      <c r="C349" s="27" t="s">
        <v>1166</v>
      </c>
      <c r="D349" s="8" t="s">
        <v>27</v>
      </c>
      <c r="E349" s="9" t="s">
        <v>1167</v>
      </c>
      <c r="F349" s="5" t="n">
        <v>18</v>
      </c>
      <c r="G349" s="5" t="n">
        <f aca="false">F349*4</f>
        <v>72</v>
      </c>
      <c r="H349" s="10" t="n">
        <v>983849</v>
      </c>
      <c r="I349" s="11" t="s">
        <v>1168</v>
      </c>
      <c r="J349" s="12"/>
      <c r="K349" s="12"/>
      <c r="L349" s="12"/>
      <c r="M349" s="12"/>
      <c r="N349" s="12"/>
      <c r="O349" s="12"/>
      <c r="Q349" s="5"/>
      <c r="R349" s="13"/>
      <c r="S349" s="12"/>
      <c r="T349" s="14" t="s">
        <v>30</v>
      </c>
      <c r="U349" s="40"/>
      <c r="X349" s="15"/>
    </row>
    <row r="350" customFormat="false" ht="18" hidden="false" customHeight="true" outlineLevel="0" collapsed="false">
      <c r="A350" s="16" t="n">
        <v>348</v>
      </c>
      <c r="B350" s="17" t="s">
        <v>1154</v>
      </c>
      <c r="C350" s="26" t="s">
        <v>1169</v>
      </c>
      <c r="D350" s="8" t="s">
        <v>27</v>
      </c>
      <c r="E350" s="20" t="s">
        <v>1170</v>
      </c>
      <c r="F350" s="16" t="n">
        <v>18</v>
      </c>
      <c r="G350" s="16" t="n">
        <f aca="false">F350*4</f>
        <v>72</v>
      </c>
      <c r="H350" s="21" t="n">
        <v>541702</v>
      </c>
      <c r="I350" s="22" t="s">
        <v>1171</v>
      </c>
      <c r="J350" s="12"/>
      <c r="K350" s="12"/>
      <c r="L350" s="12"/>
      <c r="M350" s="12"/>
      <c r="N350" s="12"/>
      <c r="O350" s="12"/>
      <c r="Q350" s="16"/>
      <c r="R350" s="23"/>
      <c r="S350" s="12"/>
      <c r="T350" s="14" t="s">
        <v>30</v>
      </c>
      <c r="U350" s="30"/>
      <c r="X350" s="25"/>
    </row>
    <row r="351" customFormat="false" ht="18" hidden="false" customHeight="true" outlineLevel="0" collapsed="false">
      <c r="A351" s="5" t="n">
        <v>349</v>
      </c>
      <c r="B351" s="6" t="s">
        <v>1154</v>
      </c>
      <c r="C351" s="27" t="s">
        <v>1172</v>
      </c>
      <c r="D351" s="19" t="s">
        <v>32</v>
      </c>
      <c r="E351" s="9" t="s">
        <v>1173</v>
      </c>
      <c r="F351" s="5" t="n">
        <v>18</v>
      </c>
      <c r="G351" s="5" t="n">
        <f aca="false">F351*4</f>
        <v>72</v>
      </c>
      <c r="H351" s="10" t="n">
        <v>977678</v>
      </c>
      <c r="I351" s="11" t="s">
        <v>1174</v>
      </c>
      <c r="J351" s="12"/>
      <c r="K351" s="12"/>
      <c r="L351" s="12"/>
      <c r="M351" s="12"/>
      <c r="N351" s="12"/>
      <c r="O351" s="12"/>
      <c r="Q351" s="5"/>
      <c r="R351" s="13"/>
      <c r="S351" s="12"/>
      <c r="T351" s="14" t="s">
        <v>30</v>
      </c>
      <c r="U351" s="40"/>
      <c r="X351" s="15"/>
    </row>
    <row r="352" customFormat="false" ht="18" hidden="false" customHeight="true" outlineLevel="0" collapsed="false">
      <c r="A352" s="16" t="n">
        <v>350</v>
      </c>
      <c r="B352" s="17" t="s">
        <v>1154</v>
      </c>
      <c r="C352" s="26" t="s">
        <v>1175</v>
      </c>
      <c r="D352" s="8" t="s">
        <v>27</v>
      </c>
      <c r="E352" s="20" t="s">
        <v>1176</v>
      </c>
      <c r="F352" s="16" t="n">
        <v>18</v>
      </c>
      <c r="G352" s="16" t="n">
        <f aca="false">F352*4</f>
        <v>72</v>
      </c>
      <c r="H352" s="21" t="n">
        <v>841556</v>
      </c>
      <c r="I352" s="22" t="s">
        <v>1177</v>
      </c>
      <c r="J352" s="12"/>
      <c r="K352" s="12"/>
      <c r="L352" s="12"/>
      <c r="M352" s="12"/>
      <c r="N352" s="12"/>
      <c r="O352" s="12"/>
      <c r="Q352" s="16"/>
      <c r="R352" s="23"/>
      <c r="S352" s="12"/>
      <c r="T352" s="14" t="s">
        <v>30</v>
      </c>
      <c r="U352" s="30"/>
      <c r="X352" s="25"/>
    </row>
    <row r="353" customFormat="false" ht="18" hidden="false" customHeight="true" outlineLevel="0" collapsed="false">
      <c r="A353" s="5" t="n">
        <v>351</v>
      </c>
      <c r="B353" s="6" t="s">
        <v>1154</v>
      </c>
      <c r="C353" s="27" t="s">
        <v>1178</v>
      </c>
      <c r="D353" s="8" t="s">
        <v>27</v>
      </c>
      <c r="E353" s="9" t="s">
        <v>1179</v>
      </c>
      <c r="F353" s="5" t="n">
        <v>27</v>
      </c>
      <c r="G353" s="5" t="n">
        <f aca="false">F353*4</f>
        <v>108</v>
      </c>
      <c r="H353" s="10" t="n">
        <v>1205829</v>
      </c>
      <c r="I353" s="11" t="s">
        <v>1180</v>
      </c>
      <c r="J353" s="12"/>
      <c r="K353" s="12"/>
      <c r="L353" s="12"/>
      <c r="M353" s="12"/>
      <c r="N353" s="12"/>
      <c r="O353" s="12"/>
      <c r="Q353" s="5"/>
      <c r="R353" s="13"/>
      <c r="S353" s="12"/>
      <c r="T353" s="14" t="s">
        <v>30</v>
      </c>
      <c r="U353" s="40"/>
      <c r="X353" s="15"/>
    </row>
    <row r="354" customFormat="false" ht="18" hidden="false" customHeight="true" outlineLevel="0" collapsed="false">
      <c r="A354" s="16" t="n">
        <v>352</v>
      </c>
      <c r="B354" s="17" t="s">
        <v>1154</v>
      </c>
      <c r="C354" s="26" t="s">
        <v>1181</v>
      </c>
      <c r="D354" s="8" t="s">
        <v>27</v>
      </c>
      <c r="E354" s="20" t="s">
        <v>1182</v>
      </c>
      <c r="F354" s="16" t="n">
        <v>18</v>
      </c>
      <c r="G354" s="16" t="n">
        <f aca="false">F354*4</f>
        <v>72</v>
      </c>
      <c r="H354" s="21" t="n">
        <v>999080</v>
      </c>
      <c r="I354" s="22" t="s">
        <v>1183</v>
      </c>
      <c r="J354" s="12"/>
      <c r="K354" s="12"/>
      <c r="L354" s="12"/>
      <c r="M354" s="12"/>
      <c r="N354" s="12"/>
      <c r="O354" s="12"/>
      <c r="Q354" s="16"/>
      <c r="R354" s="23"/>
      <c r="S354" s="12"/>
      <c r="T354" s="14" t="s">
        <v>30</v>
      </c>
      <c r="U354" s="30"/>
      <c r="X354" s="25"/>
    </row>
    <row r="355" customFormat="false" ht="18" hidden="false" customHeight="true" outlineLevel="0" collapsed="false">
      <c r="A355" s="5" t="n">
        <v>353</v>
      </c>
      <c r="B355" s="6" t="s">
        <v>1154</v>
      </c>
      <c r="C355" s="27" t="s">
        <v>1184</v>
      </c>
      <c r="D355" s="8" t="s">
        <v>27</v>
      </c>
      <c r="E355" s="9" t="s">
        <v>1185</v>
      </c>
      <c r="F355" s="5" t="n">
        <v>27</v>
      </c>
      <c r="G355" s="5" t="n">
        <f aca="false">F355*4</f>
        <v>108</v>
      </c>
      <c r="H355" s="10" t="n">
        <v>1465851</v>
      </c>
      <c r="I355" s="11" t="s">
        <v>1186</v>
      </c>
      <c r="J355" s="12"/>
      <c r="K355" s="12"/>
      <c r="L355" s="12"/>
      <c r="M355" s="12"/>
      <c r="N355" s="12"/>
      <c r="O355" s="12"/>
      <c r="Q355" s="5"/>
      <c r="R355" s="13"/>
      <c r="S355" s="12"/>
      <c r="T355" s="14" t="s">
        <v>30</v>
      </c>
      <c r="U355" s="40"/>
      <c r="X355" s="15"/>
    </row>
    <row r="356" customFormat="false" ht="18" hidden="false" customHeight="true" outlineLevel="0" collapsed="false">
      <c r="A356" s="16" t="n">
        <v>354</v>
      </c>
      <c r="B356" s="17" t="s">
        <v>1154</v>
      </c>
      <c r="C356" s="26" t="s">
        <v>1187</v>
      </c>
      <c r="D356" s="19" t="s">
        <v>32</v>
      </c>
      <c r="E356" s="20" t="s">
        <v>1188</v>
      </c>
      <c r="F356" s="16" t="n">
        <v>18</v>
      </c>
      <c r="G356" s="16" t="n">
        <f aca="false">F356*4</f>
        <v>72</v>
      </c>
      <c r="H356" s="21" t="n">
        <v>1046500</v>
      </c>
      <c r="I356" s="22" t="s">
        <v>1189</v>
      </c>
      <c r="J356" s="12"/>
      <c r="K356" s="12"/>
      <c r="L356" s="12"/>
      <c r="M356" s="12"/>
      <c r="N356" s="12"/>
      <c r="O356" s="12"/>
      <c r="Q356" s="16"/>
      <c r="R356" s="23"/>
      <c r="S356" s="12"/>
      <c r="T356" s="14" t="s">
        <v>30</v>
      </c>
      <c r="U356" s="30"/>
      <c r="X356" s="25"/>
    </row>
    <row r="357" customFormat="false" ht="18" hidden="false" customHeight="true" outlineLevel="0" collapsed="false">
      <c r="A357" s="5" t="n">
        <v>355</v>
      </c>
      <c r="B357" s="6" t="s">
        <v>1154</v>
      </c>
      <c r="C357" s="27" t="s">
        <v>1190</v>
      </c>
      <c r="D357" s="8" t="s">
        <v>27</v>
      </c>
      <c r="E357" s="9" t="s">
        <v>1191</v>
      </c>
      <c r="F357" s="5" t="n">
        <v>18</v>
      </c>
      <c r="G357" s="5" t="n">
        <f aca="false">F357*4</f>
        <v>72</v>
      </c>
      <c r="H357" s="10" t="n">
        <v>1081418</v>
      </c>
      <c r="I357" s="11" t="s">
        <v>1192</v>
      </c>
      <c r="J357" s="12"/>
      <c r="K357" s="12"/>
      <c r="L357" s="12"/>
      <c r="M357" s="12"/>
      <c r="N357" s="12"/>
      <c r="O357" s="12"/>
      <c r="Q357" s="5"/>
      <c r="R357" s="13"/>
      <c r="S357" s="12"/>
      <c r="T357" s="14" t="s">
        <v>30</v>
      </c>
      <c r="U357" s="40"/>
      <c r="X357" s="15"/>
    </row>
    <row r="358" customFormat="false" ht="18" hidden="false" customHeight="true" outlineLevel="0" collapsed="false">
      <c r="A358" s="16" t="n">
        <v>356</v>
      </c>
      <c r="B358" s="17" t="s">
        <v>1154</v>
      </c>
      <c r="C358" s="26" t="s">
        <v>1193</v>
      </c>
      <c r="D358" s="8" t="s">
        <v>27</v>
      </c>
      <c r="E358" s="20" t="s">
        <v>1194</v>
      </c>
      <c r="F358" s="16" t="n">
        <v>18</v>
      </c>
      <c r="G358" s="16" t="n">
        <f aca="false">F358*4</f>
        <v>72</v>
      </c>
      <c r="H358" s="21" t="n">
        <v>1031280</v>
      </c>
      <c r="I358" s="22" t="s">
        <v>1195</v>
      </c>
      <c r="J358" s="12"/>
      <c r="K358" s="12"/>
      <c r="L358" s="12"/>
      <c r="M358" s="12"/>
      <c r="N358" s="12"/>
      <c r="O358" s="12"/>
      <c r="Q358" s="16"/>
      <c r="R358" s="23"/>
      <c r="S358" s="12"/>
      <c r="T358" s="14" t="s">
        <v>30</v>
      </c>
      <c r="U358" s="30"/>
      <c r="X358" s="25"/>
    </row>
    <row r="359" customFormat="false" ht="18" hidden="false" customHeight="true" outlineLevel="0" collapsed="false">
      <c r="A359" s="5" t="n">
        <v>357</v>
      </c>
      <c r="B359" s="6" t="s">
        <v>1154</v>
      </c>
      <c r="C359" s="27" t="s">
        <v>1196</v>
      </c>
      <c r="D359" s="8" t="s">
        <v>27</v>
      </c>
      <c r="E359" s="9" t="s">
        <v>1197</v>
      </c>
      <c r="F359" s="5" t="n">
        <v>9</v>
      </c>
      <c r="G359" s="5" t="n">
        <f aca="false">F359*4</f>
        <v>36</v>
      </c>
      <c r="H359" s="10" t="n">
        <v>469311</v>
      </c>
      <c r="I359" s="11" t="s">
        <v>1198</v>
      </c>
      <c r="J359" s="12"/>
      <c r="K359" s="12"/>
      <c r="L359" s="12"/>
      <c r="M359" s="12"/>
      <c r="N359" s="12"/>
      <c r="O359" s="12"/>
      <c r="Q359" s="5"/>
      <c r="R359" s="13"/>
      <c r="S359" s="12"/>
      <c r="T359" s="14" t="s">
        <v>30</v>
      </c>
      <c r="U359" s="40"/>
      <c r="X359" s="15"/>
    </row>
    <row r="360" customFormat="false" ht="18" hidden="false" customHeight="true" outlineLevel="0" collapsed="false">
      <c r="A360" s="16" t="n">
        <v>358</v>
      </c>
      <c r="B360" s="17" t="s">
        <v>1154</v>
      </c>
      <c r="C360" s="26" t="s">
        <v>1199</v>
      </c>
      <c r="D360" s="19" t="s">
        <v>32</v>
      </c>
      <c r="E360" s="20" t="s">
        <v>1200</v>
      </c>
      <c r="F360" s="16" t="n">
        <v>27</v>
      </c>
      <c r="G360" s="16" t="n">
        <f aca="false">F360*4</f>
        <v>108</v>
      </c>
      <c r="H360" s="21" t="n">
        <v>1080303</v>
      </c>
      <c r="I360" s="22" t="s">
        <v>1201</v>
      </c>
      <c r="J360" s="12"/>
      <c r="K360" s="12"/>
      <c r="L360" s="12"/>
      <c r="M360" s="12"/>
      <c r="N360" s="12"/>
      <c r="O360" s="12"/>
      <c r="Q360" s="16"/>
      <c r="R360" s="23"/>
      <c r="S360" s="12"/>
      <c r="T360" s="14" t="s">
        <v>30</v>
      </c>
      <c r="U360" s="30"/>
      <c r="X360" s="25"/>
    </row>
    <row r="361" customFormat="false" ht="18" hidden="false" customHeight="true" outlineLevel="0" collapsed="false">
      <c r="A361" s="5" t="n">
        <v>359</v>
      </c>
      <c r="B361" s="6" t="s">
        <v>1154</v>
      </c>
      <c r="C361" s="27" t="s">
        <v>1202</v>
      </c>
      <c r="D361" s="19" t="s">
        <v>32</v>
      </c>
      <c r="E361" s="9" t="s">
        <v>1203</v>
      </c>
      <c r="F361" s="5" t="n">
        <v>27</v>
      </c>
      <c r="G361" s="5" t="n">
        <f aca="false">F361*4</f>
        <v>108</v>
      </c>
      <c r="H361" s="10" t="n">
        <v>1258239</v>
      </c>
      <c r="I361" s="11" t="s">
        <v>1204</v>
      </c>
      <c r="J361" s="12"/>
      <c r="K361" s="12"/>
      <c r="L361" s="12"/>
      <c r="M361" s="12"/>
      <c r="N361" s="12"/>
      <c r="O361" s="12"/>
      <c r="Q361" s="5"/>
      <c r="R361" s="13"/>
      <c r="S361" s="12"/>
      <c r="T361" s="14" t="s">
        <v>30</v>
      </c>
      <c r="U361" s="40"/>
      <c r="X361" s="15"/>
    </row>
    <row r="362" customFormat="false" ht="18" hidden="false" customHeight="true" outlineLevel="0" collapsed="false">
      <c r="A362" s="16" t="n">
        <v>360</v>
      </c>
      <c r="B362" s="17" t="s">
        <v>1154</v>
      </c>
      <c r="C362" s="26" t="s">
        <v>1205</v>
      </c>
      <c r="D362" s="8" t="s">
        <v>27</v>
      </c>
      <c r="E362" s="20" t="s">
        <v>1206</v>
      </c>
      <c r="F362" s="16" t="n">
        <v>24</v>
      </c>
      <c r="G362" s="16" t="n">
        <f aca="false">F362*4</f>
        <v>96</v>
      </c>
      <c r="H362" s="21" t="n">
        <v>1816593</v>
      </c>
      <c r="I362" s="22" t="s">
        <v>1204</v>
      </c>
      <c r="J362" s="12"/>
      <c r="K362" s="12"/>
      <c r="L362" s="12"/>
      <c r="M362" s="12"/>
      <c r="N362" s="12"/>
      <c r="O362" s="12"/>
      <c r="Q362" s="16"/>
      <c r="R362" s="23"/>
      <c r="S362" s="12"/>
      <c r="T362" s="14" t="s">
        <v>30</v>
      </c>
      <c r="U362" s="30"/>
      <c r="X362" s="25"/>
    </row>
    <row r="363" customFormat="false" ht="18" hidden="false" customHeight="true" outlineLevel="0" collapsed="false">
      <c r="A363" s="5" t="n">
        <v>361</v>
      </c>
      <c r="B363" s="6" t="s">
        <v>1154</v>
      </c>
      <c r="C363" s="27" t="s">
        <v>1207</v>
      </c>
      <c r="D363" s="8" t="s">
        <v>27</v>
      </c>
      <c r="E363" s="9" t="s">
        <v>1208</v>
      </c>
      <c r="F363" s="5" t="n">
        <v>18</v>
      </c>
      <c r="G363" s="5" t="n">
        <f aca="false">F363*4</f>
        <v>72</v>
      </c>
      <c r="H363" s="10" t="n">
        <v>1034362</v>
      </c>
      <c r="I363" s="11" t="s">
        <v>1209</v>
      </c>
      <c r="J363" s="12"/>
      <c r="K363" s="12"/>
      <c r="L363" s="12"/>
      <c r="M363" s="12"/>
      <c r="N363" s="12"/>
      <c r="O363" s="12"/>
      <c r="Q363" s="5"/>
      <c r="R363" s="13"/>
      <c r="S363" s="12"/>
      <c r="T363" s="14" t="s">
        <v>30</v>
      </c>
      <c r="U363" s="40"/>
      <c r="X363" s="15"/>
    </row>
    <row r="364" customFormat="false" ht="18" hidden="false" customHeight="true" outlineLevel="0" collapsed="false">
      <c r="A364" s="16" t="n">
        <v>362</v>
      </c>
      <c r="B364" s="17" t="s">
        <v>1154</v>
      </c>
      <c r="C364" s="26" t="s">
        <v>1210</v>
      </c>
      <c r="D364" s="19" t="s">
        <v>32</v>
      </c>
      <c r="E364" s="20" t="s">
        <v>1211</v>
      </c>
      <c r="F364" s="16" t="n">
        <v>18</v>
      </c>
      <c r="G364" s="16" t="n">
        <f aca="false">F364*4</f>
        <v>72</v>
      </c>
      <c r="H364" s="21" t="n">
        <v>786697</v>
      </c>
      <c r="I364" s="22" t="s">
        <v>1212</v>
      </c>
      <c r="J364" s="12"/>
      <c r="K364" s="12"/>
      <c r="L364" s="12"/>
      <c r="M364" s="12"/>
      <c r="N364" s="12"/>
      <c r="O364" s="12"/>
      <c r="Q364" s="16"/>
      <c r="R364" s="23"/>
      <c r="S364" s="12"/>
      <c r="T364" s="14" t="s">
        <v>30</v>
      </c>
      <c r="U364" s="30"/>
      <c r="X364" s="25"/>
    </row>
    <row r="365" customFormat="false" ht="18" hidden="false" customHeight="true" outlineLevel="0" collapsed="false">
      <c r="A365" s="5" t="n">
        <v>363</v>
      </c>
      <c r="B365" s="6" t="s">
        <v>1154</v>
      </c>
      <c r="C365" s="27" t="s">
        <v>1213</v>
      </c>
      <c r="D365" s="8" t="s">
        <v>27</v>
      </c>
      <c r="E365" s="9" t="s">
        <v>1211</v>
      </c>
      <c r="F365" s="5" t="n">
        <v>9</v>
      </c>
      <c r="G365" s="5" t="n">
        <f aca="false">F365*4</f>
        <v>36</v>
      </c>
      <c r="H365" s="10" t="n">
        <v>506975</v>
      </c>
      <c r="I365" s="11" t="s">
        <v>1212</v>
      </c>
      <c r="J365" s="12"/>
      <c r="K365" s="12"/>
      <c r="L365" s="12"/>
      <c r="M365" s="12"/>
      <c r="N365" s="12"/>
      <c r="O365" s="12"/>
      <c r="Q365" s="5"/>
      <c r="R365" s="13"/>
      <c r="S365" s="12"/>
      <c r="T365" s="14" t="s">
        <v>30</v>
      </c>
      <c r="U365" s="40"/>
      <c r="X365" s="15"/>
    </row>
    <row r="366" customFormat="false" ht="18" hidden="false" customHeight="true" outlineLevel="0" collapsed="false">
      <c r="A366" s="16" t="n">
        <v>364</v>
      </c>
      <c r="B366" s="17" t="s">
        <v>1154</v>
      </c>
      <c r="C366" s="26" t="s">
        <v>1214</v>
      </c>
      <c r="D366" s="8" t="s">
        <v>27</v>
      </c>
      <c r="E366" s="20" t="s">
        <v>1215</v>
      </c>
      <c r="F366" s="16" t="n">
        <v>9</v>
      </c>
      <c r="G366" s="16" t="n">
        <f aca="false">F366*4</f>
        <v>36</v>
      </c>
      <c r="H366" s="21" t="n">
        <v>428970</v>
      </c>
      <c r="I366" s="22" t="s">
        <v>1216</v>
      </c>
      <c r="J366" s="12"/>
      <c r="K366" s="12"/>
      <c r="L366" s="12"/>
      <c r="M366" s="12"/>
      <c r="N366" s="12"/>
      <c r="O366" s="12"/>
      <c r="Q366" s="16"/>
      <c r="R366" s="23"/>
      <c r="S366" s="12"/>
      <c r="T366" s="14" t="s">
        <v>30</v>
      </c>
      <c r="U366" s="30"/>
      <c r="X366" s="25"/>
    </row>
    <row r="367" customFormat="false" ht="18" hidden="false" customHeight="true" outlineLevel="0" collapsed="false">
      <c r="A367" s="5" t="n">
        <v>365</v>
      </c>
      <c r="B367" s="6" t="s">
        <v>1154</v>
      </c>
      <c r="C367" s="27" t="s">
        <v>1217</v>
      </c>
      <c r="D367" s="8" t="s">
        <v>27</v>
      </c>
      <c r="E367" s="9" t="s">
        <v>1218</v>
      </c>
      <c r="F367" s="5" t="n">
        <v>18</v>
      </c>
      <c r="G367" s="5" t="n">
        <f aca="false">F367*4</f>
        <v>72</v>
      </c>
      <c r="H367" s="10" t="n">
        <v>1022039</v>
      </c>
      <c r="I367" s="11" t="s">
        <v>1219</v>
      </c>
      <c r="J367" s="12"/>
      <c r="K367" s="12"/>
      <c r="L367" s="12"/>
      <c r="M367" s="12"/>
      <c r="N367" s="12"/>
      <c r="O367" s="12"/>
      <c r="Q367" s="5"/>
      <c r="R367" s="13"/>
      <c r="S367" s="12"/>
      <c r="T367" s="14" t="s">
        <v>30</v>
      </c>
      <c r="U367" s="40"/>
      <c r="X367" s="15"/>
    </row>
    <row r="368" customFormat="false" ht="18" hidden="false" customHeight="true" outlineLevel="0" collapsed="false">
      <c r="A368" s="16" t="n">
        <v>366</v>
      </c>
      <c r="B368" s="17" t="s">
        <v>1154</v>
      </c>
      <c r="C368" s="26" t="s">
        <v>1220</v>
      </c>
      <c r="D368" s="8" t="s">
        <v>27</v>
      </c>
      <c r="E368" s="20" t="s">
        <v>1221</v>
      </c>
      <c r="F368" s="16" t="n">
        <v>18</v>
      </c>
      <c r="G368" s="16" t="n">
        <f aca="false">F368*4</f>
        <v>72</v>
      </c>
      <c r="H368" s="21" t="n">
        <v>769499</v>
      </c>
      <c r="I368" s="22" t="s">
        <v>1222</v>
      </c>
      <c r="J368" s="12"/>
      <c r="K368" s="12"/>
      <c r="L368" s="12"/>
      <c r="M368" s="12"/>
      <c r="N368" s="12"/>
      <c r="O368" s="12"/>
      <c r="Q368" s="16"/>
      <c r="R368" s="23"/>
      <c r="S368" s="12"/>
      <c r="T368" s="14" t="s">
        <v>30</v>
      </c>
      <c r="U368" s="30"/>
      <c r="X368" s="25"/>
    </row>
    <row r="369" customFormat="false" ht="18" hidden="false" customHeight="true" outlineLevel="0" collapsed="false">
      <c r="A369" s="5" t="n">
        <v>367</v>
      </c>
      <c r="B369" s="6" t="s">
        <v>1154</v>
      </c>
      <c r="C369" s="27" t="s">
        <v>1223</v>
      </c>
      <c r="D369" s="8" t="s">
        <v>27</v>
      </c>
      <c r="E369" s="9" t="s">
        <v>1224</v>
      </c>
      <c r="F369" s="5" t="n">
        <v>18</v>
      </c>
      <c r="G369" s="5" t="n">
        <f aca="false">F369*4</f>
        <v>72</v>
      </c>
      <c r="H369" s="10" t="n">
        <v>1038679</v>
      </c>
      <c r="I369" s="11" t="s">
        <v>1204</v>
      </c>
      <c r="J369" s="43" t="n">
        <v>3.8</v>
      </c>
      <c r="K369" s="43" t="n">
        <v>4</v>
      </c>
      <c r="L369" s="43" t="n">
        <v>3.9</v>
      </c>
      <c r="M369" s="32" t="n">
        <v>4.2</v>
      </c>
      <c r="N369" s="43" t="n">
        <v>4</v>
      </c>
      <c r="O369" s="44" t="n">
        <f aca="false">ROUND(AVERAGE(J369:N369),2)</f>
        <v>3.98</v>
      </c>
      <c r="Q369" s="5" t="n">
        <v>123</v>
      </c>
      <c r="R369" s="13" t="n">
        <v>71.2</v>
      </c>
      <c r="S369" s="34" t="s">
        <v>90</v>
      </c>
      <c r="T369" s="35" t="s">
        <v>91</v>
      </c>
      <c r="U369" s="42" t="s">
        <v>1225</v>
      </c>
      <c r="X369" s="15"/>
    </row>
    <row r="370" customFormat="false" ht="18" hidden="false" customHeight="true" outlineLevel="0" collapsed="false">
      <c r="A370" s="16" t="n">
        <v>368</v>
      </c>
      <c r="B370" s="17" t="s">
        <v>1154</v>
      </c>
      <c r="C370" s="26" t="s">
        <v>1226</v>
      </c>
      <c r="D370" s="8" t="s">
        <v>27</v>
      </c>
      <c r="E370" s="20" t="s">
        <v>1227</v>
      </c>
      <c r="F370" s="16" t="n">
        <v>36</v>
      </c>
      <c r="G370" s="16" t="n">
        <f aca="false">F370*4</f>
        <v>144</v>
      </c>
      <c r="H370" s="21" t="n">
        <v>1979892</v>
      </c>
      <c r="I370" s="22" t="s">
        <v>1228</v>
      </c>
      <c r="J370" s="12"/>
      <c r="K370" s="12"/>
      <c r="L370" s="12"/>
      <c r="M370" s="12"/>
      <c r="N370" s="12"/>
      <c r="O370" s="12"/>
      <c r="Q370" s="16"/>
      <c r="R370" s="23"/>
      <c r="S370" s="12"/>
      <c r="T370" s="14" t="s">
        <v>30</v>
      </c>
      <c r="U370" s="30"/>
      <c r="X370" s="25"/>
    </row>
    <row r="371" customFormat="false" ht="18" hidden="false" customHeight="true" outlineLevel="0" collapsed="false">
      <c r="A371" s="5" t="n">
        <v>369</v>
      </c>
      <c r="B371" s="6" t="s">
        <v>1154</v>
      </c>
      <c r="C371" s="27" t="s">
        <v>1229</v>
      </c>
      <c r="D371" s="8" t="s">
        <v>27</v>
      </c>
      <c r="E371" s="9" t="s">
        <v>1230</v>
      </c>
      <c r="F371" s="5" t="n">
        <v>9</v>
      </c>
      <c r="G371" s="5" t="n">
        <f aca="false">F371*4</f>
        <v>36</v>
      </c>
      <c r="H371" s="10" t="n">
        <v>244372</v>
      </c>
      <c r="I371" s="11" t="s">
        <v>1231</v>
      </c>
      <c r="J371" s="12"/>
      <c r="K371" s="12"/>
      <c r="L371" s="12"/>
      <c r="M371" s="12"/>
      <c r="N371" s="12"/>
      <c r="O371" s="12"/>
      <c r="Q371" s="5"/>
      <c r="R371" s="13"/>
      <c r="S371" s="12"/>
      <c r="T371" s="14" t="s">
        <v>30</v>
      </c>
      <c r="U371" s="40"/>
      <c r="X371" s="15"/>
    </row>
    <row r="372" customFormat="false" ht="18" hidden="false" customHeight="true" outlineLevel="0" collapsed="false">
      <c r="A372" s="16" t="n">
        <v>370</v>
      </c>
      <c r="B372" s="17" t="s">
        <v>1154</v>
      </c>
      <c r="C372" s="26" t="s">
        <v>1232</v>
      </c>
      <c r="D372" s="8" t="s">
        <v>27</v>
      </c>
      <c r="E372" s="20" t="s">
        <v>1233</v>
      </c>
      <c r="F372" s="16" t="n">
        <v>18</v>
      </c>
      <c r="G372" s="16" t="n">
        <f aca="false">F372*4</f>
        <v>72</v>
      </c>
      <c r="H372" s="21" t="n">
        <v>941849</v>
      </c>
      <c r="I372" s="22" t="s">
        <v>1234</v>
      </c>
      <c r="J372" s="12"/>
      <c r="K372" s="12"/>
      <c r="L372" s="12"/>
      <c r="M372" s="12"/>
      <c r="N372" s="12"/>
      <c r="O372" s="12"/>
      <c r="Q372" s="16"/>
      <c r="R372" s="23"/>
      <c r="S372" s="12"/>
      <c r="T372" s="14" t="s">
        <v>30</v>
      </c>
      <c r="U372" s="30"/>
      <c r="X372" s="25"/>
    </row>
    <row r="373" customFormat="false" ht="18" hidden="false" customHeight="true" outlineLevel="0" collapsed="false">
      <c r="A373" s="5" t="n">
        <v>371</v>
      </c>
      <c r="B373" s="6" t="s">
        <v>1154</v>
      </c>
      <c r="C373" s="27" t="s">
        <v>1235</v>
      </c>
      <c r="D373" s="8" t="s">
        <v>27</v>
      </c>
      <c r="E373" s="9" t="s">
        <v>1236</v>
      </c>
      <c r="F373" s="5" t="n">
        <v>9</v>
      </c>
      <c r="G373" s="5" t="n">
        <f aca="false">F373*4</f>
        <v>36</v>
      </c>
      <c r="H373" s="10" t="n">
        <v>186373</v>
      </c>
      <c r="I373" s="11" t="s">
        <v>1237</v>
      </c>
      <c r="J373" s="12"/>
      <c r="K373" s="12"/>
      <c r="L373" s="12"/>
      <c r="M373" s="12"/>
      <c r="N373" s="12"/>
      <c r="O373" s="12"/>
      <c r="Q373" s="5"/>
      <c r="R373" s="13"/>
      <c r="S373" s="12"/>
      <c r="T373" s="14" t="s">
        <v>30</v>
      </c>
      <c r="U373" s="40"/>
      <c r="X373" s="15"/>
    </row>
    <row r="374" customFormat="false" ht="18" hidden="false" customHeight="true" outlineLevel="0" collapsed="false">
      <c r="A374" s="16" t="n">
        <v>372</v>
      </c>
      <c r="B374" s="17" t="s">
        <v>1154</v>
      </c>
      <c r="C374" s="26" t="s">
        <v>1238</v>
      </c>
      <c r="D374" s="8" t="s">
        <v>27</v>
      </c>
      <c r="E374" s="20" t="s">
        <v>1239</v>
      </c>
      <c r="F374" s="16" t="n">
        <v>9</v>
      </c>
      <c r="G374" s="16" t="n">
        <f aca="false">F374*4</f>
        <v>36</v>
      </c>
      <c r="H374" s="21" t="n">
        <v>404646</v>
      </c>
      <c r="I374" s="22" t="s">
        <v>1240</v>
      </c>
      <c r="J374" s="12"/>
      <c r="K374" s="12"/>
      <c r="L374" s="12"/>
      <c r="M374" s="12"/>
      <c r="N374" s="12"/>
      <c r="O374" s="12"/>
      <c r="Q374" s="16"/>
      <c r="R374" s="23"/>
      <c r="S374" s="12"/>
      <c r="T374" s="14" t="s">
        <v>30</v>
      </c>
      <c r="U374" s="30"/>
      <c r="X374" s="25"/>
    </row>
    <row r="375" customFormat="false" ht="18" hidden="false" customHeight="true" outlineLevel="0" collapsed="false">
      <c r="A375" s="5" t="n">
        <v>373</v>
      </c>
      <c r="B375" s="6" t="s">
        <v>1154</v>
      </c>
      <c r="C375" s="27" t="s">
        <v>1241</v>
      </c>
      <c r="D375" s="8" t="s">
        <v>27</v>
      </c>
      <c r="E375" s="9" t="s">
        <v>1242</v>
      </c>
      <c r="F375" s="5" t="n">
        <v>18</v>
      </c>
      <c r="G375" s="5" t="n">
        <f aca="false">F375*4</f>
        <v>72</v>
      </c>
      <c r="H375" s="10" t="n">
        <v>982527</v>
      </c>
      <c r="I375" s="11" t="s">
        <v>1222</v>
      </c>
      <c r="J375" s="12"/>
      <c r="K375" s="12"/>
      <c r="L375" s="12"/>
      <c r="M375" s="12"/>
      <c r="N375" s="12"/>
      <c r="O375" s="12"/>
      <c r="Q375" s="5"/>
      <c r="R375" s="13"/>
      <c r="S375" s="12"/>
      <c r="T375" s="14" t="s">
        <v>30</v>
      </c>
      <c r="U375" s="40"/>
      <c r="X375" s="15"/>
    </row>
    <row r="376" customFormat="false" ht="18" hidden="false" customHeight="true" outlineLevel="0" collapsed="false">
      <c r="A376" s="16" t="n">
        <v>374</v>
      </c>
      <c r="B376" s="17" t="s">
        <v>1154</v>
      </c>
      <c r="C376" s="26" t="s">
        <v>1243</v>
      </c>
      <c r="D376" s="19" t="s">
        <v>32</v>
      </c>
      <c r="E376" s="20" t="s">
        <v>1244</v>
      </c>
      <c r="F376" s="16" t="n">
        <v>18</v>
      </c>
      <c r="G376" s="16" t="n">
        <f aca="false">F376*4</f>
        <v>72</v>
      </c>
      <c r="H376" s="21" t="n">
        <v>1017714</v>
      </c>
      <c r="I376" s="22" t="s">
        <v>1245</v>
      </c>
      <c r="J376" s="12"/>
      <c r="K376" s="12"/>
      <c r="L376" s="12"/>
      <c r="M376" s="12"/>
      <c r="N376" s="12"/>
      <c r="O376" s="12"/>
      <c r="Q376" s="16"/>
      <c r="R376" s="23"/>
      <c r="S376" s="12"/>
      <c r="T376" s="14" t="s">
        <v>30</v>
      </c>
      <c r="U376" s="30"/>
      <c r="X376" s="25"/>
    </row>
    <row r="377" customFormat="false" ht="18" hidden="false" customHeight="true" outlineLevel="0" collapsed="false">
      <c r="A377" s="5" t="n">
        <v>375</v>
      </c>
      <c r="B377" s="6" t="s">
        <v>1154</v>
      </c>
      <c r="C377" s="27" t="s">
        <v>1246</v>
      </c>
      <c r="D377" s="8" t="s">
        <v>27</v>
      </c>
      <c r="E377" s="9" t="s">
        <v>1247</v>
      </c>
      <c r="F377" s="5" t="n">
        <v>9</v>
      </c>
      <c r="G377" s="5" t="n">
        <f aca="false">F377*4</f>
        <v>36</v>
      </c>
      <c r="H377" s="10" t="n">
        <v>486519</v>
      </c>
      <c r="I377" s="11" t="s">
        <v>1248</v>
      </c>
      <c r="J377" s="12"/>
      <c r="K377" s="12"/>
      <c r="L377" s="12"/>
      <c r="M377" s="12"/>
      <c r="N377" s="12"/>
      <c r="O377" s="12"/>
      <c r="Q377" s="5"/>
      <c r="R377" s="13"/>
      <c r="S377" s="12"/>
      <c r="T377" s="14" t="s">
        <v>30</v>
      </c>
      <c r="U377" s="40"/>
      <c r="X377" s="15"/>
    </row>
    <row r="378" customFormat="false" ht="18" hidden="false" customHeight="true" outlineLevel="0" collapsed="false">
      <c r="A378" s="16" t="n">
        <v>376</v>
      </c>
      <c r="B378" s="17" t="s">
        <v>1154</v>
      </c>
      <c r="C378" s="26" t="s">
        <v>1249</v>
      </c>
      <c r="D378" s="8" t="s">
        <v>27</v>
      </c>
      <c r="E378" s="20" t="s">
        <v>1155</v>
      </c>
      <c r="F378" s="16" t="n">
        <v>18</v>
      </c>
      <c r="G378" s="16" t="n">
        <f aca="false">F378*4</f>
        <v>72</v>
      </c>
      <c r="H378" s="21" t="n">
        <v>957974</v>
      </c>
      <c r="I378" s="22" t="s">
        <v>1250</v>
      </c>
      <c r="J378" s="12"/>
      <c r="K378" s="12"/>
      <c r="L378" s="12"/>
      <c r="M378" s="12"/>
      <c r="N378" s="12"/>
      <c r="O378" s="12"/>
      <c r="Q378" s="16"/>
      <c r="R378" s="23"/>
      <c r="S378" s="12"/>
      <c r="T378" s="14" t="s">
        <v>30</v>
      </c>
      <c r="U378" s="30"/>
      <c r="X378" s="25"/>
    </row>
    <row r="379" customFormat="false" ht="18" hidden="false" customHeight="true" outlineLevel="0" collapsed="false">
      <c r="A379" s="5" t="n">
        <v>377</v>
      </c>
      <c r="B379" s="6" t="s">
        <v>1154</v>
      </c>
      <c r="C379" s="27" t="s">
        <v>1251</v>
      </c>
      <c r="D379" s="19" t="s">
        <v>32</v>
      </c>
      <c r="E379" s="9" t="s">
        <v>1252</v>
      </c>
      <c r="F379" s="5" t="n">
        <v>27</v>
      </c>
      <c r="G379" s="5" t="n">
        <f aca="false">F379*4</f>
        <v>108</v>
      </c>
      <c r="H379" s="10" t="n">
        <v>1332592</v>
      </c>
      <c r="I379" s="11" t="s">
        <v>1253</v>
      </c>
      <c r="J379" s="12"/>
      <c r="K379" s="12"/>
      <c r="L379" s="12"/>
      <c r="M379" s="12"/>
      <c r="N379" s="12"/>
      <c r="O379" s="12"/>
      <c r="Q379" s="5"/>
      <c r="R379" s="13"/>
      <c r="S379" s="12"/>
      <c r="T379" s="14" t="s">
        <v>30</v>
      </c>
      <c r="U379" s="40"/>
      <c r="X379" s="15"/>
    </row>
    <row r="380" customFormat="false" ht="18" hidden="false" customHeight="true" outlineLevel="0" collapsed="false">
      <c r="A380" s="16" t="n">
        <v>378</v>
      </c>
      <c r="B380" s="17" t="s">
        <v>1154</v>
      </c>
      <c r="C380" s="26" t="s">
        <v>1254</v>
      </c>
      <c r="D380" s="8" t="s">
        <v>27</v>
      </c>
      <c r="E380" s="20" t="s">
        <v>1255</v>
      </c>
      <c r="F380" s="16" t="n">
        <v>27</v>
      </c>
      <c r="G380" s="16" t="n">
        <f aca="false">F380*4</f>
        <v>108</v>
      </c>
      <c r="H380" s="21" t="n">
        <v>1410518</v>
      </c>
      <c r="I380" s="22" t="s">
        <v>1256</v>
      </c>
      <c r="J380" s="12"/>
      <c r="K380" s="12"/>
      <c r="L380" s="12"/>
      <c r="M380" s="12"/>
      <c r="N380" s="12"/>
      <c r="O380" s="12"/>
      <c r="Q380" s="16"/>
      <c r="R380" s="23"/>
      <c r="S380" s="12"/>
      <c r="T380" s="14" t="s">
        <v>30</v>
      </c>
      <c r="U380" s="30"/>
      <c r="X380" s="25"/>
    </row>
    <row r="381" customFormat="false" ht="18" hidden="false" customHeight="true" outlineLevel="0" collapsed="false">
      <c r="A381" s="5" t="n">
        <v>379</v>
      </c>
      <c r="B381" s="6" t="s">
        <v>1154</v>
      </c>
      <c r="C381" s="27" t="s">
        <v>1257</v>
      </c>
      <c r="D381" s="8" t="s">
        <v>27</v>
      </c>
      <c r="E381" s="9" t="s">
        <v>1258</v>
      </c>
      <c r="F381" s="5" t="n">
        <v>18</v>
      </c>
      <c r="G381" s="5" t="n">
        <f aca="false">F381*4</f>
        <v>72</v>
      </c>
      <c r="H381" s="10" t="n">
        <v>804257</v>
      </c>
      <c r="I381" s="11" t="s">
        <v>1259</v>
      </c>
      <c r="J381" s="12"/>
      <c r="K381" s="12"/>
      <c r="L381" s="12"/>
      <c r="M381" s="12"/>
      <c r="N381" s="12"/>
      <c r="O381" s="12"/>
      <c r="Q381" s="5"/>
      <c r="R381" s="13"/>
      <c r="S381" s="12"/>
      <c r="T381" s="14" t="s">
        <v>30</v>
      </c>
      <c r="U381" s="40"/>
      <c r="X381" s="15"/>
    </row>
    <row r="382" customFormat="false" ht="18" hidden="false" customHeight="true" outlineLevel="0" collapsed="false">
      <c r="A382" s="16" t="n">
        <v>380</v>
      </c>
      <c r="B382" s="17" t="s">
        <v>1154</v>
      </c>
      <c r="C382" s="26" t="s">
        <v>1260</v>
      </c>
      <c r="D382" s="8" t="s">
        <v>27</v>
      </c>
      <c r="E382" s="20" t="s">
        <v>1261</v>
      </c>
      <c r="F382" s="16" t="n">
        <v>9</v>
      </c>
      <c r="G382" s="16" t="n">
        <f aca="false">F382*4</f>
        <v>36</v>
      </c>
      <c r="H382" s="21" t="n">
        <v>400940</v>
      </c>
      <c r="I382" s="22" t="s">
        <v>1262</v>
      </c>
      <c r="J382" s="12"/>
      <c r="K382" s="12"/>
      <c r="L382" s="12"/>
      <c r="M382" s="12"/>
      <c r="N382" s="12"/>
      <c r="O382" s="12"/>
      <c r="Q382" s="16"/>
      <c r="R382" s="23"/>
      <c r="S382" s="12"/>
      <c r="T382" s="14" t="s">
        <v>30</v>
      </c>
      <c r="U382" s="30"/>
      <c r="X382" s="25"/>
    </row>
    <row r="383" customFormat="false" ht="18" hidden="false" customHeight="true" outlineLevel="0" collapsed="false">
      <c r="A383" s="5" t="n">
        <v>381</v>
      </c>
      <c r="B383" s="6" t="s">
        <v>1154</v>
      </c>
      <c r="C383" s="27" t="s">
        <v>1263</v>
      </c>
      <c r="D383" s="19" t="s">
        <v>32</v>
      </c>
      <c r="E383" s="9" t="s">
        <v>1261</v>
      </c>
      <c r="F383" s="5" t="n">
        <v>18</v>
      </c>
      <c r="G383" s="5" t="n">
        <f aca="false">F383*4</f>
        <v>72</v>
      </c>
      <c r="H383" s="10" t="n">
        <v>918977</v>
      </c>
      <c r="I383" s="11" t="s">
        <v>1262</v>
      </c>
      <c r="J383" s="12"/>
      <c r="K383" s="12"/>
      <c r="L383" s="12"/>
      <c r="M383" s="12"/>
      <c r="N383" s="12"/>
      <c r="O383" s="12"/>
      <c r="Q383" s="5"/>
      <c r="R383" s="13"/>
      <c r="S383" s="12"/>
      <c r="T383" s="14" t="s">
        <v>30</v>
      </c>
      <c r="U383" s="40"/>
      <c r="X383" s="15"/>
    </row>
    <row r="384" customFormat="false" ht="18" hidden="false" customHeight="true" outlineLevel="0" collapsed="false">
      <c r="A384" s="16" t="n">
        <v>382</v>
      </c>
      <c r="B384" s="17" t="s">
        <v>1154</v>
      </c>
      <c r="C384" s="26" t="s">
        <v>1264</v>
      </c>
      <c r="D384" s="19" t="s">
        <v>32</v>
      </c>
      <c r="E384" s="20" t="s">
        <v>1265</v>
      </c>
      <c r="F384" s="16" t="n">
        <v>27</v>
      </c>
      <c r="G384" s="16" t="n">
        <f aca="false">F384*4</f>
        <v>108</v>
      </c>
      <c r="H384" s="21" t="n">
        <v>1311521</v>
      </c>
      <c r="I384" s="22" t="s">
        <v>1266</v>
      </c>
      <c r="J384" s="12"/>
      <c r="K384" s="12"/>
      <c r="L384" s="12"/>
      <c r="M384" s="12"/>
      <c r="N384" s="12"/>
      <c r="O384" s="12"/>
      <c r="Q384" s="16"/>
      <c r="R384" s="23"/>
      <c r="S384" s="12"/>
      <c r="T384" s="14" t="s">
        <v>30</v>
      </c>
      <c r="U384" s="30"/>
      <c r="X384" s="25"/>
    </row>
    <row r="385" customFormat="false" ht="18" hidden="false" customHeight="true" outlineLevel="0" collapsed="false">
      <c r="A385" s="5" t="n">
        <v>383</v>
      </c>
      <c r="B385" s="6" t="s">
        <v>1154</v>
      </c>
      <c r="C385" s="27" t="s">
        <v>1267</v>
      </c>
      <c r="D385" s="8" t="s">
        <v>27</v>
      </c>
      <c r="E385" s="9" t="s">
        <v>1268</v>
      </c>
      <c r="F385" s="5" t="n">
        <v>9</v>
      </c>
      <c r="G385" s="5" t="n">
        <f aca="false">F385*4</f>
        <v>36</v>
      </c>
      <c r="H385" s="10" t="n">
        <v>442362</v>
      </c>
      <c r="I385" s="11" t="s">
        <v>1269</v>
      </c>
      <c r="J385" s="12"/>
      <c r="K385" s="12"/>
      <c r="L385" s="12"/>
      <c r="M385" s="12"/>
      <c r="N385" s="12"/>
      <c r="O385" s="12"/>
      <c r="Q385" s="5"/>
      <c r="R385" s="13"/>
      <c r="S385" s="12"/>
      <c r="T385" s="14" t="s">
        <v>30</v>
      </c>
      <c r="U385" s="40"/>
      <c r="X385" s="15"/>
    </row>
    <row r="386" customFormat="false" ht="18" hidden="false" customHeight="true" outlineLevel="0" collapsed="false">
      <c r="A386" s="16" t="n">
        <v>384</v>
      </c>
      <c r="B386" s="17" t="s">
        <v>1154</v>
      </c>
      <c r="C386" s="26" t="s">
        <v>1270</v>
      </c>
      <c r="D386" s="8" t="s">
        <v>27</v>
      </c>
      <c r="E386" s="20" t="s">
        <v>1271</v>
      </c>
      <c r="F386" s="16" t="n">
        <v>18</v>
      </c>
      <c r="G386" s="16" t="n">
        <f aca="false">F386*4</f>
        <v>72</v>
      </c>
      <c r="H386" s="21" t="n">
        <v>1221145</v>
      </c>
      <c r="I386" s="22" t="s">
        <v>1272</v>
      </c>
      <c r="J386" s="12"/>
      <c r="K386" s="12"/>
      <c r="L386" s="12"/>
      <c r="M386" s="12"/>
      <c r="N386" s="12"/>
      <c r="O386" s="12"/>
      <c r="Q386" s="16"/>
      <c r="R386" s="23"/>
      <c r="S386" s="12"/>
      <c r="T386" s="14" t="s">
        <v>30</v>
      </c>
      <c r="U386" s="30"/>
      <c r="X386" s="25"/>
    </row>
    <row r="387" customFormat="false" ht="18" hidden="false" customHeight="true" outlineLevel="0" collapsed="false">
      <c r="A387" s="5" t="n">
        <v>385</v>
      </c>
      <c r="B387" s="6" t="s">
        <v>1154</v>
      </c>
      <c r="C387" s="27" t="s">
        <v>1273</v>
      </c>
      <c r="D387" s="8" t="s">
        <v>27</v>
      </c>
      <c r="E387" s="9" t="s">
        <v>1274</v>
      </c>
      <c r="F387" s="5" t="n">
        <v>9</v>
      </c>
      <c r="G387" s="5" t="n">
        <f aca="false">F387*4</f>
        <v>36</v>
      </c>
      <c r="H387" s="10" t="n">
        <v>385623</v>
      </c>
      <c r="I387" s="11" t="s">
        <v>1275</v>
      </c>
      <c r="J387" s="12"/>
      <c r="K387" s="12"/>
      <c r="L387" s="12"/>
      <c r="M387" s="12"/>
      <c r="N387" s="12"/>
      <c r="O387" s="12"/>
      <c r="Q387" s="5"/>
      <c r="R387" s="13"/>
      <c r="S387" s="12"/>
      <c r="T387" s="14" t="s">
        <v>30</v>
      </c>
      <c r="U387" s="40"/>
      <c r="X387" s="15"/>
    </row>
    <row r="388" customFormat="false" ht="18" hidden="false" customHeight="true" outlineLevel="0" collapsed="false">
      <c r="A388" s="16" t="n">
        <v>386</v>
      </c>
      <c r="B388" s="17" t="s">
        <v>1154</v>
      </c>
      <c r="C388" s="26" t="s">
        <v>1276</v>
      </c>
      <c r="D388" s="8" t="s">
        <v>27</v>
      </c>
      <c r="E388" s="20" t="s">
        <v>1277</v>
      </c>
      <c r="F388" s="16" t="n">
        <v>18</v>
      </c>
      <c r="G388" s="16" t="n">
        <f aca="false">F388*4</f>
        <v>72</v>
      </c>
      <c r="H388" s="21" t="n">
        <v>1363308</v>
      </c>
      <c r="I388" s="22" t="s">
        <v>1278</v>
      </c>
      <c r="J388" s="12"/>
      <c r="K388" s="12"/>
      <c r="L388" s="12"/>
      <c r="M388" s="12"/>
      <c r="N388" s="12"/>
      <c r="O388" s="12"/>
      <c r="Q388" s="16"/>
      <c r="R388" s="23"/>
      <c r="S388" s="12"/>
      <c r="T388" s="14" t="s">
        <v>30</v>
      </c>
      <c r="U388" s="30"/>
      <c r="X388" s="25"/>
    </row>
    <row r="389" customFormat="false" ht="18" hidden="false" customHeight="true" outlineLevel="0" collapsed="false">
      <c r="A389" s="5" t="n">
        <v>387</v>
      </c>
      <c r="B389" s="6" t="s">
        <v>1154</v>
      </c>
      <c r="C389" s="27" t="s">
        <v>1279</v>
      </c>
      <c r="D389" s="8" t="s">
        <v>27</v>
      </c>
      <c r="E389" s="9" t="s">
        <v>1280</v>
      </c>
      <c r="F389" s="5" t="n">
        <v>18</v>
      </c>
      <c r="G389" s="5" t="n">
        <f aca="false">F389*4</f>
        <v>72</v>
      </c>
      <c r="H389" s="10" t="n">
        <v>891436</v>
      </c>
      <c r="I389" s="11" t="s">
        <v>1281</v>
      </c>
      <c r="J389" s="12"/>
      <c r="K389" s="12"/>
      <c r="L389" s="12"/>
      <c r="M389" s="12"/>
      <c r="N389" s="12"/>
      <c r="O389" s="12"/>
      <c r="Q389" s="5"/>
      <c r="R389" s="13"/>
      <c r="S389" s="12"/>
      <c r="T389" s="14" t="s">
        <v>30</v>
      </c>
      <c r="U389" s="40"/>
      <c r="X389" s="15"/>
    </row>
    <row r="390" customFormat="false" ht="18" hidden="false" customHeight="true" outlineLevel="0" collapsed="false">
      <c r="A390" s="16" t="n">
        <v>388</v>
      </c>
      <c r="B390" s="17" t="s">
        <v>1154</v>
      </c>
      <c r="C390" s="26" t="s">
        <v>1282</v>
      </c>
      <c r="D390" s="19" t="s">
        <v>32</v>
      </c>
      <c r="E390" s="20" t="s">
        <v>1283</v>
      </c>
      <c r="F390" s="16" t="n">
        <v>27</v>
      </c>
      <c r="G390" s="16" t="n">
        <f aca="false">F390*4</f>
        <v>108</v>
      </c>
      <c r="H390" s="21" t="n">
        <v>1695525</v>
      </c>
      <c r="I390" s="22" t="s">
        <v>1284</v>
      </c>
      <c r="J390" s="12"/>
      <c r="K390" s="12"/>
      <c r="L390" s="12"/>
      <c r="M390" s="12"/>
      <c r="N390" s="12"/>
      <c r="O390" s="12"/>
      <c r="Q390" s="16"/>
      <c r="R390" s="23"/>
      <c r="S390" s="12"/>
      <c r="T390" s="14" t="s">
        <v>30</v>
      </c>
      <c r="U390" s="30"/>
      <c r="X390" s="25"/>
    </row>
    <row r="391" customFormat="false" ht="18" hidden="false" customHeight="true" outlineLevel="0" collapsed="false">
      <c r="A391" s="5" t="n">
        <v>389</v>
      </c>
      <c r="B391" s="6" t="s">
        <v>1154</v>
      </c>
      <c r="C391" s="27" t="s">
        <v>1285</v>
      </c>
      <c r="D391" s="8" t="s">
        <v>27</v>
      </c>
      <c r="E391" s="9" t="s">
        <v>1286</v>
      </c>
      <c r="F391" s="5" t="n">
        <v>18</v>
      </c>
      <c r="G391" s="5" t="n">
        <f aca="false">F391*4</f>
        <v>72</v>
      </c>
      <c r="H391" s="10" t="n">
        <v>724398</v>
      </c>
      <c r="I391" s="11" t="s">
        <v>1287</v>
      </c>
      <c r="J391" s="12"/>
      <c r="K391" s="12"/>
      <c r="L391" s="12"/>
      <c r="M391" s="12"/>
      <c r="N391" s="12"/>
      <c r="O391" s="12"/>
      <c r="Q391" s="5"/>
      <c r="R391" s="13"/>
      <c r="S391" s="12"/>
      <c r="T391" s="14" t="s">
        <v>30</v>
      </c>
      <c r="U391" s="40"/>
      <c r="X391" s="15"/>
    </row>
    <row r="392" customFormat="false" ht="18" hidden="false" customHeight="true" outlineLevel="0" collapsed="false">
      <c r="A392" s="16" t="n">
        <v>390</v>
      </c>
      <c r="B392" s="17" t="s">
        <v>1154</v>
      </c>
      <c r="C392" s="26" t="s">
        <v>1288</v>
      </c>
      <c r="D392" s="8" t="s">
        <v>27</v>
      </c>
      <c r="E392" s="20" t="s">
        <v>1289</v>
      </c>
      <c r="F392" s="16" t="n">
        <v>9</v>
      </c>
      <c r="G392" s="16" t="n">
        <f aca="false">F392*4</f>
        <v>36</v>
      </c>
      <c r="H392" s="21" t="n">
        <v>238597</v>
      </c>
      <c r="I392" s="22" t="s">
        <v>1290</v>
      </c>
      <c r="J392" s="12"/>
      <c r="K392" s="12"/>
      <c r="L392" s="12"/>
      <c r="M392" s="12"/>
      <c r="N392" s="12"/>
      <c r="O392" s="12"/>
      <c r="Q392" s="16"/>
      <c r="R392" s="23"/>
      <c r="S392" s="12"/>
      <c r="T392" s="14" t="s">
        <v>30</v>
      </c>
      <c r="U392" s="30" t="s">
        <v>1291</v>
      </c>
      <c r="V392" s="1" t="n">
        <v>2006</v>
      </c>
      <c r="W392" s="1" t="s">
        <v>1292</v>
      </c>
      <c r="X392" s="25"/>
    </row>
    <row r="393" customFormat="false" ht="18" hidden="false" customHeight="true" outlineLevel="0" collapsed="false">
      <c r="A393" s="5" t="n">
        <v>391</v>
      </c>
      <c r="B393" s="6" t="s">
        <v>1154</v>
      </c>
      <c r="C393" s="27" t="s">
        <v>1293</v>
      </c>
      <c r="D393" s="8" t="s">
        <v>27</v>
      </c>
      <c r="E393" s="9" t="s">
        <v>1294</v>
      </c>
      <c r="F393" s="5" t="n">
        <v>9</v>
      </c>
      <c r="G393" s="5" t="n">
        <f aca="false">F393*4</f>
        <v>36</v>
      </c>
      <c r="H393" s="10" t="n">
        <v>375039</v>
      </c>
      <c r="I393" s="11" t="s">
        <v>1295</v>
      </c>
      <c r="J393" s="12"/>
      <c r="K393" s="12"/>
      <c r="L393" s="12"/>
      <c r="M393" s="12"/>
      <c r="N393" s="12"/>
      <c r="O393" s="12"/>
      <c r="Q393" s="5"/>
      <c r="R393" s="13"/>
      <c r="S393" s="12"/>
      <c r="T393" s="14" t="s">
        <v>30</v>
      </c>
      <c r="U393" s="40"/>
      <c r="X393" s="15"/>
    </row>
    <row r="394" customFormat="false" ht="18" hidden="false" customHeight="true" outlineLevel="0" collapsed="false">
      <c r="A394" s="16" t="n">
        <v>392</v>
      </c>
      <c r="B394" s="17" t="s">
        <v>1154</v>
      </c>
      <c r="C394" s="26" t="s">
        <v>1296</v>
      </c>
      <c r="D394" s="8" t="s">
        <v>27</v>
      </c>
      <c r="E394" s="20" t="s">
        <v>1297</v>
      </c>
      <c r="F394" s="16" t="n">
        <v>18</v>
      </c>
      <c r="G394" s="16" t="n">
        <f aca="false">F394*4</f>
        <v>72</v>
      </c>
      <c r="H394" s="21" t="n">
        <v>972560</v>
      </c>
      <c r="I394" s="22" t="s">
        <v>1298</v>
      </c>
      <c r="J394" s="12"/>
      <c r="K394" s="12"/>
      <c r="L394" s="12"/>
      <c r="M394" s="12"/>
      <c r="N394" s="12"/>
      <c r="O394" s="12"/>
      <c r="Q394" s="16"/>
      <c r="R394" s="23"/>
      <c r="S394" s="12"/>
      <c r="T394" s="14" t="s">
        <v>30</v>
      </c>
      <c r="U394" s="30"/>
      <c r="X394" s="25"/>
    </row>
    <row r="395" customFormat="false" ht="18" hidden="false" customHeight="true" outlineLevel="0" collapsed="false">
      <c r="A395" s="5" t="n">
        <v>393</v>
      </c>
      <c r="B395" s="6" t="s">
        <v>1154</v>
      </c>
      <c r="C395" s="27" t="s">
        <v>1299</v>
      </c>
      <c r="D395" s="19" t="s">
        <v>32</v>
      </c>
      <c r="E395" s="9" t="s">
        <v>1300</v>
      </c>
      <c r="F395" s="5" t="n">
        <v>36</v>
      </c>
      <c r="G395" s="5" t="n">
        <f aca="false">F395*4</f>
        <v>144</v>
      </c>
      <c r="H395" s="10" t="n">
        <v>2094223</v>
      </c>
      <c r="I395" s="11" t="s">
        <v>1301</v>
      </c>
      <c r="J395" s="12"/>
      <c r="K395" s="12"/>
      <c r="L395" s="12"/>
      <c r="M395" s="12"/>
      <c r="N395" s="12"/>
      <c r="O395" s="12"/>
      <c r="Q395" s="5"/>
      <c r="R395" s="13"/>
      <c r="S395" s="12"/>
      <c r="T395" s="14" t="s">
        <v>30</v>
      </c>
      <c r="U395" s="40"/>
      <c r="X395" s="15"/>
    </row>
    <row r="396" customFormat="false" ht="18" hidden="false" customHeight="true" outlineLevel="0" collapsed="false">
      <c r="A396" s="16" t="n">
        <v>394</v>
      </c>
      <c r="B396" s="17" t="s">
        <v>1154</v>
      </c>
      <c r="C396" s="26" t="s">
        <v>1302</v>
      </c>
      <c r="D396" s="8" t="s">
        <v>27</v>
      </c>
      <c r="E396" s="20" t="s">
        <v>1303</v>
      </c>
      <c r="F396" s="16" t="n">
        <v>9</v>
      </c>
      <c r="G396" s="16" t="n">
        <f aca="false">F396*4</f>
        <v>36</v>
      </c>
      <c r="H396" s="21" t="n">
        <v>249315</v>
      </c>
      <c r="I396" s="22" t="s">
        <v>1304</v>
      </c>
      <c r="J396" s="12"/>
      <c r="K396" s="12"/>
      <c r="L396" s="12"/>
      <c r="M396" s="12"/>
      <c r="N396" s="12"/>
      <c r="O396" s="12"/>
      <c r="Q396" s="16"/>
      <c r="R396" s="23"/>
      <c r="S396" s="12"/>
      <c r="T396" s="14" t="s">
        <v>30</v>
      </c>
      <c r="U396" s="30"/>
      <c r="X396" s="25"/>
    </row>
    <row r="397" customFormat="false" ht="18" hidden="false" customHeight="true" outlineLevel="0" collapsed="false">
      <c r="A397" s="5" t="n">
        <v>395</v>
      </c>
      <c r="B397" s="6" t="s">
        <v>1154</v>
      </c>
      <c r="C397" s="27" t="s">
        <v>1305</v>
      </c>
      <c r="D397" s="8" t="s">
        <v>27</v>
      </c>
      <c r="E397" s="9" t="s">
        <v>1306</v>
      </c>
      <c r="F397" s="5" t="n">
        <v>27</v>
      </c>
      <c r="G397" s="5" t="n">
        <f aca="false">F397*4</f>
        <v>108</v>
      </c>
      <c r="H397" s="10" t="n">
        <v>774060</v>
      </c>
      <c r="I397" s="11" t="s">
        <v>1307</v>
      </c>
      <c r="J397" s="12"/>
      <c r="K397" s="12"/>
      <c r="L397" s="12"/>
      <c r="M397" s="12"/>
      <c r="N397" s="12"/>
      <c r="O397" s="12"/>
      <c r="Q397" s="5"/>
      <c r="R397" s="13"/>
      <c r="S397" s="12"/>
      <c r="T397" s="14" t="s">
        <v>30</v>
      </c>
      <c r="U397" s="40"/>
      <c r="X397" s="15"/>
    </row>
    <row r="398" customFormat="false" ht="18" hidden="false" customHeight="true" outlineLevel="0" collapsed="false">
      <c r="A398" s="16" t="n">
        <v>396</v>
      </c>
      <c r="B398" s="17" t="s">
        <v>1154</v>
      </c>
      <c r="C398" s="26" t="s">
        <v>1308</v>
      </c>
      <c r="D398" s="8" t="s">
        <v>27</v>
      </c>
      <c r="E398" s="20" t="s">
        <v>1309</v>
      </c>
      <c r="F398" s="16" t="n">
        <v>18</v>
      </c>
      <c r="G398" s="16" t="n">
        <f aca="false">F398*4</f>
        <v>72</v>
      </c>
      <c r="H398" s="21" t="n">
        <v>986443</v>
      </c>
      <c r="I398" s="22" t="s">
        <v>1310</v>
      </c>
      <c r="J398" s="12"/>
      <c r="K398" s="12"/>
      <c r="L398" s="12"/>
      <c r="M398" s="12"/>
      <c r="N398" s="12"/>
      <c r="O398" s="12"/>
      <c r="Q398" s="16"/>
      <c r="R398" s="23"/>
      <c r="S398" s="12"/>
      <c r="T398" s="14" t="s">
        <v>30</v>
      </c>
      <c r="U398" s="30"/>
      <c r="X398" s="25"/>
    </row>
    <row r="399" customFormat="false" ht="18" hidden="false" customHeight="true" outlineLevel="0" collapsed="false">
      <c r="A399" s="5" t="n">
        <v>397</v>
      </c>
      <c r="B399" s="6" t="s">
        <v>1154</v>
      </c>
      <c r="C399" s="27" t="s">
        <v>1311</v>
      </c>
      <c r="D399" s="8" t="s">
        <v>27</v>
      </c>
      <c r="E399" s="9" t="s">
        <v>1312</v>
      </c>
      <c r="F399" s="5" t="n">
        <v>18</v>
      </c>
      <c r="G399" s="5" t="n">
        <f aca="false">F399*4</f>
        <v>72</v>
      </c>
      <c r="H399" s="10" t="n">
        <v>1000226</v>
      </c>
      <c r="I399" s="11" t="s">
        <v>1313</v>
      </c>
      <c r="J399" s="12"/>
      <c r="K399" s="12"/>
      <c r="L399" s="12"/>
      <c r="M399" s="12"/>
      <c r="N399" s="12"/>
      <c r="O399" s="12"/>
      <c r="Q399" s="5"/>
      <c r="R399" s="13"/>
      <c r="S399" s="12"/>
      <c r="T399" s="14" t="s">
        <v>30</v>
      </c>
      <c r="U399" s="40"/>
      <c r="X399" s="15"/>
    </row>
    <row r="400" customFormat="false" ht="18" hidden="false" customHeight="true" outlineLevel="0" collapsed="false">
      <c r="A400" s="46" t="n">
        <v>398</v>
      </c>
      <c r="B400" s="47" t="s">
        <v>1314</v>
      </c>
      <c r="C400" s="48" t="s">
        <v>1315</v>
      </c>
      <c r="D400" s="66" t="s">
        <v>32</v>
      </c>
      <c r="E400" s="50" t="s">
        <v>1316</v>
      </c>
      <c r="F400" s="46" t="n">
        <v>45</v>
      </c>
      <c r="G400" s="46" t="n">
        <f aca="false">F400*4</f>
        <v>180</v>
      </c>
      <c r="H400" s="51" t="n">
        <v>2822471</v>
      </c>
      <c r="I400" s="52" t="s">
        <v>1317</v>
      </c>
      <c r="J400" s="73" t="n">
        <v>3</v>
      </c>
      <c r="K400" s="73" t="n">
        <v>3.1</v>
      </c>
      <c r="L400" s="74" t="n">
        <v>3.8</v>
      </c>
      <c r="M400" s="73" t="n">
        <v>3.2</v>
      </c>
      <c r="N400" s="74" t="n">
        <v>3.5</v>
      </c>
      <c r="O400" s="75" t="n">
        <f aca="false">ROUND(AVERAGE(J400:N400),2)</f>
        <v>3.32</v>
      </c>
      <c r="Q400" s="46" t="n">
        <v>116</v>
      </c>
      <c r="R400" s="54" t="n">
        <v>69.8</v>
      </c>
      <c r="S400" s="76" t="s">
        <v>90</v>
      </c>
      <c r="T400" s="77" t="s">
        <v>91</v>
      </c>
      <c r="U400" s="78" t="s">
        <v>1318</v>
      </c>
      <c r="V400" s="1" t="n">
        <v>1971</v>
      </c>
      <c r="W400" s="1" t="s">
        <v>1319</v>
      </c>
      <c r="X400" s="79"/>
    </row>
    <row r="401" customFormat="false" ht="18" hidden="false" customHeight="true" outlineLevel="0" collapsed="false">
      <c r="A401" s="5" t="n">
        <v>399</v>
      </c>
      <c r="B401" s="6" t="s">
        <v>1314</v>
      </c>
      <c r="C401" s="27" t="s">
        <v>1320</v>
      </c>
      <c r="D401" s="19" t="s">
        <v>32</v>
      </c>
      <c r="E401" s="9" t="s">
        <v>1321</v>
      </c>
      <c r="F401" s="5" t="n">
        <v>18</v>
      </c>
      <c r="G401" s="5" t="n">
        <f aca="false">F401*4</f>
        <v>72</v>
      </c>
      <c r="H401" s="10" t="n">
        <v>936155</v>
      </c>
      <c r="I401" s="11" t="s">
        <v>1322</v>
      </c>
      <c r="J401" s="12"/>
      <c r="K401" s="12"/>
      <c r="L401" s="12"/>
      <c r="M401" s="12"/>
      <c r="N401" s="12"/>
      <c r="O401" s="12"/>
      <c r="Q401" s="5"/>
      <c r="R401" s="13"/>
      <c r="S401" s="12"/>
      <c r="T401" s="14" t="s">
        <v>30</v>
      </c>
      <c r="U401" s="40" t="s">
        <v>1323</v>
      </c>
      <c r="V401" s="1" t="n">
        <v>2009</v>
      </c>
      <c r="W401" s="1" t="s">
        <v>1324</v>
      </c>
      <c r="X401" s="29"/>
    </row>
    <row r="402" customFormat="false" ht="18" hidden="false" customHeight="true" outlineLevel="0" collapsed="false">
      <c r="A402" s="16" t="n">
        <v>400</v>
      </c>
      <c r="B402" s="17" t="s">
        <v>1314</v>
      </c>
      <c r="C402" s="26" t="s">
        <v>1325</v>
      </c>
      <c r="D402" s="8" t="s">
        <v>27</v>
      </c>
      <c r="E402" s="20" t="s">
        <v>1326</v>
      </c>
      <c r="F402" s="16" t="n">
        <v>18</v>
      </c>
      <c r="G402" s="16" t="n">
        <f aca="false">F402*4</f>
        <v>72</v>
      </c>
      <c r="H402" s="21" t="n">
        <v>800568</v>
      </c>
      <c r="I402" s="22" t="s">
        <v>1327</v>
      </c>
      <c r="J402" s="12"/>
      <c r="K402" s="12"/>
      <c r="L402" s="12"/>
      <c r="M402" s="12"/>
      <c r="N402" s="12"/>
      <c r="O402" s="12"/>
      <c r="Q402" s="16"/>
      <c r="R402" s="23"/>
      <c r="S402" s="12"/>
      <c r="T402" s="14" t="s">
        <v>30</v>
      </c>
      <c r="U402" s="30"/>
      <c r="X402" s="25"/>
    </row>
    <row r="403" customFormat="false" ht="18" hidden="false" customHeight="true" outlineLevel="0" collapsed="false">
      <c r="A403" s="5" t="n">
        <v>401</v>
      </c>
      <c r="B403" s="6" t="s">
        <v>1314</v>
      </c>
      <c r="C403" s="27" t="s">
        <v>1328</v>
      </c>
      <c r="D403" s="8" t="s">
        <v>27</v>
      </c>
      <c r="E403" s="9" t="s">
        <v>1329</v>
      </c>
      <c r="F403" s="5" t="n">
        <v>9</v>
      </c>
      <c r="G403" s="5" t="n">
        <f aca="false">F403*4</f>
        <v>36</v>
      </c>
      <c r="H403" s="10" t="n">
        <v>571765</v>
      </c>
      <c r="I403" s="11" t="s">
        <v>1330</v>
      </c>
      <c r="J403" s="12"/>
      <c r="K403" s="12"/>
      <c r="L403" s="12"/>
      <c r="M403" s="12"/>
      <c r="N403" s="12"/>
      <c r="O403" s="12"/>
      <c r="Q403" s="5"/>
      <c r="R403" s="13"/>
      <c r="S403" s="12"/>
      <c r="T403" s="14" t="s">
        <v>30</v>
      </c>
      <c r="U403" s="40"/>
      <c r="X403" s="15"/>
    </row>
    <row r="404" customFormat="false" ht="18" hidden="false" customHeight="true" outlineLevel="0" collapsed="false">
      <c r="A404" s="16" t="n">
        <v>402</v>
      </c>
      <c r="B404" s="17" t="s">
        <v>1314</v>
      </c>
      <c r="C404" s="26" t="s">
        <v>1331</v>
      </c>
      <c r="D404" s="8" t="s">
        <v>27</v>
      </c>
      <c r="E404" s="20" t="s">
        <v>1332</v>
      </c>
      <c r="F404" s="16" t="n">
        <v>18</v>
      </c>
      <c r="G404" s="16" t="n">
        <f aca="false">F404*4</f>
        <v>72</v>
      </c>
      <c r="H404" s="21" t="n">
        <v>1032347</v>
      </c>
      <c r="I404" s="30" t="s">
        <v>1333</v>
      </c>
      <c r="J404" s="12"/>
      <c r="K404" s="12"/>
      <c r="L404" s="12"/>
      <c r="M404" s="12"/>
      <c r="N404" s="12"/>
      <c r="O404" s="12"/>
      <c r="Q404" s="16"/>
      <c r="R404" s="23"/>
      <c r="S404" s="12"/>
      <c r="T404" s="14" t="s">
        <v>30</v>
      </c>
      <c r="U404" s="30"/>
      <c r="X404" s="25"/>
    </row>
    <row r="405" customFormat="false" ht="18" hidden="false" customHeight="true" outlineLevel="0" collapsed="false">
      <c r="A405" s="5" t="n">
        <v>403</v>
      </c>
      <c r="B405" s="6" t="s">
        <v>1314</v>
      </c>
      <c r="C405" s="27" t="s">
        <v>1334</v>
      </c>
      <c r="D405" s="19" t="s">
        <v>32</v>
      </c>
      <c r="E405" s="9" t="s">
        <v>1335</v>
      </c>
      <c r="F405" s="5" t="n">
        <v>27</v>
      </c>
      <c r="G405" s="5" t="n">
        <f aca="false">F405*4</f>
        <v>108</v>
      </c>
      <c r="H405" s="10" t="n">
        <v>1303897</v>
      </c>
      <c r="I405" s="11" t="s">
        <v>1336</v>
      </c>
      <c r="J405" s="12"/>
      <c r="K405" s="12"/>
      <c r="L405" s="12"/>
      <c r="M405" s="12"/>
      <c r="N405" s="12"/>
      <c r="O405" s="12"/>
      <c r="Q405" s="5"/>
      <c r="R405" s="13"/>
      <c r="S405" s="12"/>
      <c r="T405" s="14" t="s">
        <v>30</v>
      </c>
      <c r="U405" s="40"/>
      <c r="X405" s="15"/>
    </row>
    <row r="406" customFormat="false" ht="18" hidden="false" customHeight="true" outlineLevel="0" collapsed="false">
      <c r="A406" s="16" t="n">
        <v>404</v>
      </c>
      <c r="B406" s="17" t="s">
        <v>1314</v>
      </c>
      <c r="C406" s="26" t="s">
        <v>1337</v>
      </c>
      <c r="D406" s="8" t="s">
        <v>27</v>
      </c>
      <c r="E406" s="20" t="s">
        <v>1338</v>
      </c>
      <c r="F406" s="16" t="n">
        <v>9</v>
      </c>
      <c r="G406" s="16" t="n">
        <f aca="false">F406*4</f>
        <v>36</v>
      </c>
      <c r="H406" s="21" t="n">
        <v>253743</v>
      </c>
      <c r="I406" s="22" t="s">
        <v>1339</v>
      </c>
      <c r="J406" s="12"/>
      <c r="K406" s="12"/>
      <c r="L406" s="12"/>
      <c r="M406" s="12"/>
      <c r="N406" s="12"/>
      <c r="O406" s="12"/>
      <c r="Q406" s="16"/>
      <c r="R406" s="23"/>
      <c r="S406" s="12"/>
      <c r="T406" s="14" t="s">
        <v>30</v>
      </c>
      <c r="U406" s="30"/>
      <c r="X406" s="25"/>
    </row>
    <row r="407" customFormat="false" ht="18" hidden="false" customHeight="true" outlineLevel="0" collapsed="false">
      <c r="A407" s="5" t="n">
        <v>405</v>
      </c>
      <c r="B407" s="6" t="s">
        <v>1314</v>
      </c>
      <c r="C407" s="27" t="s">
        <v>1340</v>
      </c>
      <c r="D407" s="8" t="s">
        <v>27</v>
      </c>
      <c r="E407" s="9" t="s">
        <v>1341</v>
      </c>
      <c r="F407" s="5" t="n">
        <v>18</v>
      </c>
      <c r="G407" s="5" t="n">
        <f aca="false">F407*4</f>
        <v>72</v>
      </c>
      <c r="H407" s="10" t="n">
        <v>786500</v>
      </c>
      <c r="I407" s="11" t="s">
        <v>1342</v>
      </c>
      <c r="J407" s="12"/>
      <c r="K407" s="12"/>
      <c r="L407" s="12"/>
      <c r="M407" s="12"/>
      <c r="N407" s="12"/>
      <c r="O407" s="12"/>
      <c r="Q407" s="5"/>
      <c r="R407" s="13"/>
      <c r="S407" s="12"/>
      <c r="T407" s="14" t="s">
        <v>30</v>
      </c>
      <c r="U407" s="40"/>
      <c r="X407" s="15"/>
    </row>
    <row r="408" customFormat="false" ht="18" hidden="false" customHeight="true" outlineLevel="0" collapsed="false">
      <c r="A408" s="16" t="n">
        <v>406</v>
      </c>
      <c r="B408" s="17" t="s">
        <v>1314</v>
      </c>
      <c r="C408" s="26" t="s">
        <v>1343</v>
      </c>
      <c r="D408" s="8" t="s">
        <v>27</v>
      </c>
      <c r="E408" s="20" t="s">
        <v>1344</v>
      </c>
      <c r="F408" s="16" t="n">
        <v>27</v>
      </c>
      <c r="G408" s="16" t="n">
        <f aca="false">F408*4</f>
        <v>108</v>
      </c>
      <c r="H408" s="21" t="n">
        <v>1510534</v>
      </c>
      <c r="I408" s="22" t="s">
        <v>1345</v>
      </c>
      <c r="J408" s="12"/>
      <c r="K408" s="12"/>
      <c r="L408" s="12"/>
      <c r="M408" s="12"/>
      <c r="N408" s="12"/>
      <c r="O408" s="12"/>
      <c r="Q408" s="16"/>
      <c r="R408" s="23"/>
      <c r="S408" s="12"/>
      <c r="T408" s="14" t="s">
        <v>30</v>
      </c>
      <c r="U408" s="30"/>
      <c r="X408" s="25"/>
    </row>
    <row r="409" customFormat="false" ht="18" hidden="false" customHeight="true" outlineLevel="0" collapsed="false">
      <c r="A409" s="5" t="n">
        <v>407</v>
      </c>
      <c r="B409" s="6" t="s">
        <v>1314</v>
      </c>
      <c r="C409" s="27" t="s">
        <v>1346</v>
      </c>
      <c r="D409" s="8" t="s">
        <v>27</v>
      </c>
      <c r="E409" s="9" t="s">
        <v>1347</v>
      </c>
      <c r="F409" s="5" t="n">
        <v>18</v>
      </c>
      <c r="G409" s="5" t="n">
        <f aca="false">F409*4</f>
        <v>72</v>
      </c>
      <c r="H409" s="10" t="n">
        <v>963482</v>
      </c>
      <c r="I409" s="11" t="s">
        <v>1348</v>
      </c>
      <c r="J409" s="12"/>
      <c r="K409" s="12"/>
      <c r="L409" s="12"/>
      <c r="M409" s="12"/>
      <c r="N409" s="12"/>
      <c r="O409" s="12"/>
      <c r="Q409" s="5"/>
      <c r="R409" s="13"/>
      <c r="S409" s="12"/>
      <c r="T409" s="14" t="s">
        <v>30</v>
      </c>
      <c r="U409" s="40"/>
      <c r="X409" s="15"/>
    </row>
    <row r="410" customFormat="false" ht="18" hidden="false" customHeight="true" outlineLevel="0" collapsed="false">
      <c r="A410" s="16" t="n">
        <v>408</v>
      </c>
      <c r="B410" s="17" t="s">
        <v>1314</v>
      </c>
      <c r="C410" s="26" t="s">
        <v>1349</v>
      </c>
      <c r="D410" s="19" t="s">
        <v>32</v>
      </c>
      <c r="E410" s="20" t="s">
        <v>1350</v>
      </c>
      <c r="F410" s="16" t="n">
        <v>27</v>
      </c>
      <c r="G410" s="16" t="n">
        <f aca="false">F410*4</f>
        <v>108</v>
      </c>
      <c r="H410" s="21" t="n">
        <v>1563744</v>
      </c>
      <c r="I410" s="22" t="s">
        <v>1351</v>
      </c>
      <c r="J410" s="12"/>
      <c r="K410" s="12"/>
      <c r="L410" s="12"/>
      <c r="M410" s="12"/>
      <c r="N410" s="12"/>
      <c r="O410" s="12"/>
      <c r="Q410" s="16"/>
      <c r="R410" s="23"/>
      <c r="S410" s="12"/>
      <c r="T410" s="14" t="s">
        <v>30</v>
      </c>
      <c r="U410" s="30"/>
      <c r="X410" s="25"/>
    </row>
    <row r="411" customFormat="false" ht="18" hidden="false" customHeight="true" outlineLevel="0" collapsed="false">
      <c r="A411" s="5" t="n">
        <v>409</v>
      </c>
      <c r="B411" s="6" t="s">
        <v>1314</v>
      </c>
      <c r="C411" s="27" t="s">
        <v>1352</v>
      </c>
      <c r="D411" s="8" t="s">
        <v>27</v>
      </c>
      <c r="E411" s="9" t="s">
        <v>1353</v>
      </c>
      <c r="F411" s="5" t="n">
        <v>18</v>
      </c>
      <c r="G411" s="5" t="n">
        <f aca="false">F411*4</f>
        <v>72</v>
      </c>
      <c r="H411" s="10" t="n">
        <v>1291000</v>
      </c>
      <c r="I411" s="11" t="s">
        <v>1354</v>
      </c>
      <c r="J411" s="12"/>
      <c r="K411" s="12"/>
      <c r="L411" s="12"/>
      <c r="M411" s="12"/>
      <c r="N411" s="12"/>
      <c r="O411" s="12"/>
      <c r="Q411" s="5"/>
      <c r="R411" s="13"/>
      <c r="S411" s="12"/>
      <c r="T411" s="14" t="s">
        <v>30</v>
      </c>
      <c r="U411" s="40"/>
      <c r="X411" s="15"/>
    </row>
    <row r="412" customFormat="false" ht="18" hidden="false" customHeight="true" outlineLevel="0" collapsed="false">
      <c r="A412" s="16" t="n">
        <v>410</v>
      </c>
      <c r="B412" s="17" t="s">
        <v>1314</v>
      </c>
      <c r="C412" s="26" t="s">
        <v>1355</v>
      </c>
      <c r="D412" s="19" t="s">
        <v>32</v>
      </c>
      <c r="E412" s="20" t="s">
        <v>1356</v>
      </c>
      <c r="F412" s="16" t="n">
        <v>27</v>
      </c>
      <c r="G412" s="16" t="n">
        <f aca="false">F412*4</f>
        <v>108</v>
      </c>
      <c r="H412" s="21" t="n">
        <v>1448364</v>
      </c>
      <c r="I412" s="22" t="s">
        <v>1357</v>
      </c>
      <c r="J412" s="12"/>
      <c r="K412" s="12"/>
      <c r="L412" s="12"/>
      <c r="M412" s="12"/>
      <c r="N412" s="12"/>
      <c r="O412" s="12"/>
      <c r="Q412" s="16"/>
      <c r="R412" s="23"/>
      <c r="S412" s="12"/>
      <c r="T412" s="14" t="s">
        <v>30</v>
      </c>
      <c r="U412" s="30"/>
      <c r="X412" s="25"/>
    </row>
    <row r="413" customFormat="false" ht="18" hidden="false" customHeight="true" outlineLevel="0" collapsed="false">
      <c r="A413" s="5" t="n">
        <v>411</v>
      </c>
      <c r="B413" s="6" t="s">
        <v>1314</v>
      </c>
      <c r="C413" s="27" t="s">
        <v>1358</v>
      </c>
      <c r="D413" s="19" t="s">
        <v>32</v>
      </c>
      <c r="E413" s="9" t="s">
        <v>1359</v>
      </c>
      <c r="F413" s="5" t="n">
        <v>18</v>
      </c>
      <c r="G413" s="5" t="n">
        <f aca="false">F413*4</f>
        <v>72</v>
      </c>
      <c r="H413" s="10" t="n">
        <v>1030540</v>
      </c>
      <c r="I413" s="11" t="s">
        <v>1360</v>
      </c>
      <c r="J413" s="12"/>
      <c r="K413" s="12"/>
      <c r="L413" s="12"/>
      <c r="M413" s="12"/>
      <c r="N413" s="12"/>
      <c r="O413" s="12"/>
      <c r="Q413" s="5"/>
      <c r="R413" s="13"/>
      <c r="S413" s="12"/>
      <c r="T413" s="14" t="s">
        <v>30</v>
      </c>
      <c r="U413" s="40"/>
      <c r="X413" s="15"/>
    </row>
    <row r="414" customFormat="false" ht="18" hidden="false" customHeight="true" outlineLevel="0" collapsed="false">
      <c r="A414" s="16" t="n">
        <v>412</v>
      </c>
      <c r="B414" s="17" t="s">
        <v>1314</v>
      </c>
      <c r="C414" s="26" t="s">
        <v>1361</v>
      </c>
      <c r="D414" s="8" t="s">
        <v>27</v>
      </c>
      <c r="E414" s="20" t="s">
        <v>1362</v>
      </c>
      <c r="F414" s="16" t="n">
        <v>27</v>
      </c>
      <c r="G414" s="16" t="n">
        <f aca="false">F414*4</f>
        <v>108</v>
      </c>
      <c r="H414" s="21" t="n">
        <v>1405663</v>
      </c>
      <c r="I414" s="22" t="s">
        <v>1363</v>
      </c>
      <c r="J414" s="12"/>
      <c r="K414" s="12"/>
      <c r="L414" s="12"/>
      <c r="M414" s="12"/>
      <c r="N414" s="12"/>
      <c r="O414" s="12"/>
      <c r="Q414" s="16"/>
      <c r="R414" s="23"/>
      <c r="S414" s="12"/>
      <c r="T414" s="14" t="s">
        <v>30</v>
      </c>
      <c r="U414" s="30"/>
      <c r="X414" s="25"/>
    </row>
    <row r="415" customFormat="false" ht="18" hidden="false" customHeight="true" outlineLevel="0" collapsed="false">
      <c r="A415" s="5" t="n">
        <v>413</v>
      </c>
      <c r="B415" s="6" t="s">
        <v>1314</v>
      </c>
      <c r="C415" s="27" t="s">
        <v>1364</v>
      </c>
      <c r="D415" s="8" t="s">
        <v>27</v>
      </c>
      <c r="E415" s="9" t="s">
        <v>1365</v>
      </c>
      <c r="F415" s="5" t="n">
        <v>18</v>
      </c>
      <c r="G415" s="5" t="n">
        <f aca="false">F415*4</f>
        <v>72</v>
      </c>
      <c r="H415" s="10" t="n">
        <v>986608</v>
      </c>
      <c r="I415" s="11" t="s">
        <v>1366</v>
      </c>
      <c r="J415" s="12"/>
      <c r="K415" s="12"/>
      <c r="L415" s="12"/>
      <c r="M415" s="12"/>
      <c r="N415" s="12"/>
      <c r="O415" s="12"/>
      <c r="Q415" s="5"/>
      <c r="R415" s="13"/>
      <c r="S415" s="12"/>
      <c r="T415" s="14" t="s">
        <v>30</v>
      </c>
      <c r="U415" s="40"/>
      <c r="X415" s="15"/>
    </row>
    <row r="416" customFormat="false" ht="18" hidden="false" customHeight="true" outlineLevel="0" collapsed="false">
      <c r="A416" s="16" t="n">
        <v>414</v>
      </c>
      <c r="B416" s="17" t="s">
        <v>1314</v>
      </c>
      <c r="C416" s="26" t="s">
        <v>1367</v>
      </c>
      <c r="D416" s="8" t="s">
        <v>27</v>
      </c>
      <c r="E416" s="20" t="s">
        <v>1368</v>
      </c>
      <c r="F416" s="16" t="n">
        <v>9</v>
      </c>
      <c r="G416" s="16" t="n">
        <f aca="false">F416*4</f>
        <v>36</v>
      </c>
      <c r="H416" s="21" t="n">
        <v>296984</v>
      </c>
      <c r="I416" s="22" t="s">
        <v>1369</v>
      </c>
      <c r="J416" s="12"/>
      <c r="K416" s="12"/>
      <c r="L416" s="12"/>
      <c r="M416" s="12"/>
      <c r="N416" s="12"/>
      <c r="O416" s="12"/>
      <c r="Q416" s="16"/>
      <c r="R416" s="23"/>
      <c r="S416" s="12"/>
      <c r="T416" s="14" t="s">
        <v>30</v>
      </c>
      <c r="U416" s="30"/>
      <c r="X416" s="25"/>
    </row>
    <row r="417" customFormat="false" ht="18" hidden="false" customHeight="true" outlineLevel="0" collapsed="false">
      <c r="A417" s="5" t="n">
        <v>415</v>
      </c>
      <c r="B417" s="6" t="s">
        <v>1314</v>
      </c>
      <c r="C417" s="27" t="s">
        <v>1370</v>
      </c>
      <c r="D417" s="19" t="s">
        <v>32</v>
      </c>
      <c r="E417" s="9" t="s">
        <v>1371</v>
      </c>
      <c r="F417" s="5" t="n">
        <v>18</v>
      </c>
      <c r="G417" s="5" t="n">
        <f aca="false">F417*4</f>
        <v>72</v>
      </c>
      <c r="H417" s="10" t="n">
        <v>942431</v>
      </c>
      <c r="I417" s="11" t="s">
        <v>1372</v>
      </c>
      <c r="J417" s="12"/>
      <c r="K417" s="12"/>
      <c r="L417" s="12"/>
      <c r="M417" s="12"/>
      <c r="N417" s="12"/>
      <c r="O417" s="12"/>
      <c r="Q417" s="5"/>
      <c r="R417" s="13"/>
      <c r="S417" s="12"/>
      <c r="T417" s="14" t="s">
        <v>30</v>
      </c>
      <c r="U417" s="40" t="s">
        <v>1373</v>
      </c>
      <c r="V417" s="1" t="n">
        <v>1988</v>
      </c>
      <c r="W417" s="1" t="s">
        <v>1374</v>
      </c>
      <c r="X417" s="29"/>
    </row>
    <row r="418" customFormat="false" ht="18" hidden="false" customHeight="true" outlineLevel="0" collapsed="false">
      <c r="A418" s="16" t="n">
        <v>416</v>
      </c>
      <c r="B418" s="17" t="s">
        <v>1314</v>
      </c>
      <c r="C418" s="26" t="s">
        <v>1375</v>
      </c>
      <c r="D418" s="8" t="s">
        <v>27</v>
      </c>
      <c r="E418" s="20" t="s">
        <v>1376</v>
      </c>
      <c r="F418" s="16" t="n">
        <v>18</v>
      </c>
      <c r="G418" s="16" t="n">
        <f aca="false">F418*4</f>
        <v>72</v>
      </c>
      <c r="H418" s="21" t="n">
        <v>1331102</v>
      </c>
      <c r="I418" s="22" t="s">
        <v>1377</v>
      </c>
      <c r="J418" s="12" t="n">
        <v>4.8</v>
      </c>
      <c r="K418" s="12" t="n">
        <v>4.8</v>
      </c>
      <c r="L418" s="12" t="n">
        <v>4.7</v>
      </c>
      <c r="M418" s="12" t="n">
        <v>4.9</v>
      </c>
      <c r="N418" s="12" t="n">
        <v>4.7</v>
      </c>
      <c r="O418" s="12" t="n">
        <f aca="false">ROUND(AVERAGE(J418:N418),2)</f>
        <v>4.78</v>
      </c>
      <c r="P418" s="1" t="n">
        <v>102</v>
      </c>
      <c r="Q418" s="16"/>
      <c r="R418" s="23"/>
      <c r="S418" s="12"/>
      <c r="T418" s="14" t="s">
        <v>490</v>
      </c>
      <c r="U418" s="30" t="s">
        <v>665</v>
      </c>
      <c r="V418" s="1" t="n">
        <v>2013</v>
      </c>
      <c r="W418" s="1" t="s">
        <v>666</v>
      </c>
      <c r="X418" s="72" t="s">
        <v>1378</v>
      </c>
    </row>
    <row r="419" customFormat="false" ht="18" hidden="false" customHeight="true" outlineLevel="0" collapsed="false">
      <c r="A419" s="5" t="n">
        <v>417</v>
      </c>
      <c r="B419" s="6" t="s">
        <v>1314</v>
      </c>
      <c r="C419" s="27" t="s">
        <v>1379</v>
      </c>
      <c r="D419" s="8" t="s">
        <v>27</v>
      </c>
      <c r="E419" s="9" t="s">
        <v>1380</v>
      </c>
      <c r="F419" s="5" t="n">
        <v>9</v>
      </c>
      <c r="G419" s="5" t="n">
        <f aca="false">F419*4</f>
        <v>36</v>
      </c>
      <c r="H419" s="10" t="n">
        <v>391178</v>
      </c>
      <c r="I419" s="11" t="s">
        <v>1381</v>
      </c>
      <c r="J419" s="12"/>
      <c r="K419" s="12"/>
      <c r="L419" s="12"/>
      <c r="M419" s="12"/>
      <c r="N419" s="12"/>
      <c r="O419" s="12"/>
      <c r="Q419" s="5"/>
      <c r="R419" s="13"/>
      <c r="S419" s="12"/>
      <c r="T419" s="14" t="s">
        <v>30</v>
      </c>
      <c r="U419" s="40"/>
      <c r="X419" s="15"/>
    </row>
    <row r="420" customFormat="false" ht="18" hidden="false" customHeight="true" outlineLevel="0" collapsed="false">
      <c r="A420" s="16" t="n">
        <v>418</v>
      </c>
      <c r="B420" s="17" t="s">
        <v>1314</v>
      </c>
      <c r="C420" s="26" t="s">
        <v>1382</v>
      </c>
      <c r="D420" s="8" t="s">
        <v>27</v>
      </c>
      <c r="E420" s="20" t="s">
        <v>1383</v>
      </c>
      <c r="F420" s="16" t="n">
        <v>27</v>
      </c>
      <c r="G420" s="16" t="n">
        <f aca="false">F420*4</f>
        <v>108</v>
      </c>
      <c r="H420" s="21" t="n">
        <v>1221929</v>
      </c>
      <c r="I420" s="22" t="s">
        <v>1384</v>
      </c>
      <c r="J420" s="12"/>
      <c r="K420" s="12"/>
      <c r="L420" s="12"/>
      <c r="M420" s="12"/>
      <c r="N420" s="12"/>
      <c r="O420" s="12"/>
      <c r="Q420" s="16"/>
      <c r="R420" s="23"/>
      <c r="S420" s="12"/>
      <c r="T420" s="14" t="s">
        <v>30</v>
      </c>
      <c r="U420" s="30"/>
      <c r="X420" s="25"/>
    </row>
    <row r="421" customFormat="false" ht="18" hidden="false" customHeight="true" outlineLevel="0" collapsed="false">
      <c r="A421" s="5" t="n">
        <v>419</v>
      </c>
      <c r="B421" s="6" t="s">
        <v>1314</v>
      </c>
      <c r="C421" s="27" t="s">
        <v>1385</v>
      </c>
      <c r="D421" s="8" t="s">
        <v>27</v>
      </c>
      <c r="E421" s="9" t="s">
        <v>1386</v>
      </c>
      <c r="F421" s="5" t="n">
        <v>9</v>
      </c>
      <c r="G421" s="5" t="n">
        <f aca="false">F421*4</f>
        <v>36</v>
      </c>
      <c r="H421" s="10" t="n">
        <v>378840</v>
      </c>
      <c r="I421" s="11" t="s">
        <v>1387</v>
      </c>
      <c r="J421" s="12"/>
      <c r="K421" s="12"/>
      <c r="L421" s="12"/>
      <c r="M421" s="12"/>
      <c r="N421" s="12"/>
      <c r="O421" s="12"/>
      <c r="Q421" s="5"/>
      <c r="R421" s="13"/>
      <c r="S421" s="12"/>
      <c r="T421" s="14" t="s">
        <v>30</v>
      </c>
      <c r="U421" s="40"/>
      <c r="X421" s="15"/>
    </row>
    <row r="422" customFormat="false" ht="18" hidden="false" customHeight="true" outlineLevel="0" collapsed="false">
      <c r="A422" s="16" t="n">
        <v>420</v>
      </c>
      <c r="B422" s="17" t="s">
        <v>1314</v>
      </c>
      <c r="C422" s="26" t="s">
        <v>1388</v>
      </c>
      <c r="D422" s="8" t="s">
        <v>27</v>
      </c>
      <c r="E422" s="20" t="s">
        <v>1386</v>
      </c>
      <c r="F422" s="16" t="n">
        <v>9</v>
      </c>
      <c r="G422" s="16" t="n">
        <f aca="false">F422*4</f>
        <v>36</v>
      </c>
      <c r="H422" s="21" t="n">
        <v>377429</v>
      </c>
      <c r="I422" s="22" t="s">
        <v>1387</v>
      </c>
      <c r="J422" s="12"/>
      <c r="K422" s="12"/>
      <c r="L422" s="12"/>
      <c r="M422" s="12"/>
      <c r="N422" s="12"/>
      <c r="O422" s="12"/>
      <c r="Q422" s="16"/>
      <c r="R422" s="23"/>
      <c r="S422" s="12"/>
      <c r="T422" s="14" t="s">
        <v>30</v>
      </c>
      <c r="U422" s="30"/>
      <c r="X422" s="25"/>
    </row>
    <row r="423" customFormat="false" ht="18" hidden="false" customHeight="true" outlineLevel="0" collapsed="false">
      <c r="A423" s="5" t="n">
        <v>421</v>
      </c>
      <c r="B423" s="6" t="s">
        <v>1314</v>
      </c>
      <c r="C423" s="27" t="s">
        <v>1389</v>
      </c>
      <c r="D423" s="8" t="s">
        <v>27</v>
      </c>
      <c r="E423" s="9" t="s">
        <v>1390</v>
      </c>
      <c r="F423" s="5" t="n">
        <v>27</v>
      </c>
      <c r="G423" s="5" t="n">
        <f aca="false">F423*4</f>
        <v>108</v>
      </c>
      <c r="H423" s="10" t="n">
        <v>1399432</v>
      </c>
      <c r="I423" s="11" t="s">
        <v>1391</v>
      </c>
      <c r="J423" s="12"/>
      <c r="K423" s="12"/>
      <c r="L423" s="12"/>
      <c r="M423" s="12"/>
      <c r="N423" s="12"/>
      <c r="O423" s="12"/>
      <c r="Q423" s="5"/>
      <c r="R423" s="13"/>
      <c r="S423" s="12"/>
      <c r="T423" s="14" t="s">
        <v>30</v>
      </c>
      <c r="U423" s="40"/>
      <c r="X423" s="15"/>
    </row>
    <row r="424" customFormat="false" ht="18" hidden="false" customHeight="true" outlineLevel="0" collapsed="false">
      <c r="A424" s="16" t="n">
        <v>422</v>
      </c>
      <c r="B424" s="17" t="s">
        <v>1314</v>
      </c>
      <c r="C424" s="26" t="s">
        <v>1392</v>
      </c>
      <c r="D424" s="8" t="s">
        <v>27</v>
      </c>
      <c r="E424" s="20" t="s">
        <v>1393</v>
      </c>
      <c r="F424" s="16" t="n">
        <v>36</v>
      </c>
      <c r="G424" s="16" t="n">
        <f aca="false">F424*4</f>
        <v>144</v>
      </c>
      <c r="H424" s="21" t="n">
        <v>1406363</v>
      </c>
      <c r="I424" s="22" t="s">
        <v>1394</v>
      </c>
      <c r="J424" s="12"/>
      <c r="K424" s="12"/>
      <c r="L424" s="12"/>
      <c r="M424" s="12"/>
      <c r="N424" s="12"/>
      <c r="O424" s="12"/>
      <c r="Q424" s="16"/>
      <c r="R424" s="23"/>
      <c r="S424" s="12"/>
      <c r="T424" s="14" t="s">
        <v>30</v>
      </c>
      <c r="U424" s="30" t="s">
        <v>1395</v>
      </c>
      <c r="V424" s="1" t="n">
        <v>2008</v>
      </c>
      <c r="W424" s="1" t="s">
        <v>1396</v>
      </c>
      <c r="X424" s="25"/>
    </row>
    <row r="425" customFormat="false" ht="18" hidden="false" customHeight="true" outlineLevel="0" collapsed="false">
      <c r="A425" s="5" t="n">
        <v>423</v>
      </c>
      <c r="B425" s="6" t="s">
        <v>1314</v>
      </c>
      <c r="C425" s="27" t="s">
        <v>1397</v>
      </c>
      <c r="D425" s="8" t="s">
        <v>27</v>
      </c>
      <c r="E425" s="9" t="s">
        <v>1398</v>
      </c>
      <c r="F425" s="5" t="n">
        <v>18</v>
      </c>
      <c r="G425" s="5" t="n">
        <f aca="false">F425*4</f>
        <v>72</v>
      </c>
      <c r="H425" s="10" t="n">
        <v>938811</v>
      </c>
      <c r="I425" s="11" t="s">
        <v>1399</v>
      </c>
      <c r="J425" s="12"/>
      <c r="K425" s="12"/>
      <c r="L425" s="12"/>
      <c r="M425" s="12"/>
      <c r="N425" s="12"/>
      <c r="O425" s="12"/>
      <c r="Q425" s="5"/>
      <c r="R425" s="13"/>
      <c r="S425" s="12"/>
      <c r="T425" s="14" t="s">
        <v>30</v>
      </c>
      <c r="U425" s="40" t="s">
        <v>1400</v>
      </c>
      <c r="V425" s="1" t="n">
        <v>2005</v>
      </c>
      <c r="W425" s="1" t="s">
        <v>1401</v>
      </c>
      <c r="X425" s="29"/>
    </row>
    <row r="426" customFormat="false" ht="18" hidden="false" customHeight="true" outlineLevel="0" collapsed="false">
      <c r="A426" s="16" t="n">
        <v>424</v>
      </c>
      <c r="B426" s="17" t="s">
        <v>1314</v>
      </c>
      <c r="C426" s="26" t="s">
        <v>1402</v>
      </c>
      <c r="D426" s="8" t="s">
        <v>27</v>
      </c>
      <c r="E426" s="20" t="s">
        <v>1403</v>
      </c>
      <c r="F426" s="16" t="n">
        <v>27</v>
      </c>
      <c r="G426" s="16" t="n">
        <f aca="false">F426*4</f>
        <v>108</v>
      </c>
      <c r="H426" s="21" t="n">
        <v>1599832</v>
      </c>
      <c r="I426" s="22" t="s">
        <v>1404</v>
      </c>
      <c r="J426" s="12"/>
      <c r="K426" s="12"/>
      <c r="L426" s="12"/>
      <c r="M426" s="12"/>
      <c r="N426" s="12"/>
      <c r="O426" s="12"/>
      <c r="Q426" s="16"/>
      <c r="R426" s="23"/>
      <c r="S426" s="12"/>
      <c r="T426" s="14" t="s">
        <v>30</v>
      </c>
      <c r="U426" s="30" t="s">
        <v>1400</v>
      </c>
      <c r="V426" s="1" t="n">
        <v>2005</v>
      </c>
      <c r="W426" s="1" t="s">
        <v>1401</v>
      </c>
      <c r="X426" s="25"/>
    </row>
    <row r="427" customFormat="false" ht="18" hidden="false" customHeight="true" outlineLevel="0" collapsed="false">
      <c r="A427" s="5" t="n">
        <v>425</v>
      </c>
      <c r="B427" s="6" t="s">
        <v>1314</v>
      </c>
      <c r="C427" s="27" t="s">
        <v>1405</v>
      </c>
      <c r="D427" s="19" t="s">
        <v>32</v>
      </c>
      <c r="E427" s="9" t="s">
        <v>1406</v>
      </c>
      <c r="F427" s="5" t="n">
        <v>18</v>
      </c>
      <c r="G427" s="5" t="n">
        <f aca="false">F427*4</f>
        <v>72</v>
      </c>
      <c r="H427" s="10" t="n">
        <v>920431</v>
      </c>
      <c r="I427" s="11" t="s">
        <v>1407</v>
      </c>
      <c r="J427" s="12"/>
      <c r="K427" s="12"/>
      <c r="L427" s="12"/>
      <c r="M427" s="12"/>
      <c r="N427" s="12"/>
      <c r="O427" s="12"/>
      <c r="Q427" s="5"/>
      <c r="R427" s="13"/>
      <c r="S427" s="12"/>
      <c r="T427" s="14" t="s">
        <v>30</v>
      </c>
      <c r="U427" s="40"/>
      <c r="X427" s="15"/>
    </row>
    <row r="428" customFormat="false" ht="18" hidden="false" customHeight="true" outlineLevel="0" collapsed="false">
      <c r="A428" s="16" t="n">
        <v>426</v>
      </c>
      <c r="B428" s="17" t="s">
        <v>1314</v>
      </c>
      <c r="C428" s="26" t="s">
        <v>1408</v>
      </c>
      <c r="D428" s="19" t="s">
        <v>32</v>
      </c>
      <c r="E428" s="20" t="s">
        <v>1409</v>
      </c>
      <c r="F428" s="16" t="n">
        <v>27</v>
      </c>
      <c r="G428" s="16" t="n">
        <f aca="false">F428*4</f>
        <v>108</v>
      </c>
      <c r="H428" s="21" t="n">
        <v>1680668</v>
      </c>
      <c r="I428" s="22" t="s">
        <v>1410</v>
      </c>
      <c r="J428" s="12"/>
      <c r="K428" s="12"/>
      <c r="L428" s="12"/>
      <c r="M428" s="12"/>
      <c r="N428" s="12"/>
      <c r="O428" s="12"/>
      <c r="Q428" s="16"/>
      <c r="R428" s="23"/>
      <c r="S428" s="12"/>
      <c r="T428" s="14" t="s">
        <v>30</v>
      </c>
      <c r="U428" s="30"/>
      <c r="X428" s="25"/>
    </row>
    <row r="429" customFormat="false" ht="18" hidden="false" customHeight="true" outlineLevel="0" collapsed="false">
      <c r="A429" s="5" t="n">
        <v>427</v>
      </c>
      <c r="B429" s="6" t="s">
        <v>1314</v>
      </c>
      <c r="C429" s="27" t="s">
        <v>1411</v>
      </c>
      <c r="D429" s="19" t="s">
        <v>32</v>
      </c>
      <c r="E429" s="9" t="s">
        <v>1412</v>
      </c>
      <c r="F429" s="5" t="n">
        <v>27</v>
      </c>
      <c r="G429" s="5" t="n">
        <f aca="false">F429*4</f>
        <v>108</v>
      </c>
      <c r="H429" s="10" t="n">
        <v>1635886</v>
      </c>
      <c r="I429" s="11" t="s">
        <v>1394</v>
      </c>
      <c r="J429" s="12"/>
      <c r="K429" s="12"/>
      <c r="L429" s="12"/>
      <c r="M429" s="12"/>
      <c r="N429" s="12"/>
      <c r="O429" s="12"/>
      <c r="Q429" s="5"/>
      <c r="R429" s="13"/>
      <c r="S429" s="12"/>
      <c r="T429" s="14" t="s">
        <v>30</v>
      </c>
      <c r="U429" s="40"/>
      <c r="X429" s="15"/>
    </row>
    <row r="430" customFormat="false" ht="18" hidden="false" customHeight="true" outlineLevel="0" collapsed="false">
      <c r="A430" s="16" t="n">
        <v>428</v>
      </c>
      <c r="B430" s="17" t="s">
        <v>1314</v>
      </c>
      <c r="C430" s="26" t="s">
        <v>1413</v>
      </c>
      <c r="D430" s="8" t="s">
        <v>27</v>
      </c>
      <c r="E430" s="20" t="s">
        <v>1414</v>
      </c>
      <c r="F430" s="16" t="n">
        <v>27</v>
      </c>
      <c r="G430" s="16" t="n">
        <f aca="false">F430*4</f>
        <v>108</v>
      </c>
      <c r="H430" s="21" t="n">
        <v>1437044</v>
      </c>
      <c r="I430" s="22" t="s">
        <v>1415</v>
      </c>
      <c r="J430" s="12"/>
      <c r="K430" s="12"/>
      <c r="L430" s="12"/>
      <c r="M430" s="12"/>
      <c r="N430" s="12"/>
      <c r="O430" s="12"/>
      <c r="Q430" s="16"/>
      <c r="R430" s="23"/>
      <c r="S430" s="12"/>
      <c r="T430" s="14" t="s">
        <v>30</v>
      </c>
      <c r="U430" s="30"/>
      <c r="X430" s="25"/>
    </row>
    <row r="431" customFormat="false" ht="18" hidden="false" customHeight="true" outlineLevel="0" collapsed="false">
      <c r="A431" s="5" t="n">
        <v>429</v>
      </c>
      <c r="B431" s="6" t="s">
        <v>1314</v>
      </c>
      <c r="C431" s="27" t="s">
        <v>1416</v>
      </c>
      <c r="D431" s="8" t="s">
        <v>27</v>
      </c>
      <c r="E431" s="9" t="s">
        <v>1417</v>
      </c>
      <c r="F431" s="5" t="n">
        <v>9</v>
      </c>
      <c r="G431" s="5" t="n">
        <f aca="false">F431*4</f>
        <v>36</v>
      </c>
      <c r="H431" s="10" t="n">
        <v>235262</v>
      </c>
      <c r="I431" s="11" t="s">
        <v>1418</v>
      </c>
      <c r="J431" s="12"/>
      <c r="K431" s="12"/>
      <c r="L431" s="12"/>
      <c r="M431" s="12"/>
      <c r="N431" s="12"/>
      <c r="O431" s="12"/>
      <c r="Q431" s="5"/>
      <c r="R431" s="13"/>
      <c r="S431" s="12"/>
      <c r="T431" s="14" t="s">
        <v>30</v>
      </c>
      <c r="U431" s="40"/>
      <c r="X431" s="15"/>
    </row>
    <row r="432" customFormat="false" ht="18" hidden="false" customHeight="true" outlineLevel="0" collapsed="false">
      <c r="A432" s="16" t="n">
        <v>430</v>
      </c>
      <c r="B432" s="17" t="s">
        <v>1314</v>
      </c>
      <c r="C432" s="26" t="s">
        <v>1419</v>
      </c>
      <c r="D432" s="8" t="s">
        <v>27</v>
      </c>
      <c r="E432" s="20" t="s">
        <v>1420</v>
      </c>
      <c r="F432" s="16" t="n">
        <v>18</v>
      </c>
      <c r="G432" s="16" t="n">
        <f aca="false">F432*4</f>
        <v>72</v>
      </c>
      <c r="H432" s="21" t="n">
        <v>1068481</v>
      </c>
      <c r="I432" s="22" t="s">
        <v>1421</v>
      </c>
      <c r="J432" s="12"/>
      <c r="K432" s="12"/>
      <c r="L432" s="12"/>
      <c r="M432" s="12"/>
      <c r="N432" s="12"/>
      <c r="O432" s="12"/>
      <c r="Q432" s="16"/>
      <c r="R432" s="23"/>
      <c r="S432" s="12"/>
      <c r="T432" s="14" t="s">
        <v>30</v>
      </c>
      <c r="U432" s="30"/>
      <c r="X432" s="25"/>
    </row>
    <row r="433" customFormat="false" ht="18" hidden="false" customHeight="true" outlineLevel="0" collapsed="false">
      <c r="A433" s="5" t="n">
        <v>431</v>
      </c>
      <c r="B433" s="6" t="s">
        <v>1314</v>
      </c>
      <c r="C433" s="27" t="s">
        <v>1422</v>
      </c>
      <c r="D433" s="19" t="s">
        <v>32</v>
      </c>
      <c r="E433" s="9" t="s">
        <v>1423</v>
      </c>
      <c r="F433" s="5" t="n">
        <v>18</v>
      </c>
      <c r="G433" s="5" t="n">
        <f aca="false">F433*4</f>
        <v>72</v>
      </c>
      <c r="H433" s="10" t="n">
        <v>1048959</v>
      </c>
      <c r="I433" s="11" t="s">
        <v>1424</v>
      </c>
      <c r="J433" s="12"/>
      <c r="K433" s="12"/>
      <c r="L433" s="12"/>
      <c r="M433" s="12"/>
      <c r="N433" s="12"/>
      <c r="O433" s="12"/>
      <c r="Q433" s="5"/>
      <c r="R433" s="13"/>
      <c r="S433" s="12"/>
      <c r="T433" s="14" t="s">
        <v>30</v>
      </c>
      <c r="U433" s="40"/>
      <c r="X433" s="15"/>
    </row>
    <row r="434" customFormat="false" ht="18" hidden="false" customHeight="true" outlineLevel="0" collapsed="false">
      <c r="A434" s="16" t="n">
        <v>432</v>
      </c>
      <c r="B434" s="17" t="s">
        <v>1314</v>
      </c>
      <c r="C434" s="26" t="s">
        <v>1425</v>
      </c>
      <c r="D434" s="8" t="s">
        <v>27</v>
      </c>
      <c r="E434" s="20" t="s">
        <v>1426</v>
      </c>
      <c r="F434" s="16" t="n">
        <v>27</v>
      </c>
      <c r="G434" s="16" t="n">
        <f aca="false">F434*4</f>
        <v>108</v>
      </c>
      <c r="H434" s="21" t="n">
        <v>1814016</v>
      </c>
      <c r="I434" s="22" t="s">
        <v>1427</v>
      </c>
      <c r="J434" s="12"/>
      <c r="K434" s="12"/>
      <c r="L434" s="12"/>
      <c r="M434" s="12"/>
      <c r="N434" s="12"/>
      <c r="O434" s="12"/>
      <c r="Q434" s="16"/>
      <c r="R434" s="23"/>
      <c r="S434" s="12"/>
      <c r="T434" s="14" t="s">
        <v>30</v>
      </c>
      <c r="U434" s="30"/>
      <c r="X434" s="25"/>
    </row>
    <row r="435" customFormat="false" ht="18" hidden="false" customHeight="true" outlineLevel="0" collapsed="false">
      <c r="A435" s="5" t="n">
        <v>433</v>
      </c>
      <c r="B435" s="6" t="s">
        <v>1314</v>
      </c>
      <c r="C435" s="27" t="s">
        <v>1428</v>
      </c>
      <c r="D435" s="19" t="s">
        <v>32</v>
      </c>
      <c r="E435" s="9" t="s">
        <v>1429</v>
      </c>
      <c r="F435" s="5" t="n">
        <v>36</v>
      </c>
      <c r="G435" s="5" t="n">
        <f aca="false">F435*4</f>
        <v>144</v>
      </c>
      <c r="H435" s="10" t="n">
        <v>2198232</v>
      </c>
      <c r="I435" s="11" t="s">
        <v>1430</v>
      </c>
      <c r="J435" s="12"/>
      <c r="K435" s="12"/>
      <c r="L435" s="12"/>
      <c r="M435" s="12"/>
      <c r="N435" s="12"/>
      <c r="O435" s="12"/>
      <c r="Q435" s="5"/>
      <c r="R435" s="13"/>
      <c r="S435" s="12"/>
      <c r="T435" s="14" t="s">
        <v>30</v>
      </c>
      <c r="U435" s="40" t="s">
        <v>1431</v>
      </c>
      <c r="V435" s="1" t="n">
        <v>2004</v>
      </c>
      <c r="W435" s="1" t="s">
        <v>1432</v>
      </c>
      <c r="X435" s="29"/>
    </row>
    <row r="436" customFormat="false" ht="18" hidden="false" customHeight="true" outlineLevel="0" collapsed="false">
      <c r="A436" s="16" t="n">
        <v>434</v>
      </c>
      <c r="B436" s="17" t="s">
        <v>1314</v>
      </c>
      <c r="C436" s="26" t="s">
        <v>1433</v>
      </c>
      <c r="D436" s="8" t="s">
        <v>27</v>
      </c>
      <c r="E436" s="20" t="s">
        <v>1434</v>
      </c>
      <c r="F436" s="16" t="n">
        <v>18</v>
      </c>
      <c r="G436" s="16" t="n">
        <f aca="false">F436*4</f>
        <v>72</v>
      </c>
      <c r="H436" s="21" t="n">
        <v>983676</v>
      </c>
      <c r="I436" s="22" t="s">
        <v>1435</v>
      </c>
      <c r="J436" s="12"/>
      <c r="K436" s="12"/>
      <c r="L436" s="12"/>
      <c r="M436" s="12"/>
      <c r="N436" s="12"/>
      <c r="O436" s="12"/>
      <c r="Q436" s="16"/>
      <c r="R436" s="23"/>
      <c r="S436" s="12"/>
      <c r="T436" s="14" t="s">
        <v>30</v>
      </c>
      <c r="U436" s="30"/>
      <c r="X436" s="25"/>
    </row>
    <row r="437" customFormat="false" ht="18" hidden="false" customHeight="true" outlineLevel="0" collapsed="false">
      <c r="A437" s="5" t="n">
        <v>435</v>
      </c>
      <c r="B437" s="6" t="s">
        <v>1314</v>
      </c>
      <c r="C437" s="27" t="s">
        <v>1436</v>
      </c>
      <c r="D437" s="19" t="s">
        <v>32</v>
      </c>
      <c r="E437" s="9" t="s">
        <v>1437</v>
      </c>
      <c r="F437" s="5" t="n">
        <v>18</v>
      </c>
      <c r="G437" s="5" t="n">
        <f aca="false">F437*4</f>
        <v>72</v>
      </c>
      <c r="H437" s="10" t="n">
        <v>1012743</v>
      </c>
      <c r="I437" s="11" t="s">
        <v>1438</v>
      </c>
      <c r="J437" s="12"/>
      <c r="K437" s="12"/>
      <c r="L437" s="12"/>
      <c r="M437" s="12"/>
      <c r="N437" s="12"/>
      <c r="O437" s="12"/>
      <c r="Q437" s="5"/>
      <c r="R437" s="13"/>
      <c r="S437" s="12"/>
      <c r="T437" s="14" t="s">
        <v>30</v>
      </c>
      <c r="U437" s="40" t="s">
        <v>1439</v>
      </c>
      <c r="V437" s="1" t="n">
        <v>2009</v>
      </c>
      <c r="W437" s="1" t="s">
        <v>166</v>
      </c>
      <c r="X437" s="29"/>
    </row>
    <row r="438" customFormat="false" ht="18" hidden="false" customHeight="true" outlineLevel="0" collapsed="false">
      <c r="A438" s="46" t="n">
        <v>436</v>
      </c>
      <c r="B438" s="47" t="s">
        <v>1440</v>
      </c>
      <c r="C438" s="48" t="s">
        <v>1441</v>
      </c>
      <c r="D438" s="49" t="s">
        <v>27</v>
      </c>
      <c r="E438" s="50" t="s">
        <v>1442</v>
      </c>
      <c r="F438" s="46" t="n">
        <v>9</v>
      </c>
      <c r="G438" s="46" t="n">
        <f aca="false">F438*4</f>
        <v>36</v>
      </c>
      <c r="H438" s="51" t="n">
        <v>384921</v>
      </c>
      <c r="I438" s="52" t="s">
        <v>1443</v>
      </c>
      <c r="J438" s="53"/>
      <c r="K438" s="53"/>
      <c r="L438" s="53"/>
      <c r="M438" s="53"/>
      <c r="N438" s="53"/>
      <c r="O438" s="53"/>
      <c r="Q438" s="46"/>
      <c r="R438" s="54"/>
      <c r="S438" s="53"/>
      <c r="T438" s="55" t="s">
        <v>30</v>
      </c>
      <c r="U438" s="52"/>
      <c r="X438" s="56"/>
    </row>
    <row r="439" customFormat="false" ht="18" hidden="false" customHeight="true" outlineLevel="0" collapsed="false">
      <c r="A439" s="5" t="n">
        <v>437</v>
      </c>
      <c r="B439" s="6" t="s">
        <v>1440</v>
      </c>
      <c r="C439" s="27" t="s">
        <v>1444</v>
      </c>
      <c r="D439" s="19" t="s">
        <v>32</v>
      </c>
      <c r="E439" s="9" t="s">
        <v>1445</v>
      </c>
      <c r="F439" s="5" t="n">
        <v>18</v>
      </c>
      <c r="G439" s="5" t="n">
        <f aca="false">F439*4</f>
        <v>72</v>
      </c>
      <c r="H439" s="10" t="n">
        <v>1072081</v>
      </c>
      <c r="I439" s="11" t="s">
        <v>1446</v>
      </c>
      <c r="J439" s="12"/>
      <c r="K439" s="12"/>
      <c r="L439" s="12"/>
      <c r="M439" s="12"/>
      <c r="N439" s="12"/>
      <c r="O439" s="12"/>
      <c r="Q439" s="5"/>
      <c r="R439" s="13"/>
      <c r="S439" s="12"/>
      <c r="T439" s="14" t="s">
        <v>30</v>
      </c>
      <c r="U439" s="40" t="s">
        <v>1447</v>
      </c>
      <c r="V439" s="1" t="n">
        <v>1971</v>
      </c>
      <c r="W439" s="1" t="s">
        <v>1448</v>
      </c>
      <c r="X439" s="29"/>
    </row>
    <row r="440" customFormat="false" ht="18" hidden="false" customHeight="true" outlineLevel="0" collapsed="false">
      <c r="A440" s="16" t="n">
        <v>438</v>
      </c>
      <c r="B440" s="17" t="s">
        <v>1440</v>
      </c>
      <c r="C440" s="26" t="s">
        <v>1449</v>
      </c>
      <c r="D440" s="19" t="s">
        <v>32</v>
      </c>
      <c r="E440" s="20" t="s">
        <v>1450</v>
      </c>
      <c r="F440" s="16" t="n">
        <v>27</v>
      </c>
      <c r="G440" s="16" t="n">
        <f aca="false">F440*4</f>
        <v>108</v>
      </c>
      <c r="H440" s="21" t="n">
        <v>1408628</v>
      </c>
      <c r="I440" s="22" t="s">
        <v>1451</v>
      </c>
      <c r="J440" s="12"/>
      <c r="K440" s="12"/>
      <c r="L440" s="12"/>
      <c r="M440" s="12"/>
      <c r="N440" s="12"/>
      <c r="O440" s="12"/>
      <c r="Q440" s="16"/>
      <c r="R440" s="23"/>
      <c r="S440" s="12"/>
      <c r="T440" s="14" t="s">
        <v>30</v>
      </c>
      <c r="U440" s="30"/>
      <c r="X440" s="25"/>
    </row>
    <row r="441" customFormat="false" ht="18" hidden="false" customHeight="true" outlineLevel="0" collapsed="false">
      <c r="A441" s="5" t="n">
        <v>439</v>
      </c>
      <c r="B441" s="6" t="s">
        <v>1440</v>
      </c>
      <c r="C441" s="27" t="s">
        <v>1452</v>
      </c>
      <c r="D441" s="19" t="s">
        <v>32</v>
      </c>
      <c r="E441" s="9" t="s">
        <v>1453</v>
      </c>
      <c r="F441" s="5" t="n">
        <v>18</v>
      </c>
      <c r="G441" s="5" t="n">
        <f aca="false">F441*4</f>
        <v>72</v>
      </c>
      <c r="H441" s="10" t="n">
        <v>971759</v>
      </c>
      <c r="I441" s="40" t="s">
        <v>1454</v>
      </c>
      <c r="J441" s="12"/>
      <c r="K441" s="12"/>
      <c r="L441" s="12"/>
      <c r="M441" s="12"/>
      <c r="N441" s="12"/>
      <c r="O441" s="12"/>
      <c r="Q441" s="5"/>
      <c r="R441" s="13"/>
      <c r="S441" s="12"/>
      <c r="T441" s="14" t="s">
        <v>30</v>
      </c>
      <c r="U441" s="40" t="s">
        <v>1455</v>
      </c>
      <c r="V441" s="1" t="n">
        <v>1970</v>
      </c>
      <c r="W441" s="1" t="s">
        <v>1456</v>
      </c>
      <c r="X441" s="29"/>
    </row>
    <row r="442" customFormat="false" ht="18" hidden="false" customHeight="true" outlineLevel="0" collapsed="false">
      <c r="A442" s="16" t="n">
        <v>440</v>
      </c>
      <c r="B442" s="17" t="s">
        <v>1440</v>
      </c>
      <c r="C442" s="26" t="s">
        <v>1457</v>
      </c>
      <c r="D442" s="8" t="s">
        <v>27</v>
      </c>
      <c r="E442" s="20" t="s">
        <v>1458</v>
      </c>
      <c r="F442" s="16" t="n">
        <v>18</v>
      </c>
      <c r="G442" s="16" t="n">
        <f aca="false">F442*4</f>
        <v>72</v>
      </c>
      <c r="H442" s="21" t="n">
        <v>1129738</v>
      </c>
      <c r="I442" s="22" t="s">
        <v>1459</v>
      </c>
      <c r="J442" s="12"/>
      <c r="K442" s="12"/>
      <c r="L442" s="12"/>
      <c r="M442" s="12"/>
      <c r="N442" s="12"/>
      <c r="O442" s="12"/>
      <c r="Q442" s="16"/>
      <c r="R442" s="23"/>
      <c r="S442" s="12"/>
      <c r="T442" s="14" t="s">
        <v>30</v>
      </c>
      <c r="U442" s="30"/>
      <c r="X442" s="25"/>
    </row>
    <row r="443" customFormat="false" ht="18" hidden="false" customHeight="true" outlineLevel="0" collapsed="false">
      <c r="A443" s="5" t="n">
        <v>441</v>
      </c>
      <c r="B443" s="6" t="s">
        <v>1440</v>
      </c>
      <c r="C443" s="27" t="s">
        <v>1460</v>
      </c>
      <c r="D443" s="19" t="s">
        <v>32</v>
      </c>
      <c r="E443" s="9" t="s">
        <v>1461</v>
      </c>
      <c r="F443" s="5" t="n">
        <v>27</v>
      </c>
      <c r="G443" s="5" t="n">
        <f aca="false">F443*4</f>
        <v>108</v>
      </c>
      <c r="H443" s="10" t="n">
        <v>1450261</v>
      </c>
      <c r="I443" s="11" t="s">
        <v>1462</v>
      </c>
      <c r="J443" s="12"/>
      <c r="K443" s="12"/>
      <c r="L443" s="12"/>
      <c r="M443" s="12"/>
      <c r="N443" s="12"/>
      <c r="O443" s="12"/>
      <c r="Q443" s="5"/>
      <c r="R443" s="13"/>
      <c r="S443" s="12"/>
      <c r="T443" s="14" t="s">
        <v>30</v>
      </c>
      <c r="U443" s="40" t="s">
        <v>1463</v>
      </c>
      <c r="V443" s="1" t="n">
        <v>2004</v>
      </c>
      <c r="W443" s="1" t="s">
        <v>1464</v>
      </c>
      <c r="X443" s="29"/>
    </row>
    <row r="444" customFormat="false" ht="18" hidden="false" customHeight="true" outlineLevel="0" collapsed="false">
      <c r="A444" s="16" t="n">
        <v>442</v>
      </c>
      <c r="B444" s="17" t="s">
        <v>1440</v>
      </c>
      <c r="C444" s="26" t="s">
        <v>1465</v>
      </c>
      <c r="D444" s="8" t="s">
        <v>27</v>
      </c>
      <c r="E444" s="20" t="s">
        <v>1466</v>
      </c>
      <c r="F444" s="16" t="n">
        <v>9</v>
      </c>
      <c r="G444" s="16" t="n">
        <f aca="false">F444*4</f>
        <v>36</v>
      </c>
      <c r="H444" s="21" t="n">
        <v>375104</v>
      </c>
      <c r="I444" s="30" t="s">
        <v>1467</v>
      </c>
      <c r="J444" s="12"/>
      <c r="K444" s="12"/>
      <c r="L444" s="12"/>
      <c r="M444" s="12"/>
      <c r="N444" s="12"/>
      <c r="O444" s="12"/>
      <c r="Q444" s="16"/>
      <c r="R444" s="23"/>
      <c r="S444" s="12"/>
      <c r="T444" s="14" t="s">
        <v>30</v>
      </c>
      <c r="U444" s="30"/>
      <c r="X444" s="25"/>
    </row>
    <row r="445" customFormat="false" ht="18" hidden="false" customHeight="true" outlineLevel="0" collapsed="false">
      <c r="A445" s="5" t="n">
        <v>443</v>
      </c>
      <c r="B445" s="6" t="s">
        <v>1440</v>
      </c>
      <c r="C445" s="27" t="s">
        <v>1468</v>
      </c>
      <c r="D445" s="8" t="s">
        <v>27</v>
      </c>
      <c r="E445" s="9" t="s">
        <v>1469</v>
      </c>
      <c r="F445" s="5" t="n">
        <v>9</v>
      </c>
      <c r="G445" s="5" t="n">
        <f aca="false">F445*4</f>
        <v>36</v>
      </c>
      <c r="H445" s="10" t="n">
        <v>170913</v>
      </c>
      <c r="I445" s="11" t="s">
        <v>1470</v>
      </c>
      <c r="J445" s="12"/>
      <c r="K445" s="12"/>
      <c r="L445" s="12"/>
      <c r="M445" s="12"/>
      <c r="N445" s="12"/>
      <c r="O445" s="12"/>
      <c r="Q445" s="5"/>
      <c r="R445" s="13"/>
      <c r="S445" s="12"/>
      <c r="T445" s="14" t="s">
        <v>30</v>
      </c>
      <c r="U445" s="40"/>
      <c r="X445" s="15"/>
    </row>
    <row r="446" customFormat="false" ht="18" hidden="false" customHeight="true" outlineLevel="0" collapsed="false">
      <c r="A446" s="16" t="n">
        <v>444</v>
      </c>
      <c r="B446" s="17" t="s">
        <v>1440</v>
      </c>
      <c r="C446" s="26" t="s">
        <v>1471</v>
      </c>
      <c r="D446" s="19" t="s">
        <v>32</v>
      </c>
      <c r="E446" s="20" t="s">
        <v>1472</v>
      </c>
      <c r="F446" s="16" t="n">
        <v>18</v>
      </c>
      <c r="G446" s="16" t="n">
        <f aca="false">F446*4</f>
        <v>72</v>
      </c>
      <c r="H446" s="21" t="n">
        <v>846781</v>
      </c>
      <c r="I446" s="22" t="s">
        <v>1473</v>
      </c>
      <c r="J446" s="12"/>
      <c r="K446" s="12"/>
      <c r="L446" s="12"/>
      <c r="M446" s="12"/>
      <c r="N446" s="12"/>
      <c r="O446" s="12"/>
      <c r="Q446" s="16"/>
      <c r="R446" s="23"/>
      <c r="S446" s="12"/>
      <c r="T446" s="14" t="s">
        <v>30</v>
      </c>
      <c r="U446" s="30" t="s">
        <v>1474</v>
      </c>
      <c r="V446" s="1" t="n">
        <v>2006</v>
      </c>
      <c r="W446" s="1" t="s">
        <v>1475</v>
      </c>
      <c r="X446" s="25"/>
    </row>
    <row r="447" customFormat="false" ht="18" hidden="false" customHeight="true" outlineLevel="0" collapsed="false">
      <c r="A447" s="5" t="n">
        <v>445</v>
      </c>
      <c r="B447" s="6" t="s">
        <v>1440</v>
      </c>
      <c r="C447" s="27" t="s">
        <v>1476</v>
      </c>
      <c r="D447" s="19" t="s">
        <v>32</v>
      </c>
      <c r="E447" s="9" t="s">
        <v>1477</v>
      </c>
      <c r="F447" s="5" t="n">
        <v>27</v>
      </c>
      <c r="G447" s="5" t="n">
        <f aca="false">F447*4</f>
        <v>108</v>
      </c>
      <c r="H447" s="10" t="n">
        <v>1527005</v>
      </c>
      <c r="I447" s="11" t="s">
        <v>1478</v>
      </c>
      <c r="J447" s="12"/>
      <c r="K447" s="12"/>
      <c r="L447" s="12"/>
      <c r="M447" s="12"/>
      <c r="N447" s="12"/>
      <c r="O447" s="12"/>
      <c r="Q447" s="5"/>
      <c r="R447" s="13"/>
      <c r="S447" s="12"/>
      <c r="T447" s="14" t="s">
        <v>30</v>
      </c>
      <c r="U447" s="40" t="s">
        <v>1479</v>
      </c>
      <c r="V447" s="1" t="n">
        <v>2005</v>
      </c>
      <c r="W447" s="1" t="s">
        <v>1480</v>
      </c>
      <c r="X447" s="29"/>
    </row>
    <row r="448" customFormat="false" ht="18" hidden="false" customHeight="true" outlineLevel="0" collapsed="false">
      <c r="A448" s="46" t="n">
        <v>446</v>
      </c>
      <c r="B448" s="47" t="s">
        <v>1481</v>
      </c>
      <c r="C448" s="48" t="s">
        <v>1482</v>
      </c>
      <c r="D448" s="49" t="s">
        <v>27</v>
      </c>
      <c r="E448" s="50" t="s">
        <v>1483</v>
      </c>
      <c r="F448" s="46" t="n">
        <v>9</v>
      </c>
      <c r="G448" s="46" t="n">
        <f aca="false">F448*4</f>
        <v>36</v>
      </c>
      <c r="H448" s="51" t="n">
        <v>181423</v>
      </c>
      <c r="I448" s="52" t="s">
        <v>1484</v>
      </c>
      <c r="J448" s="53"/>
      <c r="K448" s="53"/>
      <c r="L448" s="53"/>
      <c r="M448" s="53"/>
      <c r="N448" s="53"/>
      <c r="O448" s="53"/>
      <c r="Q448" s="46"/>
      <c r="R448" s="54"/>
      <c r="S448" s="53"/>
      <c r="T448" s="55" t="s">
        <v>30</v>
      </c>
      <c r="U448" s="52"/>
      <c r="X448" s="56"/>
    </row>
    <row r="449" customFormat="false" ht="18" hidden="false" customHeight="true" outlineLevel="0" collapsed="false">
      <c r="A449" s="5" t="n">
        <v>447</v>
      </c>
      <c r="B449" s="6" t="s">
        <v>1481</v>
      </c>
      <c r="C449" s="27" t="s">
        <v>1485</v>
      </c>
      <c r="D449" s="19" t="s">
        <v>32</v>
      </c>
      <c r="E449" s="9" t="s">
        <v>1486</v>
      </c>
      <c r="F449" s="5" t="n">
        <v>18</v>
      </c>
      <c r="G449" s="5" t="n">
        <f aca="false">F449*4</f>
        <v>72</v>
      </c>
      <c r="H449" s="10" t="n">
        <v>769047</v>
      </c>
      <c r="I449" s="11" t="s">
        <v>1487</v>
      </c>
      <c r="J449" s="12"/>
      <c r="K449" s="12"/>
      <c r="L449" s="12"/>
      <c r="M449" s="12"/>
      <c r="N449" s="12"/>
      <c r="O449" s="12"/>
      <c r="Q449" s="5"/>
      <c r="R449" s="13"/>
      <c r="S449" s="12"/>
      <c r="T449" s="14" t="s">
        <v>30</v>
      </c>
      <c r="U449" s="40" t="s">
        <v>1488</v>
      </c>
      <c r="V449" s="1" t="n">
        <v>1984</v>
      </c>
      <c r="W449" s="1" t="s">
        <v>1489</v>
      </c>
      <c r="X449" s="29"/>
    </row>
    <row r="450" customFormat="false" ht="18" hidden="false" customHeight="true" outlineLevel="0" collapsed="false">
      <c r="A450" s="46" t="n">
        <v>448</v>
      </c>
      <c r="B450" s="47" t="s">
        <v>1490</v>
      </c>
      <c r="C450" s="48" t="s">
        <v>1491</v>
      </c>
      <c r="D450" s="49" t="s">
        <v>27</v>
      </c>
      <c r="E450" s="50" t="s">
        <v>1492</v>
      </c>
      <c r="F450" s="46" t="n">
        <v>18</v>
      </c>
      <c r="G450" s="46" t="n">
        <f aca="false">F450*4</f>
        <v>72</v>
      </c>
      <c r="H450" s="51" t="n">
        <v>806584</v>
      </c>
      <c r="I450" s="52" t="s">
        <v>1493</v>
      </c>
      <c r="J450" s="53"/>
      <c r="K450" s="53"/>
      <c r="L450" s="53"/>
      <c r="M450" s="53"/>
      <c r="N450" s="53"/>
      <c r="O450" s="53"/>
      <c r="Q450" s="46"/>
      <c r="R450" s="54"/>
      <c r="S450" s="53"/>
      <c r="T450" s="55" t="s">
        <v>30</v>
      </c>
      <c r="U450" s="52"/>
      <c r="X450" s="56"/>
    </row>
    <row r="451" customFormat="false" ht="18" hidden="false" customHeight="true" outlineLevel="0" collapsed="false">
      <c r="A451" s="5" t="n">
        <v>449</v>
      </c>
      <c r="B451" s="6" t="s">
        <v>1490</v>
      </c>
      <c r="C451" s="27" t="s">
        <v>1494</v>
      </c>
      <c r="D451" s="8" t="s">
        <v>27</v>
      </c>
      <c r="E451" s="9" t="s">
        <v>1495</v>
      </c>
      <c r="F451" s="5" t="n">
        <v>18</v>
      </c>
      <c r="G451" s="5" t="n">
        <f aca="false">F451*4</f>
        <v>72</v>
      </c>
      <c r="H451" s="10" t="n">
        <v>730509</v>
      </c>
      <c r="I451" s="11" t="s">
        <v>1496</v>
      </c>
      <c r="J451" s="12"/>
      <c r="K451" s="12"/>
      <c r="L451" s="12"/>
      <c r="M451" s="12"/>
      <c r="N451" s="12"/>
      <c r="O451" s="12"/>
      <c r="Q451" s="5"/>
      <c r="R451" s="13"/>
      <c r="S451" s="12"/>
      <c r="T451" s="14" t="s">
        <v>30</v>
      </c>
      <c r="U451" s="40"/>
      <c r="X451" s="15"/>
    </row>
    <row r="452" customFormat="false" ht="18" hidden="false" customHeight="true" outlineLevel="0" collapsed="false">
      <c r="A452" s="16" t="n">
        <v>450</v>
      </c>
      <c r="B452" s="17" t="s">
        <v>1490</v>
      </c>
      <c r="C452" s="26" t="s">
        <v>1497</v>
      </c>
      <c r="D452" s="19" t="s">
        <v>32</v>
      </c>
      <c r="E452" s="20" t="s">
        <v>1498</v>
      </c>
      <c r="F452" s="16" t="n">
        <v>27</v>
      </c>
      <c r="G452" s="16" t="n">
        <f aca="false">F452*4</f>
        <v>108</v>
      </c>
      <c r="H452" s="21" t="n">
        <v>1425800</v>
      </c>
      <c r="I452" s="22" t="s">
        <v>1499</v>
      </c>
      <c r="J452" s="12"/>
      <c r="K452" s="12"/>
      <c r="L452" s="12"/>
      <c r="M452" s="12"/>
      <c r="N452" s="12"/>
      <c r="O452" s="12"/>
      <c r="Q452" s="16"/>
      <c r="R452" s="23"/>
      <c r="S452" s="12"/>
      <c r="T452" s="14" t="s">
        <v>30</v>
      </c>
      <c r="U452" s="30"/>
      <c r="X452" s="25"/>
    </row>
    <row r="453" customFormat="false" ht="18" hidden="false" customHeight="true" outlineLevel="0" collapsed="false">
      <c r="A453" s="5" t="n">
        <v>451</v>
      </c>
      <c r="B453" s="6" t="s">
        <v>1490</v>
      </c>
      <c r="C453" s="27" t="s">
        <v>1500</v>
      </c>
      <c r="D453" s="8" t="s">
        <v>27</v>
      </c>
      <c r="E453" s="9" t="s">
        <v>1501</v>
      </c>
      <c r="F453" s="5" t="n">
        <v>9</v>
      </c>
      <c r="G453" s="5" t="n">
        <f aca="false">F453*4</f>
        <v>36</v>
      </c>
      <c r="H453" s="10" t="n">
        <v>247991</v>
      </c>
      <c r="I453" s="11" t="s">
        <v>1502</v>
      </c>
      <c r="J453" s="12"/>
      <c r="K453" s="12"/>
      <c r="L453" s="12"/>
      <c r="M453" s="12"/>
      <c r="N453" s="12"/>
      <c r="O453" s="12"/>
      <c r="Q453" s="5"/>
      <c r="R453" s="13"/>
      <c r="S453" s="12"/>
      <c r="T453" s="14" t="s">
        <v>30</v>
      </c>
      <c r="U453" s="40"/>
      <c r="X453" s="15"/>
    </row>
    <row r="454" customFormat="false" ht="18" hidden="false" customHeight="true" outlineLevel="0" collapsed="false">
      <c r="A454" s="16" t="n">
        <v>452</v>
      </c>
      <c r="B454" s="17" t="s">
        <v>1490</v>
      </c>
      <c r="C454" s="26" t="s">
        <v>1503</v>
      </c>
      <c r="D454" s="19" t="s">
        <v>32</v>
      </c>
      <c r="E454" s="20" t="s">
        <v>1504</v>
      </c>
      <c r="F454" s="16" t="n">
        <v>27</v>
      </c>
      <c r="G454" s="16" t="n">
        <f aca="false">F454*4</f>
        <v>108</v>
      </c>
      <c r="H454" s="21" t="n">
        <v>1428262</v>
      </c>
      <c r="I454" s="22" t="s">
        <v>1505</v>
      </c>
      <c r="J454" s="12"/>
      <c r="K454" s="12"/>
      <c r="L454" s="12"/>
      <c r="M454" s="12"/>
      <c r="N454" s="12"/>
      <c r="O454" s="12"/>
      <c r="Q454" s="16"/>
      <c r="R454" s="23"/>
      <c r="S454" s="12"/>
      <c r="T454" s="14" t="s">
        <v>30</v>
      </c>
      <c r="U454" s="30"/>
      <c r="X454" s="25"/>
    </row>
    <row r="455" customFormat="false" ht="18" hidden="false" customHeight="true" outlineLevel="0" collapsed="false">
      <c r="A455" s="57" t="n">
        <v>453</v>
      </c>
      <c r="B455" s="58" t="s">
        <v>1506</v>
      </c>
      <c r="C455" s="59" t="s">
        <v>1507</v>
      </c>
      <c r="D455" s="66" t="s">
        <v>32</v>
      </c>
      <c r="E455" s="60" t="s">
        <v>1508</v>
      </c>
      <c r="F455" s="57" t="n">
        <v>18</v>
      </c>
      <c r="G455" s="57" t="n">
        <f aca="false">F455*4</f>
        <v>72</v>
      </c>
      <c r="H455" s="61" t="n">
        <v>874521</v>
      </c>
      <c r="I455" s="80" t="s">
        <v>1509</v>
      </c>
      <c r="J455" s="53" t="n">
        <v>4.7</v>
      </c>
      <c r="K455" s="53" t="n">
        <v>4.7</v>
      </c>
      <c r="L455" s="53" t="n">
        <v>4.8</v>
      </c>
      <c r="M455" s="53" t="n">
        <v>4.6</v>
      </c>
      <c r="N455" s="53" t="n">
        <v>4.6</v>
      </c>
      <c r="O455" s="53" t="n">
        <f aca="false">ROUND(AVERAGE(J455:N455),2)</f>
        <v>4.68</v>
      </c>
      <c r="P455" s="1" t="n">
        <v>97</v>
      </c>
      <c r="Q455" s="57"/>
      <c r="R455" s="63"/>
      <c r="S455" s="53"/>
      <c r="T455" s="55" t="s">
        <v>490</v>
      </c>
      <c r="U455" s="80" t="s">
        <v>1510</v>
      </c>
      <c r="V455" s="1" t="n">
        <v>1999</v>
      </c>
      <c r="W455" s="1" t="s">
        <v>1511</v>
      </c>
      <c r="X455" s="81" t="s">
        <v>1512</v>
      </c>
    </row>
    <row r="456" customFormat="false" ht="18" hidden="false" customHeight="true" outlineLevel="0" collapsed="false">
      <c r="A456" s="16" t="n">
        <v>454</v>
      </c>
      <c r="B456" s="17" t="s">
        <v>1506</v>
      </c>
      <c r="C456" s="26" t="s">
        <v>1513</v>
      </c>
      <c r="D456" s="8" t="s">
        <v>27</v>
      </c>
      <c r="E456" s="20" t="s">
        <v>1514</v>
      </c>
      <c r="F456" s="16" t="n">
        <v>27</v>
      </c>
      <c r="G456" s="16" t="n">
        <f aca="false">F456*4</f>
        <v>108</v>
      </c>
      <c r="H456" s="21" t="n">
        <v>993803</v>
      </c>
      <c r="I456" s="30" t="s">
        <v>1515</v>
      </c>
      <c r="J456" s="12"/>
      <c r="K456" s="12"/>
      <c r="L456" s="12"/>
      <c r="M456" s="12"/>
      <c r="N456" s="12"/>
      <c r="O456" s="12"/>
      <c r="Q456" s="16"/>
      <c r="R456" s="23"/>
      <c r="S456" s="12"/>
      <c r="T456" s="14" t="s">
        <v>30</v>
      </c>
      <c r="U456" s="30"/>
      <c r="X456" s="25"/>
    </row>
    <row r="457" customFormat="false" ht="18" hidden="false" customHeight="true" outlineLevel="0" collapsed="false">
      <c r="A457" s="5" t="n">
        <v>455</v>
      </c>
      <c r="B457" s="6" t="s">
        <v>1506</v>
      </c>
      <c r="C457" s="27" t="s">
        <v>1516</v>
      </c>
      <c r="D457" s="8" t="s">
        <v>27</v>
      </c>
      <c r="E457" s="9" t="s">
        <v>1517</v>
      </c>
      <c r="F457" s="5" t="n">
        <v>18</v>
      </c>
      <c r="G457" s="5" t="n">
        <f aca="false">F457*4</f>
        <v>72</v>
      </c>
      <c r="H457" s="10" t="n">
        <v>1086689</v>
      </c>
      <c r="I457" s="40" t="s">
        <v>1518</v>
      </c>
      <c r="J457" s="12"/>
      <c r="K457" s="12"/>
      <c r="L457" s="12"/>
      <c r="M457" s="12"/>
      <c r="N457" s="12"/>
      <c r="O457" s="12"/>
      <c r="Q457" s="5"/>
      <c r="R457" s="13"/>
      <c r="S457" s="12"/>
      <c r="T457" s="14" t="s">
        <v>30</v>
      </c>
      <c r="U457" s="40"/>
      <c r="X457" s="15"/>
    </row>
    <row r="458" customFormat="false" ht="18" hidden="false" customHeight="true" outlineLevel="0" collapsed="false">
      <c r="A458" s="16" t="n">
        <v>456</v>
      </c>
      <c r="B458" s="17" t="s">
        <v>1506</v>
      </c>
      <c r="C458" s="26" t="s">
        <v>1519</v>
      </c>
      <c r="D458" s="19" t="s">
        <v>32</v>
      </c>
      <c r="E458" s="20" t="s">
        <v>1520</v>
      </c>
      <c r="F458" s="16" t="n">
        <v>18</v>
      </c>
      <c r="G458" s="16" t="n">
        <f aca="false">F458*4</f>
        <v>72</v>
      </c>
      <c r="H458" s="21" t="n">
        <v>945053</v>
      </c>
      <c r="I458" s="30" t="s">
        <v>1521</v>
      </c>
      <c r="J458" s="12"/>
      <c r="K458" s="12"/>
      <c r="L458" s="12"/>
      <c r="M458" s="12"/>
      <c r="N458" s="12"/>
      <c r="O458" s="12"/>
      <c r="Q458" s="16"/>
      <c r="R458" s="23"/>
      <c r="S458" s="12"/>
      <c r="T458" s="14" t="s">
        <v>30</v>
      </c>
      <c r="U458" s="30"/>
      <c r="X458" s="25"/>
    </row>
    <row r="459" customFormat="false" ht="18" hidden="false" customHeight="true" outlineLevel="0" collapsed="false">
      <c r="A459" s="5" t="n">
        <v>457</v>
      </c>
      <c r="B459" s="6" t="s">
        <v>1506</v>
      </c>
      <c r="C459" s="27" t="s">
        <v>1522</v>
      </c>
      <c r="D459" s="19" t="s">
        <v>32</v>
      </c>
      <c r="E459" s="9" t="s">
        <v>1523</v>
      </c>
      <c r="F459" s="5" t="n">
        <v>18</v>
      </c>
      <c r="G459" s="5" t="n">
        <f aca="false">F459*4</f>
        <v>72</v>
      </c>
      <c r="H459" s="10" t="n">
        <v>1107441</v>
      </c>
      <c r="I459" s="11" t="s">
        <v>1524</v>
      </c>
      <c r="J459" s="12"/>
      <c r="K459" s="12"/>
      <c r="L459" s="12"/>
      <c r="M459" s="12"/>
      <c r="N459" s="12"/>
      <c r="O459" s="12"/>
      <c r="Q459" s="5"/>
      <c r="R459" s="13"/>
      <c r="S459" s="12"/>
      <c r="T459" s="14" t="s">
        <v>30</v>
      </c>
      <c r="U459" s="40"/>
      <c r="X459" s="15"/>
    </row>
    <row r="460" customFormat="false" ht="18" hidden="false" customHeight="true" outlineLevel="0" collapsed="false">
      <c r="A460" s="16" t="n">
        <v>458</v>
      </c>
      <c r="B460" s="17" t="s">
        <v>1506</v>
      </c>
      <c r="C460" s="26" t="s">
        <v>1525</v>
      </c>
      <c r="D460" s="19" t="s">
        <v>32</v>
      </c>
      <c r="E460" s="20" t="s">
        <v>1526</v>
      </c>
      <c r="F460" s="16" t="n">
        <v>18</v>
      </c>
      <c r="G460" s="16" t="n">
        <f aca="false">F460*4</f>
        <v>72</v>
      </c>
      <c r="H460" s="21" t="n">
        <v>959076</v>
      </c>
      <c r="I460" s="22" t="s">
        <v>1527</v>
      </c>
      <c r="J460" s="12"/>
      <c r="K460" s="12"/>
      <c r="L460" s="12"/>
      <c r="M460" s="12"/>
      <c r="N460" s="12"/>
      <c r="O460" s="12"/>
      <c r="Q460" s="16"/>
      <c r="R460" s="23"/>
      <c r="S460" s="12"/>
      <c r="T460" s="14" t="s">
        <v>30</v>
      </c>
      <c r="U460" s="30"/>
      <c r="X460" s="25"/>
    </row>
    <row r="461" customFormat="false" ht="18" hidden="false" customHeight="true" outlineLevel="0" collapsed="false">
      <c r="A461" s="5" t="n">
        <v>459</v>
      </c>
      <c r="B461" s="6" t="s">
        <v>1506</v>
      </c>
      <c r="C461" s="27" t="s">
        <v>1528</v>
      </c>
      <c r="D461" s="8" t="s">
        <v>27</v>
      </c>
      <c r="E461" s="9" t="s">
        <v>1529</v>
      </c>
      <c r="F461" s="5" t="n">
        <v>18</v>
      </c>
      <c r="G461" s="5" t="n">
        <f aca="false">F461*4</f>
        <v>72</v>
      </c>
      <c r="H461" s="10" t="n">
        <v>726587</v>
      </c>
      <c r="I461" s="11" t="s">
        <v>1530</v>
      </c>
      <c r="J461" s="12"/>
      <c r="K461" s="12"/>
      <c r="L461" s="12"/>
      <c r="M461" s="12"/>
      <c r="N461" s="12"/>
      <c r="O461" s="12"/>
      <c r="Q461" s="5"/>
      <c r="R461" s="13"/>
      <c r="S461" s="12"/>
      <c r="T461" s="14" t="s">
        <v>30</v>
      </c>
      <c r="U461" s="40"/>
      <c r="X461" s="15"/>
    </row>
    <row r="462" customFormat="false" ht="18" hidden="false" customHeight="true" outlineLevel="0" collapsed="false">
      <c r="A462" s="16" t="n">
        <v>460</v>
      </c>
      <c r="B462" s="17" t="s">
        <v>1506</v>
      </c>
      <c r="C462" s="26" t="s">
        <v>1531</v>
      </c>
      <c r="D462" s="8" t="s">
        <v>27</v>
      </c>
      <c r="E462" s="20" t="s">
        <v>1532</v>
      </c>
      <c r="F462" s="16" t="n">
        <v>27</v>
      </c>
      <c r="G462" s="16" t="n">
        <f aca="false">F462*4</f>
        <v>108</v>
      </c>
      <c r="H462" s="21" t="n">
        <v>1292392</v>
      </c>
      <c r="I462" s="22" t="s">
        <v>1533</v>
      </c>
      <c r="J462" s="12"/>
      <c r="K462" s="12"/>
      <c r="L462" s="12"/>
      <c r="M462" s="12"/>
      <c r="N462" s="12"/>
      <c r="O462" s="12"/>
      <c r="Q462" s="16"/>
      <c r="R462" s="23"/>
      <c r="S462" s="12"/>
      <c r="T462" s="14" t="s">
        <v>30</v>
      </c>
      <c r="U462" s="30" t="s">
        <v>1534</v>
      </c>
      <c r="V462" s="1" t="n">
        <v>2009</v>
      </c>
      <c r="W462" s="1" t="s">
        <v>849</v>
      </c>
      <c r="X462" s="25"/>
    </row>
    <row r="463" customFormat="false" ht="18" hidden="false" customHeight="true" outlineLevel="0" collapsed="false">
      <c r="A463" s="5" t="n">
        <v>461</v>
      </c>
      <c r="B463" s="6" t="s">
        <v>1506</v>
      </c>
      <c r="C463" s="27" t="s">
        <v>1535</v>
      </c>
      <c r="D463" s="19" t="s">
        <v>32</v>
      </c>
      <c r="E463" s="9" t="s">
        <v>1536</v>
      </c>
      <c r="F463" s="5" t="n">
        <v>18</v>
      </c>
      <c r="G463" s="5" t="n">
        <f aca="false">F463*4</f>
        <v>72</v>
      </c>
      <c r="H463" s="10" t="n">
        <v>807383</v>
      </c>
      <c r="I463" s="11" t="s">
        <v>1537</v>
      </c>
      <c r="J463" s="12"/>
      <c r="K463" s="12"/>
      <c r="L463" s="12"/>
      <c r="M463" s="12"/>
      <c r="N463" s="12"/>
      <c r="O463" s="12"/>
      <c r="Q463" s="5"/>
      <c r="R463" s="13"/>
      <c r="S463" s="12"/>
      <c r="T463" s="14" t="s">
        <v>30</v>
      </c>
      <c r="U463" s="40"/>
      <c r="X463" s="15"/>
    </row>
    <row r="464" customFormat="false" ht="18" hidden="false" customHeight="true" outlineLevel="0" collapsed="false">
      <c r="A464" s="16" t="n">
        <v>462</v>
      </c>
      <c r="B464" s="17" t="s">
        <v>1506</v>
      </c>
      <c r="C464" s="26" t="s">
        <v>1538</v>
      </c>
      <c r="D464" s="19" t="s">
        <v>32</v>
      </c>
      <c r="E464" s="20" t="s">
        <v>1539</v>
      </c>
      <c r="F464" s="16" t="n">
        <v>27</v>
      </c>
      <c r="G464" s="16" t="n">
        <f aca="false">F464*4</f>
        <v>108</v>
      </c>
      <c r="H464" s="21" t="n">
        <v>1168124</v>
      </c>
      <c r="I464" s="30" t="s">
        <v>1540</v>
      </c>
      <c r="J464" s="12"/>
      <c r="K464" s="12"/>
      <c r="L464" s="12"/>
      <c r="M464" s="12"/>
      <c r="N464" s="12"/>
      <c r="O464" s="12"/>
      <c r="Q464" s="16"/>
      <c r="R464" s="23"/>
      <c r="S464" s="12"/>
      <c r="T464" s="14" t="s">
        <v>30</v>
      </c>
      <c r="U464" s="30" t="s">
        <v>334</v>
      </c>
      <c r="V464" s="1" t="n">
        <v>2005</v>
      </c>
      <c r="W464" s="1" t="s">
        <v>335</v>
      </c>
      <c r="X464" s="25"/>
    </row>
    <row r="465" customFormat="false" ht="18" hidden="false" customHeight="true" outlineLevel="0" collapsed="false">
      <c r="A465" s="5" t="n">
        <v>463</v>
      </c>
      <c r="B465" s="6" t="s">
        <v>1506</v>
      </c>
      <c r="C465" s="27" t="s">
        <v>1541</v>
      </c>
      <c r="D465" s="19" t="s">
        <v>32</v>
      </c>
      <c r="E465" s="9" t="s">
        <v>1542</v>
      </c>
      <c r="F465" s="5" t="n">
        <v>18</v>
      </c>
      <c r="G465" s="5" t="n">
        <f aca="false">F465*4</f>
        <v>72</v>
      </c>
      <c r="H465" s="10" t="n">
        <v>1021348</v>
      </c>
      <c r="I465" s="40" t="s">
        <v>1543</v>
      </c>
      <c r="J465" s="12"/>
      <c r="K465" s="12"/>
      <c r="L465" s="12"/>
      <c r="M465" s="12"/>
      <c r="N465" s="12"/>
      <c r="O465" s="12"/>
      <c r="Q465" s="5"/>
      <c r="R465" s="13"/>
      <c r="S465" s="12"/>
      <c r="T465" s="14" t="s">
        <v>30</v>
      </c>
      <c r="U465" s="40" t="s">
        <v>848</v>
      </c>
      <c r="V465" s="1" t="n">
        <v>2010</v>
      </c>
      <c r="W465" s="1" t="s">
        <v>849</v>
      </c>
      <c r="X465" s="29"/>
    </row>
    <row r="466" customFormat="false" ht="18" hidden="false" customHeight="true" outlineLevel="0" collapsed="false">
      <c r="A466" s="16" t="n">
        <v>464</v>
      </c>
      <c r="B466" s="17" t="s">
        <v>1506</v>
      </c>
      <c r="C466" s="26" t="s">
        <v>1544</v>
      </c>
      <c r="D466" s="19" t="s">
        <v>32</v>
      </c>
      <c r="E466" s="20" t="s">
        <v>1545</v>
      </c>
      <c r="F466" s="16" t="n">
        <v>18</v>
      </c>
      <c r="G466" s="16" t="n">
        <f aca="false">F466*4</f>
        <v>72</v>
      </c>
      <c r="H466" s="21" t="n">
        <v>889445</v>
      </c>
      <c r="I466" s="22" t="s">
        <v>1546</v>
      </c>
      <c r="J466" s="12"/>
      <c r="K466" s="12"/>
      <c r="L466" s="12"/>
      <c r="M466" s="12"/>
      <c r="N466" s="12"/>
      <c r="O466" s="12"/>
      <c r="Q466" s="16"/>
      <c r="R466" s="23"/>
      <c r="S466" s="12"/>
      <c r="T466" s="14" t="s">
        <v>30</v>
      </c>
      <c r="U466" s="30" t="s">
        <v>1547</v>
      </c>
      <c r="V466" s="1" t="n">
        <v>2004</v>
      </c>
      <c r="W466" s="1" t="s">
        <v>849</v>
      </c>
      <c r="X466" s="25"/>
    </row>
    <row r="467" customFormat="false" ht="18" hidden="false" customHeight="true" outlineLevel="0" collapsed="false">
      <c r="A467" s="5" t="n">
        <v>465</v>
      </c>
      <c r="B467" s="6" t="s">
        <v>1506</v>
      </c>
      <c r="C467" s="27" t="s">
        <v>1548</v>
      </c>
      <c r="D467" s="8" t="s">
        <v>27</v>
      </c>
      <c r="E467" s="9" t="s">
        <v>1549</v>
      </c>
      <c r="F467" s="5" t="n">
        <v>18</v>
      </c>
      <c r="G467" s="5" t="n">
        <f aca="false">F467*4</f>
        <v>72</v>
      </c>
      <c r="H467" s="10" t="n">
        <v>623360</v>
      </c>
      <c r="I467" s="40" t="s">
        <v>1550</v>
      </c>
      <c r="J467" s="12"/>
      <c r="K467" s="12"/>
      <c r="L467" s="12"/>
      <c r="M467" s="12"/>
      <c r="N467" s="12"/>
      <c r="O467" s="12"/>
      <c r="Q467" s="5"/>
      <c r="R467" s="13"/>
      <c r="S467" s="12"/>
      <c r="T467" s="14" t="s">
        <v>30</v>
      </c>
      <c r="U467" s="40"/>
      <c r="X467" s="15"/>
    </row>
    <row r="468" customFormat="false" ht="18" hidden="false" customHeight="true" outlineLevel="0" collapsed="false">
      <c r="A468" s="16" t="n">
        <v>466</v>
      </c>
      <c r="B468" s="17" t="s">
        <v>1506</v>
      </c>
      <c r="C468" s="26" t="s">
        <v>1551</v>
      </c>
      <c r="D468" s="19" t="s">
        <v>32</v>
      </c>
      <c r="E468" s="20" t="s">
        <v>1552</v>
      </c>
      <c r="F468" s="16" t="n">
        <v>27</v>
      </c>
      <c r="G468" s="16" t="n">
        <f aca="false">F468*4</f>
        <v>108</v>
      </c>
      <c r="H468" s="21" t="n">
        <v>1360438</v>
      </c>
      <c r="I468" s="22" t="s">
        <v>1553</v>
      </c>
      <c r="J468" s="12"/>
      <c r="K468" s="12"/>
      <c r="L468" s="12"/>
      <c r="M468" s="12"/>
      <c r="N468" s="12"/>
      <c r="O468" s="12"/>
      <c r="Q468" s="16"/>
      <c r="R468" s="23"/>
      <c r="S468" s="12"/>
      <c r="T468" s="14" t="s">
        <v>30</v>
      </c>
      <c r="U468" s="30" t="s">
        <v>1554</v>
      </c>
      <c r="V468" s="1" t="n">
        <v>2005</v>
      </c>
      <c r="W468" s="1" t="s">
        <v>1555</v>
      </c>
      <c r="X468" s="25"/>
    </row>
    <row r="469" customFormat="false" ht="18" hidden="false" customHeight="true" outlineLevel="0" collapsed="false">
      <c r="A469" s="5" t="n">
        <v>467</v>
      </c>
      <c r="B469" s="6" t="s">
        <v>1506</v>
      </c>
      <c r="C469" s="27" t="s">
        <v>1556</v>
      </c>
      <c r="D469" s="8" t="s">
        <v>27</v>
      </c>
      <c r="E469" s="9" t="s">
        <v>1557</v>
      </c>
      <c r="F469" s="5" t="n">
        <v>18</v>
      </c>
      <c r="G469" s="5" t="n">
        <f aca="false">F469*4</f>
        <v>72</v>
      </c>
      <c r="H469" s="10" t="n">
        <v>761919</v>
      </c>
      <c r="I469" s="11" t="s">
        <v>1558</v>
      </c>
      <c r="J469" s="12"/>
      <c r="K469" s="12"/>
      <c r="L469" s="12"/>
      <c r="M469" s="12"/>
      <c r="N469" s="12"/>
      <c r="O469" s="12"/>
      <c r="Q469" s="5"/>
      <c r="R469" s="13"/>
      <c r="S469" s="12"/>
      <c r="T469" s="14" t="s">
        <v>30</v>
      </c>
      <c r="U469" s="40"/>
      <c r="X469" s="15"/>
    </row>
    <row r="470" customFormat="false" ht="18" hidden="false" customHeight="true" outlineLevel="0" collapsed="false">
      <c r="A470" s="16" t="n">
        <v>468</v>
      </c>
      <c r="B470" s="17" t="s">
        <v>1506</v>
      </c>
      <c r="C470" s="26" t="s">
        <v>1559</v>
      </c>
      <c r="D470" s="8" t="s">
        <v>27</v>
      </c>
      <c r="E470" s="20" t="s">
        <v>1560</v>
      </c>
      <c r="F470" s="16" t="n">
        <v>18</v>
      </c>
      <c r="G470" s="16" t="n">
        <f aca="false">F470*4</f>
        <v>72</v>
      </c>
      <c r="H470" s="21" t="n">
        <v>710250</v>
      </c>
      <c r="I470" s="22" t="s">
        <v>1561</v>
      </c>
      <c r="J470" s="12"/>
      <c r="K470" s="12"/>
      <c r="L470" s="12"/>
      <c r="M470" s="12"/>
      <c r="N470" s="12"/>
      <c r="O470" s="12"/>
      <c r="Q470" s="16"/>
      <c r="R470" s="23"/>
      <c r="S470" s="12"/>
      <c r="T470" s="14" t="s">
        <v>30</v>
      </c>
      <c r="U470" s="30"/>
      <c r="X470" s="25"/>
    </row>
    <row r="471" customFormat="false" ht="18" hidden="false" customHeight="true" outlineLevel="0" collapsed="false">
      <c r="A471" s="5" t="n">
        <v>469</v>
      </c>
      <c r="B471" s="6" t="s">
        <v>1506</v>
      </c>
      <c r="C471" s="27" t="s">
        <v>1562</v>
      </c>
      <c r="D471" s="19" t="s">
        <v>32</v>
      </c>
      <c r="E471" s="9" t="s">
        <v>1563</v>
      </c>
      <c r="F471" s="5" t="n">
        <v>18</v>
      </c>
      <c r="G471" s="5" t="n">
        <f aca="false">F471*4</f>
        <v>72</v>
      </c>
      <c r="H471" s="10" t="n">
        <v>637488</v>
      </c>
      <c r="I471" s="11" t="s">
        <v>1564</v>
      </c>
      <c r="J471" s="12"/>
      <c r="K471" s="12"/>
      <c r="L471" s="12"/>
      <c r="M471" s="12"/>
      <c r="N471" s="12"/>
      <c r="O471" s="12"/>
      <c r="Q471" s="5"/>
      <c r="R471" s="13"/>
      <c r="S471" s="12"/>
      <c r="T471" s="14" t="s">
        <v>30</v>
      </c>
      <c r="U471" s="40"/>
      <c r="X471" s="15"/>
    </row>
    <row r="472" customFormat="false" ht="18" hidden="false" customHeight="true" outlineLevel="0" collapsed="false">
      <c r="A472" s="16" t="n">
        <v>470</v>
      </c>
      <c r="B472" s="17" t="s">
        <v>1506</v>
      </c>
      <c r="C472" s="26" t="s">
        <v>1565</v>
      </c>
      <c r="D472" s="8" t="s">
        <v>27</v>
      </c>
      <c r="E472" s="20" t="s">
        <v>1566</v>
      </c>
      <c r="F472" s="16" t="n">
        <v>27</v>
      </c>
      <c r="G472" s="16" t="n">
        <f aca="false">F472*4</f>
        <v>108</v>
      </c>
      <c r="H472" s="21" t="n">
        <v>1317514</v>
      </c>
      <c r="I472" s="22" t="s">
        <v>1567</v>
      </c>
      <c r="J472" s="12"/>
      <c r="K472" s="12"/>
      <c r="L472" s="12"/>
      <c r="M472" s="12"/>
      <c r="N472" s="12"/>
      <c r="O472" s="12"/>
      <c r="Q472" s="16"/>
      <c r="R472" s="23"/>
      <c r="S472" s="12"/>
      <c r="T472" s="14" t="s">
        <v>30</v>
      </c>
      <c r="U472" s="30" t="s">
        <v>1568</v>
      </c>
      <c r="V472" s="1" t="n">
        <v>2013</v>
      </c>
      <c r="W472" s="1" t="s">
        <v>1569</v>
      </c>
      <c r="X472" s="25"/>
    </row>
    <row r="473" customFormat="false" ht="18" hidden="false" customHeight="true" outlineLevel="0" collapsed="false">
      <c r="A473" s="5" t="n">
        <v>471</v>
      </c>
      <c r="B473" s="6" t="s">
        <v>1506</v>
      </c>
      <c r="C473" s="27" t="s">
        <v>1570</v>
      </c>
      <c r="D473" s="19" t="s">
        <v>32</v>
      </c>
      <c r="E473" s="9" t="s">
        <v>1571</v>
      </c>
      <c r="F473" s="5" t="n">
        <v>18</v>
      </c>
      <c r="G473" s="5" t="n">
        <f aca="false">F473*4</f>
        <v>72</v>
      </c>
      <c r="H473" s="10" t="n">
        <v>804452</v>
      </c>
      <c r="I473" s="40" t="s">
        <v>1572</v>
      </c>
      <c r="J473" s="12"/>
      <c r="K473" s="12"/>
      <c r="L473" s="12"/>
      <c r="M473" s="12"/>
      <c r="N473" s="12"/>
      <c r="O473" s="12"/>
      <c r="Q473" s="5"/>
      <c r="R473" s="13"/>
      <c r="S473" s="12"/>
      <c r="T473" s="14" t="s">
        <v>30</v>
      </c>
      <c r="U473" s="40" t="s">
        <v>1573</v>
      </c>
      <c r="V473" s="1" t="n">
        <v>2002</v>
      </c>
      <c r="W473" s="1" t="s">
        <v>1574</v>
      </c>
      <c r="X473" s="29"/>
    </row>
    <row r="474" customFormat="false" ht="18" hidden="false" customHeight="true" outlineLevel="0" collapsed="false">
      <c r="A474" s="16" t="n">
        <v>472</v>
      </c>
      <c r="B474" s="17" t="s">
        <v>1506</v>
      </c>
      <c r="C474" s="26" t="s">
        <v>1575</v>
      </c>
      <c r="D474" s="8" t="s">
        <v>27</v>
      </c>
      <c r="E474" s="20" t="s">
        <v>1576</v>
      </c>
      <c r="F474" s="16" t="n">
        <v>18</v>
      </c>
      <c r="G474" s="16" t="n">
        <f aca="false">F474*4</f>
        <v>72</v>
      </c>
      <c r="H474" s="21" t="n">
        <v>1443394</v>
      </c>
      <c r="I474" s="22" t="s">
        <v>1577</v>
      </c>
      <c r="J474" s="12"/>
      <c r="K474" s="12"/>
      <c r="L474" s="12"/>
      <c r="M474" s="12"/>
      <c r="N474" s="12"/>
      <c r="O474" s="12"/>
      <c r="Q474" s="16"/>
      <c r="R474" s="23"/>
      <c r="S474" s="12"/>
      <c r="T474" s="14" t="s">
        <v>30</v>
      </c>
      <c r="U474" s="30" t="s">
        <v>1578</v>
      </c>
      <c r="V474" s="1" t="n">
        <v>2003</v>
      </c>
      <c r="W474" s="1" t="s">
        <v>1579</v>
      </c>
      <c r="X474" s="25"/>
    </row>
    <row r="475" customFormat="false" ht="18" hidden="false" customHeight="true" outlineLevel="0" collapsed="false">
      <c r="A475" s="5" t="n">
        <v>473</v>
      </c>
      <c r="B475" s="6" t="s">
        <v>1506</v>
      </c>
      <c r="C475" s="27" t="s">
        <v>1580</v>
      </c>
      <c r="D475" s="8" t="s">
        <v>27</v>
      </c>
      <c r="E475" s="9" t="s">
        <v>1581</v>
      </c>
      <c r="F475" s="5" t="n">
        <v>9</v>
      </c>
      <c r="G475" s="5" t="n">
        <f aca="false">F475*4</f>
        <v>36</v>
      </c>
      <c r="H475" s="10" t="n">
        <v>283520</v>
      </c>
      <c r="I475" s="40" t="s">
        <v>1582</v>
      </c>
      <c r="J475" s="12"/>
      <c r="K475" s="12"/>
      <c r="L475" s="12"/>
      <c r="M475" s="12"/>
      <c r="N475" s="12"/>
      <c r="O475" s="12"/>
      <c r="Q475" s="5"/>
      <c r="R475" s="13"/>
      <c r="S475" s="12"/>
      <c r="T475" s="14" t="s">
        <v>30</v>
      </c>
      <c r="U475" s="40"/>
      <c r="X475" s="15"/>
    </row>
    <row r="476" customFormat="false" ht="18" hidden="false" customHeight="true" outlineLevel="0" collapsed="false">
      <c r="A476" s="16" t="n">
        <v>474</v>
      </c>
      <c r="B476" s="17" t="s">
        <v>1506</v>
      </c>
      <c r="C476" s="26" t="s">
        <v>1583</v>
      </c>
      <c r="D476" s="8" t="s">
        <v>27</v>
      </c>
      <c r="E476" s="20" t="s">
        <v>1584</v>
      </c>
      <c r="F476" s="16" t="n">
        <v>18</v>
      </c>
      <c r="G476" s="16" t="n">
        <f aca="false">F476*4</f>
        <v>72</v>
      </c>
      <c r="H476" s="21" t="n">
        <v>917764</v>
      </c>
      <c r="I476" s="22" t="s">
        <v>1585</v>
      </c>
      <c r="J476" s="12"/>
      <c r="K476" s="12"/>
      <c r="L476" s="12"/>
      <c r="M476" s="12"/>
      <c r="N476" s="12"/>
      <c r="O476" s="12"/>
      <c r="Q476" s="16"/>
      <c r="R476" s="23"/>
      <c r="S476" s="12"/>
      <c r="T476" s="14" t="s">
        <v>30</v>
      </c>
      <c r="U476" s="30"/>
      <c r="X476" s="25"/>
    </row>
    <row r="477" customFormat="false" ht="18" hidden="false" customHeight="true" outlineLevel="0" collapsed="false">
      <c r="A477" s="5" t="n">
        <v>475</v>
      </c>
      <c r="B477" s="6" t="s">
        <v>1506</v>
      </c>
      <c r="C477" s="27" t="s">
        <v>1586</v>
      </c>
      <c r="D477" s="19" t="s">
        <v>32</v>
      </c>
      <c r="E477" s="9" t="s">
        <v>1587</v>
      </c>
      <c r="F477" s="5" t="n">
        <v>18</v>
      </c>
      <c r="G477" s="5" t="n">
        <f aca="false">F477*4</f>
        <v>72</v>
      </c>
      <c r="H477" s="10" t="n">
        <v>858271</v>
      </c>
      <c r="I477" s="11" t="s">
        <v>1588</v>
      </c>
      <c r="J477" s="12"/>
      <c r="K477" s="12"/>
      <c r="L477" s="12"/>
      <c r="M477" s="12"/>
      <c r="N477" s="12"/>
      <c r="O477" s="12"/>
      <c r="Q477" s="5"/>
      <c r="R477" s="13"/>
      <c r="S477" s="12"/>
      <c r="T477" s="14" t="s">
        <v>30</v>
      </c>
      <c r="U477" s="40"/>
      <c r="X477" s="15"/>
    </row>
    <row r="478" customFormat="false" ht="18" hidden="false" customHeight="true" outlineLevel="0" collapsed="false">
      <c r="A478" s="16" t="n">
        <v>476</v>
      </c>
      <c r="B478" s="17" t="s">
        <v>1506</v>
      </c>
      <c r="C478" s="26" t="s">
        <v>1589</v>
      </c>
      <c r="D478" s="8" t="s">
        <v>27</v>
      </c>
      <c r="E478" s="20" t="s">
        <v>1590</v>
      </c>
      <c r="F478" s="16" t="n">
        <v>27</v>
      </c>
      <c r="G478" s="16" t="n">
        <f aca="false">F478*4</f>
        <v>108</v>
      </c>
      <c r="H478" s="21" t="n">
        <v>961720</v>
      </c>
      <c r="I478" s="30" t="s">
        <v>1591</v>
      </c>
      <c r="J478" s="12"/>
      <c r="K478" s="12"/>
      <c r="L478" s="12"/>
      <c r="M478" s="12"/>
      <c r="N478" s="12"/>
      <c r="O478" s="12"/>
      <c r="Q478" s="16"/>
      <c r="R478" s="23"/>
      <c r="S478" s="12"/>
      <c r="T478" s="14" t="s">
        <v>30</v>
      </c>
      <c r="U478" s="30"/>
      <c r="X478" s="25"/>
    </row>
    <row r="479" customFormat="false" ht="18" hidden="false" customHeight="true" outlineLevel="0" collapsed="false">
      <c r="A479" s="5" t="n">
        <v>477</v>
      </c>
      <c r="B479" s="6" t="s">
        <v>1506</v>
      </c>
      <c r="C479" s="27" t="s">
        <v>1592</v>
      </c>
      <c r="D479" s="19" t="s">
        <v>32</v>
      </c>
      <c r="E479" s="9" t="s">
        <v>1593</v>
      </c>
      <c r="F479" s="5" t="n">
        <v>18</v>
      </c>
      <c r="G479" s="5" t="n">
        <f aca="false">F479*4</f>
        <v>72</v>
      </c>
      <c r="H479" s="10" t="n">
        <v>962756</v>
      </c>
      <c r="I479" s="40" t="s">
        <v>1594</v>
      </c>
      <c r="J479" s="31" t="n">
        <v>4.8</v>
      </c>
      <c r="K479" s="31" t="n">
        <v>4.8</v>
      </c>
      <c r="L479" s="31" t="n">
        <v>4.9</v>
      </c>
      <c r="M479" s="32" t="n">
        <v>4.7</v>
      </c>
      <c r="N479" s="31" t="n">
        <v>4.8</v>
      </c>
      <c r="O479" s="41" t="n">
        <f aca="false">ROUND(AVERAGE(J479:N479),2)</f>
        <v>4.8</v>
      </c>
      <c r="P479" s="1" t="n">
        <v>100</v>
      </c>
      <c r="Q479" s="5" t="n">
        <v>136</v>
      </c>
      <c r="R479" s="13" t="n">
        <v>73</v>
      </c>
      <c r="S479" s="67" t="s">
        <v>657</v>
      </c>
      <c r="T479" s="35" t="s">
        <v>1595</v>
      </c>
      <c r="U479" s="42" t="s">
        <v>1596</v>
      </c>
      <c r="V479" s="1" t="n">
        <v>2001</v>
      </c>
      <c r="W479" s="1" t="s">
        <v>1597</v>
      </c>
      <c r="X479" s="45" t="s">
        <v>1598</v>
      </c>
    </row>
    <row r="480" customFormat="false" ht="18" hidden="false" customHeight="true" outlineLevel="0" collapsed="false">
      <c r="A480" s="16" t="n">
        <v>478</v>
      </c>
      <c r="B480" s="17" t="s">
        <v>1506</v>
      </c>
      <c r="C480" s="26" t="s">
        <v>1599</v>
      </c>
      <c r="D480" s="19" t="s">
        <v>32</v>
      </c>
      <c r="E480" s="20" t="s">
        <v>1600</v>
      </c>
      <c r="F480" s="16" t="n">
        <v>27</v>
      </c>
      <c r="G480" s="16" t="n">
        <f aca="false">F480*4</f>
        <v>108</v>
      </c>
      <c r="H480" s="21" t="n">
        <v>1164583</v>
      </c>
      <c r="I480" s="22" t="s">
        <v>1601</v>
      </c>
      <c r="J480" s="12"/>
      <c r="K480" s="12"/>
      <c r="L480" s="12"/>
      <c r="M480" s="12"/>
      <c r="N480" s="12"/>
      <c r="O480" s="12"/>
      <c r="Q480" s="16"/>
      <c r="R480" s="23"/>
      <c r="S480" s="12"/>
      <c r="T480" s="14" t="s">
        <v>30</v>
      </c>
      <c r="U480" s="30" t="s">
        <v>1602</v>
      </c>
      <c r="V480" s="1" t="n">
        <v>2009</v>
      </c>
      <c r="W480" s="1" t="s">
        <v>1603</v>
      </c>
      <c r="X480" s="25"/>
    </row>
    <row r="481" customFormat="false" ht="18" hidden="false" customHeight="true" outlineLevel="0" collapsed="false">
      <c r="A481" s="5" t="n">
        <v>479</v>
      </c>
      <c r="B481" s="6" t="s">
        <v>1506</v>
      </c>
      <c r="C481" s="27" t="s">
        <v>1604</v>
      </c>
      <c r="D481" s="19" t="s">
        <v>32</v>
      </c>
      <c r="E481" s="9" t="s">
        <v>1605</v>
      </c>
      <c r="F481" s="5" t="n">
        <v>18</v>
      </c>
      <c r="G481" s="5" t="n">
        <f aca="false">F481*4</f>
        <v>72</v>
      </c>
      <c r="H481" s="10" t="n">
        <v>975395</v>
      </c>
      <c r="I481" s="40" t="s">
        <v>1606</v>
      </c>
      <c r="J481" s="12"/>
      <c r="K481" s="12"/>
      <c r="L481" s="12"/>
      <c r="M481" s="12"/>
      <c r="N481" s="12"/>
      <c r="O481" s="12"/>
      <c r="Q481" s="5"/>
      <c r="R481" s="13"/>
      <c r="S481" s="12"/>
      <c r="T481" s="14" t="s">
        <v>30</v>
      </c>
      <c r="U481" s="40" t="s">
        <v>1607</v>
      </c>
      <c r="V481" s="1" t="n">
        <v>2008</v>
      </c>
      <c r="W481" s="1" t="s">
        <v>1608</v>
      </c>
      <c r="X481" s="29"/>
    </row>
    <row r="482" customFormat="false" ht="18" hidden="false" customHeight="true" outlineLevel="0" collapsed="false">
      <c r="A482" s="16" t="n">
        <v>480</v>
      </c>
      <c r="B482" s="17" t="s">
        <v>1506</v>
      </c>
      <c r="C482" s="26" t="s">
        <v>1609</v>
      </c>
      <c r="D482" s="8" t="s">
        <v>27</v>
      </c>
      <c r="E482" s="20" t="s">
        <v>1610</v>
      </c>
      <c r="F482" s="16" t="n">
        <v>9</v>
      </c>
      <c r="G482" s="16" t="n">
        <f aca="false">F482*4</f>
        <v>36</v>
      </c>
      <c r="H482" s="21" t="n">
        <v>442376</v>
      </c>
      <c r="I482" s="22" t="s">
        <v>1611</v>
      </c>
      <c r="J482" s="12"/>
      <c r="K482" s="12"/>
      <c r="L482" s="12"/>
      <c r="M482" s="12"/>
      <c r="N482" s="12"/>
      <c r="O482" s="12"/>
      <c r="Q482" s="16"/>
      <c r="R482" s="23"/>
      <c r="S482" s="12"/>
      <c r="T482" s="14" t="s">
        <v>30</v>
      </c>
      <c r="U482" s="30"/>
      <c r="X482" s="25"/>
    </row>
    <row r="483" customFormat="false" ht="18" hidden="false" customHeight="true" outlineLevel="0" collapsed="false">
      <c r="A483" s="5" t="n">
        <v>481</v>
      </c>
      <c r="B483" s="6" t="s">
        <v>1506</v>
      </c>
      <c r="C483" s="27" t="s">
        <v>1612</v>
      </c>
      <c r="D483" s="8" t="s">
        <v>27</v>
      </c>
      <c r="E483" s="9" t="s">
        <v>1613</v>
      </c>
      <c r="F483" s="5" t="n">
        <v>18</v>
      </c>
      <c r="G483" s="5" t="n">
        <f aca="false">F483*4</f>
        <v>72</v>
      </c>
      <c r="H483" s="10" t="n">
        <v>643347</v>
      </c>
      <c r="I483" s="11" t="s">
        <v>1614</v>
      </c>
      <c r="J483" s="12"/>
      <c r="K483" s="12"/>
      <c r="L483" s="12"/>
      <c r="M483" s="12"/>
      <c r="N483" s="12"/>
      <c r="O483" s="12"/>
      <c r="Q483" s="5"/>
      <c r="R483" s="13"/>
      <c r="S483" s="12"/>
      <c r="T483" s="14" t="s">
        <v>30</v>
      </c>
      <c r="U483" s="40"/>
      <c r="X483" s="15"/>
    </row>
    <row r="484" customFormat="false" ht="18" hidden="false" customHeight="true" outlineLevel="0" collapsed="false">
      <c r="A484" s="16" t="n">
        <v>482</v>
      </c>
      <c r="B484" s="17" t="s">
        <v>1506</v>
      </c>
      <c r="C484" s="26" t="s">
        <v>1615</v>
      </c>
      <c r="D484" s="19" t="s">
        <v>32</v>
      </c>
      <c r="E484" s="20" t="s">
        <v>1616</v>
      </c>
      <c r="F484" s="16" t="n">
        <v>18</v>
      </c>
      <c r="G484" s="16" t="n">
        <f aca="false">F484*4</f>
        <v>72</v>
      </c>
      <c r="H484" s="21" t="n">
        <v>797237</v>
      </c>
      <c r="I484" s="22" t="s">
        <v>1617</v>
      </c>
      <c r="J484" s="12"/>
      <c r="K484" s="12"/>
      <c r="L484" s="12"/>
      <c r="M484" s="12"/>
      <c r="N484" s="12"/>
      <c r="O484" s="12"/>
      <c r="Q484" s="16"/>
      <c r="R484" s="23"/>
      <c r="S484" s="12"/>
      <c r="T484" s="14" t="s">
        <v>30</v>
      </c>
      <c r="U484" s="30" t="s">
        <v>1578</v>
      </c>
      <c r="V484" s="1" t="n">
        <v>2003</v>
      </c>
      <c r="W484" s="1" t="s">
        <v>1579</v>
      </c>
      <c r="X484" s="25"/>
    </row>
    <row r="486" customFormat="false" ht="10.5" hidden="false" customHeight="true" outlineLevel="0" collapsed="false">
      <c r="A486" s="82" t="s">
        <v>1618</v>
      </c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</row>
    <row r="487" customFormat="false" ht="15" hidden="false" customHeight="true" outlineLevel="0" collapsed="false">
      <c r="A487" s="83" t="s">
        <v>1619</v>
      </c>
      <c r="B487" s="84" t="s">
        <v>1620</v>
      </c>
      <c r="C487" s="85" t="s">
        <v>1621</v>
      </c>
      <c r="D487" s="86" t="s">
        <v>1622</v>
      </c>
      <c r="E487" s="87" t="s">
        <v>1623</v>
      </c>
    </row>
    <row r="488" customFormat="false" ht="15" hidden="false" customHeight="true" outlineLevel="0" collapsed="false">
      <c r="A488" s="5" t="n">
        <v>483</v>
      </c>
      <c r="B488" s="6" t="s">
        <v>504</v>
      </c>
      <c r="C488" s="27" t="s">
        <v>1624</v>
      </c>
      <c r="D488" s="8"/>
      <c r="E488" s="9" t="s">
        <v>1625</v>
      </c>
      <c r="F488" s="5" t="n">
        <v>72</v>
      </c>
      <c r="G488" s="5" t="n">
        <f aca="false">F488*4</f>
        <v>288</v>
      </c>
      <c r="H488" s="10"/>
      <c r="I488" s="11"/>
      <c r="J488" s="12" t="n">
        <v>4</v>
      </c>
      <c r="K488" s="12" t="n">
        <v>3.9</v>
      </c>
      <c r="L488" s="12" t="n">
        <v>4</v>
      </c>
      <c r="M488" s="12" t="n">
        <v>3.5</v>
      </c>
      <c r="N488" s="12" t="n">
        <v>3.8</v>
      </c>
      <c r="O488" s="12" t="n">
        <f aca="false">ROUND(AVERAGE(J488:N488),2)</f>
        <v>3.84</v>
      </c>
      <c r="P488" s="1" t="n">
        <v>95</v>
      </c>
      <c r="Q488" s="5"/>
      <c r="R488" s="13"/>
      <c r="S488" s="12"/>
      <c r="T488" s="14" t="s">
        <v>490</v>
      </c>
      <c r="U488" s="28" t="s">
        <v>1626</v>
      </c>
      <c r="V488" s="1" t="n">
        <v>2005</v>
      </c>
      <c r="W488" s="1" t="s">
        <v>1627</v>
      </c>
      <c r="X488" s="29" t="s">
        <v>1628</v>
      </c>
    </row>
    <row r="489" customFormat="false" ht="15" hidden="false" customHeight="true" outlineLevel="0" collapsed="false">
      <c r="A489" s="5" t="n">
        <v>484</v>
      </c>
      <c r="B489" s="6" t="s">
        <v>25</v>
      </c>
      <c r="C489" s="27" t="s">
        <v>1629</v>
      </c>
      <c r="D489" s="8"/>
      <c r="E489" s="9" t="s">
        <v>1630</v>
      </c>
      <c r="F489" s="5" t="n">
        <v>27</v>
      </c>
      <c r="G489" s="5" t="n">
        <f aca="false">F489*4</f>
        <v>108</v>
      </c>
      <c r="H489" s="10"/>
      <c r="I489" s="11"/>
      <c r="J489" s="12"/>
      <c r="K489" s="12"/>
      <c r="L489" s="12"/>
      <c r="M489" s="12"/>
      <c r="N489" s="12"/>
      <c r="O489" s="12"/>
      <c r="Q489" s="5"/>
      <c r="R489" s="13"/>
      <c r="S489" s="12"/>
      <c r="T489" s="14" t="s">
        <v>30</v>
      </c>
      <c r="U489" s="28" t="s">
        <v>1447</v>
      </c>
      <c r="V489" s="1" t="n">
        <v>2006</v>
      </c>
      <c r="W489" s="1" t="s">
        <v>1631</v>
      </c>
      <c r="X489" s="45" t="s">
        <v>1632</v>
      </c>
    </row>
    <row r="490" customFormat="false" ht="15" hidden="false" customHeight="true" outlineLevel="0" collapsed="false">
      <c r="A490" s="5" t="n">
        <v>485</v>
      </c>
      <c r="B490" s="6" t="s">
        <v>25</v>
      </c>
      <c r="C490" s="27" t="s">
        <v>1633</v>
      </c>
      <c r="D490" s="8"/>
      <c r="E490" s="9" t="s">
        <v>1634</v>
      </c>
      <c r="F490" s="5" t="n">
        <v>18</v>
      </c>
      <c r="G490" s="5" t="n">
        <f aca="false">F490*4</f>
        <v>72</v>
      </c>
      <c r="H490" s="10"/>
      <c r="I490" s="11"/>
      <c r="J490" s="12" t="n">
        <v>4.8</v>
      </c>
      <c r="K490" s="12" t="n">
        <v>4.9</v>
      </c>
      <c r="L490" s="12" t="n">
        <v>4.9</v>
      </c>
      <c r="M490" s="12" t="n">
        <v>4.7</v>
      </c>
      <c r="N490" s="12" t="n">
        <v>4.8</v>
      </c>
      <c r="O490" s="12" t="n">
        <f aca="false">ROUND(AVERAGE(J490:N490),2)</f>
        <v>4.82</v>
      </c>
      <c r="P490" s="1" t="n">
        <v>95</v>
      </c>
      <c r="Q490" s="5"/>
      <c r="R490" s="13"/>
      <c r="S490" s="12"/>
      <c r="T490" s="14" t="s">
        <v>490</v>
      </c>
      <c r="U490" s="28" t="s">
        <v>1447</v>
      </c>
      <c r="V490" s="1" t="n">
        <v>1968</v>
      </c>
      <c r="W490" s="1" t="s">
        <v>1635</v>
      </c>
      <c r="X490" s="45" t="s">
        <v>1636</v>
      </c>
    </row>
    <row r="491" customFormat="false" ht="15" hidden="false" customHeight="true" outlineLevel="0" collapsed="false">
      <c r="A491" s="5" t="n">
        <v>486</v>
      </c>
      <c r="B491" s="6" t="s">
        <v>25</v>
      </c>
      <c r="C491" s="27" t="s">
        <v>1637</v>
      </c>
      <c r="D491" s="8"/>
      <c r="E491" s="9" t="s">
        <v>1638</v>
      </c>
      <c r="F491" s="5" t="n">
        <v>18</v>
      </c>
      <c r="G491" s="5" t="n">
        <f aca="false">F491*4</f>
        <v>72</v>
      </c>
      <c r="H491" s="10"/>
      <c r="I491" s="11"/>
      <c r="J491" s="12"/>
      <c r="K491" s="12"/>
      <c r="L491" s="12"/>
      <c r="M491" s="12"/>
      <c r="N491" s="12"/>
      <c r="O491" s="12"/>
      <c r="Q491" s="5"/>
      <c r="R491" s="13"/>
      <c r="S491" s="12"/>
      <c r="T491" s="14" t="s">
        <v>30</v>
      </c>
      <c r="U491" s="11"/>
      <c r="X491" s="45" t="s">
        <v>32</v>
      </c>
    </row>
    <row r="492" customFormat="false" ht="15" hidden="false" customHeight="true" outlineLevel="0" collapsed="false">
      <c r="A492" s="5" t="n">
        <v>487</v>
      </c>
      <c r="B492" s="6" t="s">
        <v>1154</v>
      </c>
      <c r="C492" s="27" t="s">
        <v>1639</v>
      </c>
      <c r="D492" s="8"/>
      <c r="E492" s="9" t="s">
        <v>1640</v>
      </c>
      <c r="F492" s="5" t="n">
        <v>18</v>
      </c>
      <c r="G492" s="5" t="n">
        <f aca="false">F492*4</f>
        <v>72</v>
      </c>
      <c r="H492" s="10"/>
      <c r="I492" s="11"/>
      <c r="J492" s="12"/>
      <c r="K492" s="12"/>
      <c r="L492" s="12"/>
      <c r="M492" s="12"/>
      <c r="N492" s="12"/>
      <c r="O492" s="12"/>
      <c r="Q492" s="5"/>
      <c r="R492" s="13"/>
      <c r="S492" s="12"/>
      <c r="T492" s="14" t="s">
        <v>30</v>
      </c>
      <c r="U492" s="28" t="s">
        <v>1641</v>
      </c>
      <c r="V492" s="1" t="n">
        <v>2011</v>
      </c>
      <c r="W492" s="1" t="s">
        <v>1642</v>
      </c>
      <c r="X492" s="45" t="s">
        <v>1643</v>
      </c>
    </row>
    <row r="493" customFormat="false" ht="15" hidden="false" customHeight="true" outlineLevel="0" collapsed="false">
      <c r="A493" s="5" t="n">
        <v>488</v>
      </c>
      <c r="B493" s="6" t="s">
        <v>807</v>
      </c>
      <c r="C493" s="27" t="s">
        <v>1644</v>
      </c>
      <c r="D493" s="8"/>
      <c r="E493" s="9" t="s">
        <v>1645</v>
      </c>
      <c r="F493" s="5" t="n">
        <v>27</v>
      </c>
      <c r="G493" s="5" t="n">
        <f aca="false">F493*4</f>
        <v>108</v>
      </c>
      <c r="H493" s="10"/>
      <c r="I493" s="11"/>
      <c r="J493" s="12"/>
      <c r="K493" s="12"/>
      <c r="L493" s="12"/>
      <c r="M493" s="12"/>
      <c r="N493" s="12"/>
      <c r="O493" s="12"/>
      <c r="Q493" s="5"/>
      <c r="R493" s="13"/>
      <c r="S493" s="12"/>
      <c r="T493" s="14" t="s">
        <v>30</v>
      </c>
      <c r="U493" s="28" t="s">
        <v>1646</v>
      </c>
      <c r="V493" s="1" t="n">
        <v>2009</v>
      </c>
      <c r="W493" s="1" t="s">
        <v>1647</v>
      </c>
      <c r="X493" s="45" t="s">
        <v>1648</v>
      </c>
    </row>
    <row r="494" customFormat="false" ht="15" hidden="false" customHeight="true" outlineLevel="0" collapsed="false">
      <c r="A494" s="5" t="n">
        <v>489</v>
      </c>
      <c r="B494" s="6" t="s">
        <v>732</v>
      </c>
      <c r="C494" s="27" t="s">
        <v>1649</v>
      </c>
      <c r="D494" s="8"/>
      <c r="E494" s="9" t="s">
        <v>1650</v>
      </c>
      <c r="F494" s="5" t="n">
        <v>18</v>
      </c>
      <c r="G494" s="5" t="n">
        <f aca="false">F494*4</f>
        <v>72</v>
      </c>
      <c r="H494" s="10"/>
      <c r="I494" s="11"/>
      <c r="J494" s="12"/>
      <c r="K494" s="12"/>
      <c r="L494" s="12"/>
      <c r="M494" s="12"/>
      <c r="N494" s="12"/>
      <c r="O494" s="12"/>
      <c r="Q494" s="5"/>
      <c r="R494" s="13"/>
      <c r="S494" s="12"/>
      <c r="T494" s="14" t="s">
        <v>30</v>
      </c>
      <c r="U494" s="11"/>
      <c r="X494" s="45" t="s">
        <v>32</v>
      </c>
    </row>
    <row r="495" customFormat="false" ht="15" hidden="false" customHeight="true" outlineLevel="0" collapsed="false">
      <c r="A495" s="5" t="n">
        <v>490</v>
      </c>
      <c r="B495" s="6" t="s">
        <v>1023</v>
      </c>
      <c r="C495" s="27" t="s">
        <v>1651</v>
      </c>
      <c r="D495" s="8"/>
      <c r="E495" s="9" t="s">
        <v>1652</v>
      </c>
      <c r="F495" s="5" t="n">
        <v>27</v>
      </c>
      <c r="G495" s="5" t="n">
        <f aca="false">F495*4</f>
        <v>108</v>
      </c>
      <c r="H495" s="10"/>
      <c r="I495" s="11"/>
      <c r="J495" s="12"/>
      <c r="K495" s="12"/>
      <c r="L495" s="12"/>
      <c r="M495" s="12"/>
      <c r="N495" s="12"/>
      <c r="O495" s="12"/>
      <c r="Q495" s="5"/>
      <c r="R495" s="13"/>
      <c r="S495" s="12"/>
      <c r="T495" s="14" t="s">
        <v>30</v>
      </c>
      <c r="U495" s="28" t="s">
        <v>1653</v>
      </c>
      <c r="V495" s="1" t="n">
        <v>2005</v>
      </c>
      <c r="W495" s="1" t="s">
        <v>1654</v>
      </c>
      <c r="X495" s="45" t="s">
        <v>1655</v>
      </c>
    </row>
    <row r="496" customFormat="false" ht="15" hidden="false" customHeight="true" outlineLevel="0" collapsed="false">
      <c r="A496" s="5" t="n">
        <v>491</v>
      </c>
      <c r="B496" s="6" t="s">
        <v>1506</v>
      </c>
      <c r="C496" s="27" t="s">
        <v>1656</v>
      </c>
      <c r="D496" s="8"/>
      <c r="E496" s="9" t="s">
        <v>1657</v>
      </c>
      <c r="F496" s="5" t="n">
        <v>27</v>
      </c>
      <c r="G496" s="5" t="n">
        <f aca="false">F496*4</f>
        <v>108</v>
      </c>
      <c r="H496" s="10"/>
      <c r="I496" s="11"/>
      <c r="J496" s="12"/>
      <c r="K496" s="12"/>
      <c r="L496" s="12"/>
      <c r="M496" s="12"/>
      <c r="N496" s="12"/>
      <c r="O496" s="12"/>
      <c r="Q496" s="5"/>
      <c r="R496" s="13"/>
      <c r="S496" s="12"/>
      <c r="T496" s="14" t="s">
        <v>30</v>
      </c>
      <c r="U496" s="28" t="s">
        <v>1658</v>
      </c>
      <c r="V496" s="1" t="n">
        <v>2002</v>
      </c>
      <c r="W496" s="1" t="s">
        <v>1659</v>
      </c>
      <c r="X496" s="45" t="s">
        <v>1660</v>
      </c>
    </row>
    <row r="497" customFormat="false" ht="15" hidden="false" customHeight="true" outlineLevel="0" collapsed="false">
      <c r="A497" s="5" t="n">
        <v>492</v>
      </c>
      <c r="B497" s="6" t="s">
        <v>1506</v>
      </c>
      <c r="C497" s="27" t="s">
        <v>1661</v>
      </c>
      <c r="D497" s="8"/>
      <c r="E497" s="9" t="s">
        <v>1662</v>
      </c>
      <c r="F497" s="5" t="n">
        <v>27</v>
      </c>
      <c r="G497" s="5" t="n">
        <f aca="false">F497*4</f>
        <v>108</v>
      </c>
      <c r="H497" s="10"/>
      <c r="I497" s="11"/>
      <c r="J497" s="12"/>
      <c r="K497" s="12"/>
      <c r="L497" s="12"/>
      <c r="M497" s="12"/>
      <c r="N497" s="12"/>
      <c r="O497" s="12"/>
      <c r="Q497" s="5"/>
      <c r="R497" s="13"/>
      <c r="S497" s="12"/>
      <c r="T497" s="14" t="s">
        <v>30</v>
      </c>
      <c r="U497" s="28" t="s">
        <v>1663</v>
      </c>
      <c r="V497" s="1" t="n">
        <v>1979</v>
      </c>
      <c r="W497" s="1" t="s">
        <v>1664</v>
      </c>
      <c r="X497" s="45" t="s">
        <v>1665</v>
      </c>
    </row>
    <row r="498" customFormat="false" ht="15" hidden="false" customHeight="true" outlineLevel="0" collapsed="false">
      <c r="A498" s="5" t="n">
        <v>493</v>
      </c>
      <c r="B498" s="6" t="s">
        <v>1506</v>
      </c>
      <c r="C498" s="27" t="s">
        <v>1666</v>
      </c>
      <c r="D498" s="8"/>
      <c r="E498" s="9" t="s">
        <v>1667</v>
      </c>
      <c r="F498" s="5" t="n">
        <v>18</v>
      </c>
      <c r="G498" s="5" t="n">
        <f aca="false">F498*4</f>
        <v>72</v>
      </c>
      <c r="H498" s="10"/>
      <c r="I498" s="11"/>
      <c r="J498" s="12"/>
      <c r="K498" s="12"/>
      <c r="L498" s="12"/>
      <c r="M498" s="12"/>
      <c r="N498" s="12"/>
      <c r="O498" s="12"/>
      <c r="Q498" s="5"/>
      <c r="R498" s="13"/>
      <c r="S498" s="12"/>
      <c r="T498" s="14" t="s">
        <v>30</v>
      </c>
      <c r="U498" s="11"/>
      <c r="X498" s="45" t="s">
        <v>1668</v>
      </c>
    </row>
    <row r="499" customFormat="false" ht="15" hidden="false" customHeight="true" outlineLevel="0" collapsed="false">
      <c r="A499" s="5" t="n">
        <v>494</v>
      </c>
      <c r="B499" s="6" t="s">
        <v>25</v>
      </c>
      <c r="C499" s="27" t="s">
        <v>1669</v>
      </c>
      <c r="D499" s="8"/>
      <c r="E499" s="9" t="s">
        <v>1670</v>
      </c>
      <c r="F499" s="5" t="n">
        <v>18</v>
      </c>
      <c r="G499" s="5" t="n">
        <f aca="false">F499*4</f>
        <v>72</v>
      </c>
      <c r="H499" s="10"/>
      <c r="I499" s="11"/>
      <c r="J499" s="12"/>
      <c r="K499" s="12"/>
      <c r="L499" s="12"/>
      <c r="M499" s="12"/>
      <c r="N499" s="12"/>
      <c r="O499" s="12"/>
      <c r="Q499" s="5"/>
      <c r="R499" s="13"/>
      <c r="S499" s="12"/>
      <c r="T499" s="14" t="s">
        <v>30</v>
      </c>
      <c r="U499" s="28" t="s">
        <v>1671</v>
      </c>
      <c r="V499" s="1" t="n">
        <v>1991</v>
      </c>
      <c r="W499" s="1" t="s">
        <v>1672</v>
      </c>
      <c r="X499" s="45" t="s">
        <v>32</v>
      </c>
    </row>
    <row r="500" customFormat="false" ht="15" hidden="false" customHeight="true" outlineLevel="0" collapsed="false">
      <c r="A500" s="5" t="n">
        <v>495</v>
      </c>
      <c r="B500" s="6" t="s">
        <v>25</v>
      </c>
      <c r="C500" s="27" t="s">
        <v>1673</v>
      </c>
      <c r="D500" s="8"/>
      <c r="E500" s="9" t="s">
        <v>1674</v>
      </c>
      <c r="F500" s="5" t="n">
        <v>18</v>
      </c>
      <c r="G500" s="5" t="n">
        <f aca="false">F500*4</f>
        <v>72</v>
      </c>
      <c r="H500" s="10"/>
      <c r="I500" s="11"/>
      <c r="J500" s="12"/>
      <c r="K500" s="12"/>
      <c r="L500" s="12"/>
      <c r="M500" s="12"/>
      <c r="N500" s="12"/>
      <c r="O500" s="12"/>
      <c r="Q500" s="5"/>
      <c r="R500" s="13"/>
      <c r="S500" s="12"/>
      <c r="T500" s="14" t="s">
        <v>30</v>
      </c>
      <c r="U500" s="28" t="s">
        <v>1675</v>
      </c>
      <c r="V500" s="1" t="n">
        <v>2011</v>
      </c>
      <c r="W500" s="1" t="s">
        <v>1676</v>
      </c>
      <c r="X500" s="45" t="s">
        <v>1677</v>
      </c>
    </row>
    <row r="501" customFormat="false" ht="15" hidden="false" customHeight="true" outlineLevel="0" collapsed="false">
      <c r="A501" s="5" t="n">
        <v>496</v>
      </c>
      <c r="B501" s="6" t="s">
        <v>544</v>
      </c>
      <c r="C501" s="27" t="s">
        <v>1678</v>
      </c>
      <c r="D501" s="8"/>
      <c r="E501" s="9" t="s">
        <v>1679</v>
      </c>
      <c r="F501" s="5" t="n">
        <v>18</v>
      </c>
      <c r="G501" s="5" t="n">
        <f aca="false">F501*4</f>
        <v>72</v>
      </c>
      <c r="H501" s="10"/>
      <c r="I501" s="11"/>
      <c r="J501" s="12"/>
      <c r="K501" s="12"/>
      <c r="L501" s="12"/>
      <c r="M501" s="12"/>
      <c r="N501" s="12"/>
      <c r="O501" s="12"/>
      <c r="Q501" s="5"/>
      <c r="R501" s="13"/>
      <c r="S501" s="12"/>
      <c r="T501" s="14" t="s">
        <v>30</v>
      </c>
      <c r="U501" s="28" t="s">
        <v>1680</v>
      </c>
      <c r="V501" s="1" t="n">
        <v>2008</v>
      </c>
      <c r="W501" s="1" t="s">
        <v>1681</v>
      </c>
      <c r="X501" s="45" t="s">
        <v>1682</v>
      </c>
    </row>
    <row r="502" customFormat="false" ht="15" hidden="false" customHeight="true" outlineLevel="0" collapsed="false">
      <c r="A502" s="5" t="n">
        <v>497</v>
      </c>
      <c r="B502" s="6" t="s">
        <v>544</v>
      </c>
      <c r="C502" s="27" t="s">
        <v>1683</v>
      </c>
      <c r="D502" s="8"/>
      <c r="E502" s="9" t="s">
        <v>1684</v>
      </c>
      <c r="F502" s="5" t="n">
        <v>36</v>
      </c>
      <c r="G502" s="5" t="n">
        <f aca="false">F502*4</f>
        <v>144</v>
      </c>
      <c r="H502" s="10"/>
      <c r="I502" s="11"/>
      <c r="J502" s="12"/>
      <c r="K502" s="12"/>
      <c r="L502" s="12"/>
      <c r="M502" s="12"/>
      <c r="N502" s="12"/>
      <c r="O502" s="12"/>
      <c r="Q502" s="5"/>
      <c r="R502" s="13"/>
      <c r="S502" s="12"/>
      <c r="T502" s="14" t="s">
        <v>30</v>
      </c>
      <c r="U502" s="28" t="s">
        <v>1685</v>
      </c>
      <c r="V502" s="1" t="n">
        <v>2010</v>
      </c>
      <c r="W502" s="1" t="s">
        <v>1686</v>
      </c>
      <c r="X502" s="45" t="s">
        <v>32</v>
      </c>
    </row>
    <row r="503" customFormat="false" ht="15" hidden="false" customHeight="true" outlineLevel="0" collapsed="false">
      <c r="A503" s="5" t="n">
        <v>498</v>
      </c>
      <c r="B503" s="6" t="s">
        <v>732</v>
      </c>
      <c r="C503" s="27" t="s">
        <v>1687</v>
      </c>
      <c r="D503" s="8"/>
      <c r="E503" s="9" t="s">
        <v>1688</v>
      </c>
      <c r="F503" s="5" t="n">
        <v>27</v>
      </c>
      <c r="G503" s="5" t="n">
        <f aca="false">F503*4</f>
        <v>108</v>
      </c>
      <c r="H503" s="10"/>
      <c r="I503" s="11"/>
      <c r="J503" s="12"/>
      <c r="K503" s="12"/>
      <c r="L503" s="12"/>
      <c r="M503" s="12"/>
      <c r="N503" s="12"/>
      <c r="O503" s="12"/>
      <c r="Q503" s="5"/>
      <c r="R503" s="13"/>
      <c r="S503" s="12"/>
      <c r="T503" s="14" t="s">
        <v>30</v>
      </c>
      <c r="U503" s="28" t="s">
        <v>1689</v>
      </c>
      <c r="V503" s="1" t="n">
        <v>2008</v>
      </c>
      <c r="W503" s="1" t="s">
        <v>1690</v>
      </c>
      <c r="X503" s="45" t="s">
        <v>32</v>
      </c>
    </row>
    <row r="504" customFormat="false" ht="15" hidden="false" customHeight="true" outlineLevel="0" collapsed="false">
      <c r="A504" s="5" t="n">
        <v>499</v>
      </c>
      <c r="B504" s="6" t="s">
        <v>732</v>
      </c>
      <c r="C504" s="27" t="s">
        <v>1691</v>
      </c>
      <c r="D504" s="8"/>
      <c r="E504" s="9" t="s">
        <v>1688</v>
      </c>
      <c r="F504" s="5" t="n">
        <v>18</v>
      </c>
      <c r="G504" s="5" t="n">
        <f aca="false">F504*4</f>
        <v>72</v>
      </c>
      <c r="H504" s="10"/>
      <c r="I504" s="11"/>
      <c r="J504" s="12"/>
      <c r="K504" s="12"/>
      <c r="L504" s="12"/>
      <c r="M504" s="12"/>
      <c r="N504" s="12"/>
      <c r="O504" s="12"/>
      <c r="Q504" s="5"/>
      <c r="R504" s="13"/>
      <c r="S504" s="12"/>
      <c r="T504" s="14" t="s">
        <v>30</v>
      </c>
      <c r="U504" s="28" t="s">
        <v>1692</v>
      </c>
      <c r="V504" s="1" t="n">
        <v>2007</v>
      </c>
      <c r="W504" s="1" t="s">
        <v>1693</v>
      </c>
      <c r="X504" s="45" t="s">
        <v>32</v>
      </c>
    </row>
    <row r="505" customFormat="false" ht="15" hidden="false" customHeight="true" outlineLevel="0" collapsed="false">
      <c r="A505" s="5" t="n">
        <v>500</v>
      </c>
      <c r="B505" s="6" t="s">
        <v>807</v>
      </c>
      <c r="C505" s="27" t="s">
        <v>1694</v>
      </c>
      <c r="D505" s="8"/>
      <c r="E505" s="9" t="s">
        <v>1695</v>
      </c>
      <c r="F505" s="5" t="n">
        <v>36</v>
      </c>
      <c r="G505" s="5" t="n">
        <f aca="false">F505*4</f>
        <v>144</v>
      </c>
      <c r="H505" s="10"/>
      <c r="I505" s="11"/>
      <c r="J505" s="12"/>
      <c r="K505" s="12"/>
      <c r="L505" s="12"/>
      <c r="M505" s="12"/>
      <c r="N505" s="12"/>
      <c r="O505" s="12"/>
      <c r="Q505" s="5"/>
      <c r="R505" s="13"/>
      <c r="S505" s="12"/>
      <c r="T505" s="14" t="s">
        <v>30</v>
      </c>
      <c r="U505" s="28" t="s">
        <v>1696</v>
      </c>
      <c r="V505" s="1" t="n">
        <v>2009</v>
      </c>
      <c r="W505" s="1" t="s">
        <v>1697</v>
      </c>
      <c r="X505" s="45" t="s">
        <v>32</v>
      </c>
    </row>
    <row r="506" customFormat="false" ht="15" hidden="false" customHeight="true" outlineLevel="0" collapsed="false">
      <c r="A506" s="5" t="n">
        <v>501</v>
      </c>
      <c r="B506" s="6" t="s">
        <v>1154</v>
      </c>
      <c r="C506" s="27" t="s">
        <v>1698</v>
      </c>
      <c r="D506" s="8"/>
      <c r="E506" s="9" t="s">
        <v>1699</v>
      </c>
      <c r="F506" s="5" t="n">
        <v>27</v>
      </c>
      <c r="G506" s="5" t="n">
        <f aca="false">F506*4</f>
        <v>108</v>
      </c>
      <c r="H506" s="10"/>
      <c r="I506" s="11"/>
      <c r="J506" s="12"/>
      <c r="K506" s="12"/>
      <c r="L506" s="12"/>
      <c r="M506" s="12"/>
      <c r="N506" s="12"/>
      <c r="O506" s="12"/>
      <c r="Q506" s="5"/>
      <c r="R506" s="13"/>
      <c r="S506" s="12"/>
      <c r="T506" s="14" t="s">
        <v>30</v>
      </c>
      <c r="U506" s="28" t="s">
        <v>1700</v>
      </c>
      <c r="V506" s="1" t="n">
        <v>1999</v>
      </c>
      <c r="W506" s="1" t="s">
        <v>1701</v>
      </c>
      <c r="X506" s="45" t="s">
        <v>1702</v>
      </c>
    </row>
    <row r="507" customFormat="false" ht="15" hidden="false" customHeight="true" outlineLevel="0" collapsed="false">
      <c r="A507" s="5" t="n">
        <v>502</v>
      </c>
      <c r="B507" s="6" t="s">
        <v>1154</v>
      </c>
      <c r="C507" s="27" t="s">
        <v>1703</v>
      </c>
      <c r="D507" s="8"/>
      <c r="E507" s="9" t="s">
        <v>1704</v>
      </c>
      <c r="F507" s="5" t="n">
        <v>18</v>
      </c>
      <c r="G507" s="5" t="n">
        <f aca="false">F507*4</f>
        <v>72</v>
      </c>
      <c r="H507" s="10"/>
      <c r="I507" s="11"/>
      <c r="J507" s="12"/>
      <c r="K507" s="12"/>
      <c r="L507" s="12"/>
      <c r="M507" s="12"/>
      <c r="N507" s="12"/>
      <c r="O507" s="12"/>
      <c r="Q507" s="5"/>
      <c r="R507" s="13"/>
      <c r="S507" s="12"/>
      <c r="T507" s="14" t="s">
        <v>30</v>
      </c>
      <c r="U507" s="28" t="s">
        <v>1705</v>
      </c>
      <c r="V507" s="1" t="n">
        <v>2012</v>
      </c>
      <c r="W507" s="1" t="s">
        <v>1706</v>
      </c>
      <c r="X507" s="45" t="s">
        <v>1707</v>
      </c>
    </row>
    <row r="508" customFormat="false" ht="15" hidden="false" customHeight="true" outlineLevel="0" collapsed="false">
      <c r="A508" s="5" t="n">
        <v>503</v>
      </c>
      <c r="B508" s="6" t="s">
        <v>1154</v>
      </c>
      <c r="C508" s="27" t="s">
        <v>1708</v>
      </c>
      <c r="D508" s="8"/>
      <c r="E508" s="9" t="s">
        <v>1709</v>
      </c>
      <c r="F508" s="5" t="n">
        <v>27</v>
      </c>
      <c r="G508" s="5" t="n">
        <f aca="false">F508*4</f>
        <v>108</v>
      </c>
      <c r="H508" s="10"/>
      <c r="I508" s="11"/>
      <c r="J508" s="12"/>
      <c r="K508" s="12"/>
      <c r="L508" s="12"/>
      <c r="M508" s="12"/>
      <c r="N508" s="12"/>
      <c r="O508" s="12"/>
      <c r="Q508" s="5"/>
      <c r="R508" s="13"/>
      <c r="S508" s="12"/>
      <c r="T508" s="14" t="s">
        <v>30</v>
      </c>
      <c r="U508" s="28" t="s">
        <v>1710</v>
      </c>
      <c r="V508" s="1" t="n">
        <v>1992</v>
      </c>
      <c r="W508" s="1" t="s">
        <v>1711</v>
      </c>
      <c r="X508" s="45" t="s">
        <v>32</v>
      </c>
    </row>
    <row r="509" customFormat="false" ht="15" hidden="false" customHeight="true" outlineLevel="0" collapsed="false">
      <c r="A509" s="5" t="n">
        <v>504</v>
      </c>
      <c r="B509" s="6" t="s">
        <v>1314</v>
      </c>
      <c r="C509" s="27" t="s">
        <v>1712</v>
      </c>
      <c r="D509" s="8"/>
      <c r="E509" s="9" t="s">
        <v>1713</v>
      </c>
      <c r="F509" s="5" t="n">
        <v>18</v>
      </c>
      <c r="G509" s="5" t="n">
        <f aca="false">F509*4</f>
        <v>72</v>
      </c>
      <c r="H509" s="10"/>
      <c r="I509" s="11"/>
      <c r="J509" s="12"/>
      <c r="K509" s="12"/>
      <c r="L509" s="12"/>
      <c r="M509" s="12"/>
      <c r="N509" s="12"/>
      <c r="O509" s="12"/>
      <c r="Q509" s="5"/>
      <c r="R509" s="13"/>
      <c r="S509" s="12"/>
      <c r="T509" s="14" t="s">
        <v>30</v>
      </c>
      <c r="U509" s="28" t="s">
        <v>1714</v>
      </c>
      <c r="V509" s="1" t="n">
        <v>2002</v>
      </c>
      <c r="W509" s="1" t="s">
        <v>1432</v>
      </c>
      <c r="X509" s="45" t="s">
        <v>1715</v>
      </c>
    </row>
    <row r="510" customFormat="false" ht="15" hidden="false" customHeight="true" outlineLevel="0" collapsed="false">
      <c r="A510" s="5" t="n">
        <v>505</v>
      </c>
      <c r="B510" s="6" t="s">
        <v>732</v>
      </c>
      <c r="C510" s="27" t="s">
        <v>1716</v>
      </c>
      <c r="D510" s="8"/>
      <c r="E510" s="9" t="s">
        <v>1717</v>
      </c>
      <c r="F510" s="5" t="n">
        <v>27</v>
      </c>
      <c r="G510" s="5" t="n">
        <f aca="false">F510*4</f>
        <v>108</v>
      </c>
      <c r="H510" s="10"/>
      <c r="I510" s="11"/>
      <c r="J510" s="12"/>
      <c r="K510" s="12"/>
      <c r="L510" s="12"/>
      <c r="M510" s="12"/>
      <c r="N510" s="12"/>
      <c r="O510" s="12"/>
      <c r="Q510" s="5"/>
      <c r="R510" s="13"/>
      <c r="S510" s="12"/>
      <c r="T510" s="14" t="s">
        <v>30</v>
      </c>
      <c r="U510" s="28" t="s">
        <v>1718</v>
      </c>
      <c r="V510" s="1" t="n">
        <v>2010</v>
      </c>
      <c r="W510" s="1" t="s">
        <v>1719</v>
      </c>
      <c r="X510" s="45" t="s">
        <v>1720</v>
      </c>
    </row>
    <row r="511" customFormat="false" ht="15" hidden="false" customHeight="true" outlineLevel="0" collapsed="false">
      <c r="A511" s="5" t="n">
        <v>506</v>
      </c>
      <c r="B511" s="6" t="s">
        <v>25</v>
      </c>
      <c r="C511" s="27" t="s">
        <v>1721</v>
      </c>
      <c r="D511" s="8"/>
      <c r="E511" s="9" t="s">
        <v>1722</v>
      </c>
      <c r="F511" s="5" t="n">
        <v>18</v>
      </c>
      <c r="G511" s="5" t="n">
        <f aca="false">F511*4</f>
        <v>72</v>
      </c>
      <c r="H511" s="10"/>
      <c r="I511" s="11"/>
      <c r="J511" s="12"/>
      <c r="K511" s="12"/>
      <c r="L511" s="12"/>
      <c r="M511" s="12"/>
      <c r="N511" s="12"/>
      <c r="O511" s="12"/>
      <c r="Q511" s="5"/>
      <c r="R511" s="13"/>
      <c r="S511" s="12"/>
      <c r="T511" s="14" t="s">
        <v>30</v>
      </c>
      <c r="U511" s="28" t="s">
        <v>1723</v>
      </c>
      <c r="V511" s="1" t="n">
        <v>2004</v>
      </c>
      <c r="W511" s="1" t="s">
        <v>1724</v>
      </c>
      <c r="X511" s="45" t="s">
        <v>32</v>
      </c>
    </row>
    <row r="512" customFormat="false" ht="15" hidden="false" customHeight="true" outlineLevel="0" collapsed="false">
      <c r="A512" s="5" t="n">
        <v>507</v>
      </c>
      <c r="B512" s="6" t="s">
        <v>25</v>
      </c>
      <c r="C512" s="27" t="s">
        <v>1725</v>
      </c>
      <c r="D512" s="8"/>
      <c r="E512" s="9" t="s">
        <v>1722</v>
      </c>
      <c r="F512" s="5" t="n">
        <v>18</v>
      </c>
      <c r="G512" s="5" t="n">
        <f aca="false">F512*4</f>
        <v>72</v>
      </c>
      <c r="H512" s="10"/>
      <c r="I512" s="11"/>
      <c r="J512" s="12"/>
      <c r="K512" s="12"/>
      <c r="L512" s="12"/>
      <c r="M512" s="12"/>
      <c r="N512" s="12"/>
      <c r="O512" s="12"/>
      <c r="Q512" s="5"/>
      <c r="R512" s="13"/>
      <c r="S512" s="12"/>
      <c r="T512" s="14" t="s">
        <v>30</v>
      </c>
      <c r="U512" s="28" t="s">
        <v>1726</v>
      </c>
      <c r="V512" s="1" t="n">
        <v>2001</v>
      </c>
      <c r="W512" s="1" t="s">
        <v>1727</v>
      </c>
      <c r="X512" s="45" t="s">
        <v>32</v>
      </c>
    </row>
  </sheetData>
  <mergeCells count="2">
    <mergeCell ref="A1:U1"/>
    <mergeCell ref="A486:U486"/>
  </mergeCells>
  <hyperlinks>
    <hyperlink ref="T20" r:id="rId1" display="✅ 서비스중"/>
    <hyperlink ref="T32" r:id="rId2" display="✅ 서비스중"/>
    <hyperlink ref="T97" r:id="rId3" display="✅ 서비스중"/>
    <hyperlink ref="T132" r:id="rId4" display="✅ 서비스중"/>
    <hyperlink ref="T187" r:id="rId5" display="✅ 서비스중"/>
    <hyperlink ref="T215" r:id="rId6" display="✅ 서비스중"/>
    <hyperlink ref="T276" r:id="rId7" display="✅ 서비스중"/>
    <hyperlink ref="T369" r:id="rId8" display="✅ 서비스중"/>
    <hyperlink ref="T400" r:id="rId9" display="✅ 서비스중"/>
    <hyperlink ref="T479" r:id="rId10" display="✅ 평점확보 (시드)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32"/>
    <col collapsed="false" customWidth="true" hidden="false" outlineLevel="0" max="6" min="6" style="1" width="6"/>
    <col collapsed="false" customWidth="true" hidden="false" outlineLevel="0" max="7" min="7" style="1" width="7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3" min="10" style="1" width="8"/>
    <col collapsed="false" customWidth="true" hidden="false" outlineLevel="0" max="14" min="14" style="1" width="12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36"/>
    <col collapsed="false" customWidth="true" hidden="false" outlineLevel="0" max="18" min="18" style="1" width="12"/>
    <col collapsed="false" customWidth="true" hidden="false" outlineLevel="0" max="19" min="19" style="1" width="16"/>
  </cols>
  <sheetData>
    <row r="1" customFormat="false" ht="27.75" hidden="false" customHeight="true" outlineLevel="0" collapsed="false">
      <c r="A1" s="88" t="s">
        <v>1728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customFormat="false" ht="36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1729</v>
      </c>
      <c r="F2" s="4" t="s">
        <v>6</v>
      </c>
      <c r="G2" s="4" t="s">
        <v>1730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21</v>
      </c>
      <c r="S2" s="4" t="s">
        <v>22</v>
      </c>
      <c r="T2" s="4" t="s">
        <v>23</v>
      </c>
      <c r="U2" s="4" t="s">
        <v>24</v>
      </c>
    </row>
    <row r="3" customFormat="false" ht="19.5" hidden="false" customHeight="true" outlineLevel="0" collapsed="false">
      <c r="A3" s="5" t="n">
        <v>1</v>
      </c>
      <c r="B3" s="6" t="s">
        <v>1731</v>
      </c>
      <c r="C3" s="27" t="s">
        <v>1732</v>
      </c>
      <c r="D3" s="19" t="s">
        <v>32</v>
      </c>
      <c r="E3" s="9" t="s">
        <v>1733</v>
      </c>
      <c r="F3" s="5" t="n">
        <v>18</v>
      </c>
      <c r="G3" s="5" t="n">
        <v>72</v>
      </c>
      <c r="H3" s="32" t="n">
        <v>4.6</v>
      </c>
      <c r="I3" s="31" t="n">
        <v>4.7</v>
      </c>
      <c r="J3" s="31" t="n">
        <v>4.8</v>
      </c>
      <c r="K3" s="43" t="n">
        <v>4</v>
      </c>
      <c r="L3" s="31" t="n">
        <v>5</v>
      </c>
      <c r="M3" s="33" t="n">
        <f aca="false">ROUND(AVERAGE(H3:L3),2)</f>
        <v>4.62</v>
      </c>
      <c r="O3" s="5" t="n">
        <v>133</v>
      </c>
      <c r="P3" s="13" t="n">
        <v>72.5</v>
      </c>
      <c r="Q3" s="67" t="s">
        <v>657</v>
      </c>
      <c r="R3" s="42" t="s">
        <v>1734</v>
      </c>
      <c r="U3" s="15"/>
    </row>
    <row r="4" customFormat="false" ht="19.5" hidden="false" customHeight="true" outlineLevel="0" collapsed="false">
      <c r="A4" s="16" t="n">
        <v>2</v>
      </c>
      <c r="B4" s="17" t="s">
        <v>1735</v>
      </c>
      <c r="C4" s="26" t="s">
        <v>1736</v>
      </c>
      <c r="D4" s="19" t="s">
        <v>32</v>
      </c>
      <c r="E4" s="20" t="s">
        <v>1737</v>
      </c>
      <c r="F4" s="16" t="n">
        <v>18</v>
      </c>
      <c r="G4" s="16" t="n">
        <v>72</v>
      </c>
      <c r="H4" s="31" t="n">
        <v>4.9</v>
      </c>
      <c r="I4" s="31" t="n">
        <v>4.9</v>
      </c>
      <c r="J4" s="31" t="n">
        <v>5</v>
      </c>
      <c r="K4" s="32" t="n">
        <v>4.2</v>
      </c>
      <c r="L4" s="31" t="n">
        <v>5</v>
      </c>
      <c r="M4" s="41" t="n">
        <f aca="false">ROUND(AVERAGE(H4:L4),2)</f>
        <v>4.8</v>
      </c>
      <c r="O4" s="16" t="n">
        <v>139</v>
      </c>
      <c r="P4" s="23" t="n">
        <v>73.4</v>
      </c>
      <c r="Q4" s="67" t="s">
        <v>657</v>
      </c>
      <c r="R4" s="36" t="s">
        <v>1738</v>
      </c>
      <c r="U4" s="25"/>
    </row>
    <row r="5" customFormat="false" ht="19.5" hidden="false" customHeight="true" outlineLevel="0" collapsed="false">
      <c r="A5" s="5" t="n">
        <v>3</v>
      </c>
      <c r="B5" s="6" t="s">
        <v>1731</v>
      </c>
      <c r="C5" s="27" t="s">
        <v>1739</v>
      </c>
      <c r="D5" s="19" t="s">
        <v>32</v>
      </c>
      <c r="E5" s="9" t="s">
        <v>1740</v>
      </c>
      <c r="F5" s="5" t="n">
        <v>36</v>
      </c>
      <c r="G5" s="5" t="n">
        <v>144</v>
      </c>
      <c r="H5" s="32" t="n">
        <v>4.4</v>
      </c>
      <c r="I5" s="32" t="n">
        <v>4.5</v>
      </c>
      <c r="J5" s="32" t="n">
        <v>4.6</v>
      </c>
      <c r="K5" s="43" t="n">
        <v>3.5</v>
      </c>
      <c r="L5" s="31" t="n">
        <v>4.8</v>
      </c>
      <c r="M5" s="33" t="n">
        <f aca="false">ROUND(AVERAGE(H5:L5),2)</f>
        <v>4.36</v>
      </c>
      <c r="O5" s="5" t="n">
        <v>134</v>
      </c>
      <c r="P5" s="13" t="n">
        <v>72.7</v>
      </c>
      <c r="Q5" s="67" t="s">
        <v>657</v>
      </c>
      <c r="R5" s="42" t="s">
        <v>1741</v>
      </c>
      <c r="U5" s="15"/>
    </row>
    <row r="6" customFormat="false" ht="19.5" hidden="false" customHeight="true" outlineLevel="0" collapsed="false">
      <c r="A6" s="16" t="n">
        <v>4</v>
      </c>
      <c r="B6" s="17" t="s">
        <v>1731</v>
      </c>
      <c r="C6" s="26" t="s">
        <v>1742</v>
      </c>
      <c r="D6" s="19" t="s">
        <v>32</v>
      </c>
      <c r="E6" s="20" t="s">
        <v>1743</v>
      </c>
      <c r="F6" s="16" t="n">
        <v>18</v>
      </c>
      <c r="G6" s="16" t="n">
        <v>72</v>
      </c>
      <c r="H6" s="32" t="n">
        <v>4.2</v>
      </c>
      <c r="I6" s="32" t="n">
        <v>4.3</v>
      </c>
      <c r="J6" s="32" t="n">
        <v>4.5</v>
      </c>
      <c r="K6" s="43" t="n">
        <v>4.1</v>
      </c>
      <c r="L6" s="31" t="n">
        <v>4.9</v>
      </c>
      <c r="M6" s="33" t="n">
        <f aca="false">ROUND(AVERAGE(H6:L6),2)</f>
        <v>4.4</v>
      </c>
      <c r="O6" s="16" t="n">
        <v>126</v>
      </c>
      <c r="P6" s="23" t="n">
        <v>71.3</v>
      </c>
      <c r="Q6" s="34" t="s">
        <v>90</v>
      </c>
      <c r="R6" s="36" t="s">
        <v>1744</v>
      </c>
      <c r="U6" s="25"/>
    </row>
    <row r="7" customFormat="false" ht="19.5" hidden="false" customHeight="true" outlineLevel="0" collapsed="false">
      <c r="A7" s="5" t="n">
        <v>5</v>
      </c>
      <c r="B7" s="6" t="s">
        <v>1745</v>
      </c>
      <c r="C7" s="27" t="s">
        <v>1746</v>
      </c>
      <c r="D7" s="19" t="s">
        <v>32</v>
      </c>
      <c r="E7" s="9" t="s">
        <v>1747</v>
      </c>
      <c r="F7" s="5" t="n">
        <v>18</v>
      </c>
      <c r="G7" s="5" t="n">
        <v>72</v>
      </c>
      <c r="H7" s="43" t="n">
        <v>4.1</v>
      </c>
      <c r="I7" s="32" t="n">
        <v>4.2</v>
      </c>
      <c r="J7" s="32" t="n">
        <v>4.4</v>
      </c>
      <c r="K7" s="32" t="n">
        <v>4.3</v>
      </c>
      <c r="L7" s="31" t="n">
        <v>4.8</v>
      </c>
      <c r="M7" s="33" t="n">
        <f aca="false">ROUND(AVERAGE(H7:L7),2)</f>
        <v>4.36</v>
      </c>
      <c r="O7" s="5" t="n">
        <v>121</v>
      </c>
      <c r="P7" s="13" t="n">
        <v>70.7</v>
      </c>
      <c r="Q7" s="34" t="s">
        <v>90</v>
      </c>
      <c r="R7" s="42" t="s">
        <v>1748</v>
      </c>
      <c r="U7" s="15"/>
    </row>
    <row r="8" customFormat="false" ht="19.5" hidden="false" customHeight="true" outlineLevel="0" collapsed="false">
      <c r="A8" s="16" t="n">
        <v>6</v>
      </c>
      <c r="B8" s="17" t="s">
        <v>1749</v>
      </c>
      <c r="C8" s="18" t="s">
        <v>1750</v>
      </c>
      <c r="D8" s="8" t="s">
        <v>27</v>
      </c>
      <c r="E8" s="20" t="s">
        <v>1751</v>
      </c>
      <c r="F8" s="16" t="n">
        <v>27</v>
      </c>
      <c r="G8" s="16" t="n">
        <v>108</v>
      </c>
      <c r="H8" s="32" t="n">
        <v>4.3</v>
      </c>
      <c r="I8" s="32" t="n">
        <v>4.4</v>
      </c>
      <c r="J8" s="32" t="n">
        <v>4.5</v>
      </c>
      <c r="K8" s="43" t="n">
        <v>3.5</v>
      </c>
      <c r="L8" s="32" t="n">
        <v>4.5</v>
      </c>
      <c r="M8" s="33" t="n">
        <f aca="false">ROUND(AVERAGE(H8:L8),2)</f>
        <v>4.24</v>
      </c>
      <c r="O8" s="16" t="n">
        <v>118</v>
      </c>
      <c r="P8" s="23" t="n">
        <v>70.1</v>
      </c>
      <c r="Q8" s="34" t="s">
        <v>90</v>
      </c>
      <c r="R8" s="36" t="s">
        <v>1752</v>
      </c>
      <c r="U8" s="25"/>
    </row>
    <row r="9" customFormat="false" ht="19.5" hidden="false" customHeight="true" outlineLevel="0" collapsed="false">
      <c r="A9" s="5" t="n">
        <v>7</v>
      </c>
      <c r="B9" s="6" t="s">
        <v>1731</v>
      </c>
      <c r="C9" s="27" t="s">
        <v>1753</v>
      </c>
      <c r="D9" s="8" t="s">
        <v>27</v>
      </c>
      <c r="E9" s="9" t="s">
        <v>1754</v>
      </c>
      <c r="F9" s="5" t="n">
        <v>72</v>
      </c>
      <c r="G9" s="5" t="n">
        <v>288</v>
      </c>
      <c r="H9" s="43" t="n">
        <v>3.6</v>
      </c>
      <c r="I9" s="43" t="n">
        <v>3.7</v>
      </c>
      <c r="J9" s="43" t="n">
        <v>3.9</v>
      </c>
      <c r="K9" s="32" t="n">
        <v>4.3</v>
      </c>
      <c r="L9" s="43" t="n">
        <v>4</v>
      </c>
      <c r="M9" s="44" t="n">
        <f aca="false">ROUND(AVERAGE(H9:L9),2)</f>
        <v>3.9</v>
      </c>
      <c r="O9" s="5" t="n">
        <v>120</v>
      </c>
      <c r="P9" s="13" t="n">
        <v>70.5</v>
      </c>
      <c r="Q9" s="34" t="s">
        <v>90</v>
      </c>
      <c r="R9" s="42" t="s">
        <v>1755</v>
      </c>
      <c r="U9" s="15"/>
    </row>
    <row r="10" customFormat="false" ht="19.5" hidden="false" customHeight="true" outlineLevel="0" collapsed="false">
      <c r="A10" s="16" t="n">
        <v>8</v>
      </c>
      <c r="B10" s="17" t="s">
        <v>1731</v>
      </c>
      <c r="C10" s="26" t="s">
        <v>1756</v>
      </c>
      <c r="D10" s="19" t="s">
        <v>32</v>
      </c>
      <c r="E10" s="20" t="s">
        <v>1757</v>
      </c>
      <c r="F10" s="16" t="n">
        <v>18</v>
      </c>
      <c r="G10" s="16" t="n">
        <v>72</v>
      </c>
      <c r="H10" s="32" t="n">
        <v>4.5</v>
      </c>
      <c r="I10" s="32" t="n">
        <v>4.6</v>
      </c>
      <c r="J10" s="31" t="n">
        <v>4.7</v>
      </c>
      <c r="K10" s="43" t="n">
        <v>4</v>
      </c>
      <c r="L10" s="31" t="n">
        <v>4.9</v>
      </c>
      <c r="M10" s="33" t="n">
        <f aca="false">ROUND(AVERAGE(H10:L10),2)</f>
        <v>4.54</v>
      </c>
      <c r="O10" s="16" t="n">
        <v>136</v>
      </c>
      <c r="P10" s="23" t="n">
        <v>73.1</v>
      </c>
      <c r="Q10" s="67" t="s">
        <v>657</v>
      </c>
      <c r="R10" s="36" t="s">
        <v>1758</v>
      </c>
      <c r="U10" s="25"/>
    </row>
    <row r="11" customFormat="false" ht="19.5" hidden="false" customHeight="true" outlineLevel="0" collapsed="false">
      <c r="A11" s="5" t="n">
        <v>9</v>
      </c>
      <c r="B11" s="6" t="s">
        <v>1735</v>
      </c>
      <c r="C11" s="27" t="s">
        <v>1759</v>
      </c>
      <c r="D11" s="19" t="s">
        <v>32</v>
      </c>
      <c r="E11" s="9" t="s">
        <v>1760</v>
      </c>
      <c r="F11" s="5" t="n">
        <v>63</v>
      </c>
      <c r="G11" s="5" t="n">
        <v>252</v>
      </c>
      <c r="H11" s="43" t="n">
        <v>3.8</v>
      </c>
      <c r="I11" s="43" t="n">
        <v>3.9</v>
      </c>
      <c r="J11" s="43" t="n">
        <v>4.1</v>
      </c>
      <c r="K11" s="43" t="n">
        <v>4</v>
      </c>
      <c r="L11" s="32" t="n">
        <v>4.4</v>
      </c>
      <c r="M11" s="44" t="n">
        <f aca="false">ROUND(AVERAGE(H11:L11),2)</f>
        <v>4.04</v>
      </c>
      <c r="O11" s="5" t="n">
        <v>125</v>
      </c>
      <c r="P11" s="13" t="n">
        <v>71.2</v>
      </c>
      <c r="Q11" s="34" t="s">
        <v>90</v>
      </c>
      <c r="R11" s="42" t="s">
        <v>1761</v>
      </c>
      <c r="U11" s="15"/>
    </row>
    <row r="12" customFormat="false" ht="19.5" hidden="false" customHeight="true" outlineLevel="0" collapsed="false">
      <c r="A12" s="16" t="n">
        <v>10</v>
      </c>
      <c r="B12" s="17" t="s">
        <v>1731</v>
      </c>
      <c r="C12" s="26" t="s">
        <v>1762</v>
      </c>
      <c r="D12" s="8" t="s">
        <v>27</v>
      </c>
      <c r="E12" s="20" t="s">
        <v>1763</v>
      </c>
      <c r="F12" s="16" t="n">
        <v>18</v>
      </c>
      <c r="G12" s="16" t="n">
        <v>72</v>
      </c>
      <c r="H12" s="32" t="n">
        <v>4.3</v>
      </c>
      <c r="I12" s="32" t="n">
        <v>4.4</v>
      </c>
      <c r="J12" s="32" t="n">
        <v>4.6</v>
      </c>
      <c r="K12" s="43" t="n">
        <v>3.8</v>
      </c>
      <c r="L12" s="31" t="n">
        <v>4.7</v>
      </c>
      <c r="M12" s="33" t="n">
        <f aca="false">ROUND(AVERAGE(H12:L12),2)</f>
        <v>4.36</v>
      </c>
      <c r="O12" s="16" t="n">
        <v>130</v>
      </c>
      <c r="P12" s="23" t="n">
        <v>72</v>
      </c>
      <c r="Q12" s="67" t="s">
        <v>657</v>
      </c>
      <c r="R12" s="36" t="s">
        <v>1764</v>
      </c>
      <c r="U12" s="25"/>
    </row>
    <row r="13" customFormat="false" ht="15" hidden="false" customHeight="true" outlineLevel="0" collapsed="false">
      <c r="A13" s="5" t="n">
        <v>11</v>
      </c>
      <c r="B13" s="6" t="s">
        <v>1735</v>
      </c>
      <c r="C13" s="89" t="s">
        <v>1765</v>
      </c>
      <c r="D13" s="19"/>
      <c r="E13" s="90" t="s">
        <v>1766</v>
      </c>
      <c r="F13" s="5" t="n">
        <v>18</v>
      </c>
      <c r="G13" s="5" t="n">
        <f aca="false">F13/18*72</f>
        <v>72</v>
      </c>
      <c r="H13" s="32" t="n">
        <v>4.9</v>
      </c>
      <c r="I13" s="31" t="n">
        <v>4.9</v>
      </c>
      <c r="J13" s="31" t="n">
        <v>5</v>
      </c>
      <c r="K13" s="43" t="n">
        <v>4.7</v>
      </c>
      <c r="L13" s="31" t="n">
        <v>4.9</v>
      </c>
      <c r="M13" s="33" t="n">
        <f aca="false">ROUND(AVERAGE(H13:L13),2)</f>
        <v>4.88</v>
      </c>
      <c r="N13" s="1" t="n">
        <v>100</v>
      </c>
      <c r="O13" s="5"/>
      <c r="P13" s="13"/>
      <c r="Q13" s="67"/>
      <c r="R13" s="42" t="s">
        <v>1767</v>
      </c>
      <c r="S13" s="1" t="n">
        <v>1932</v>
      </c>
      <c r="U13" s="29" t="s">
        <v>1768</v>
      </c>
    </row>
    <row r="14" customFormat="false" ht="15" hidden="false" customHeight="true" outlineLevel="0" collapsed="false">
      <c r="A14" s="5" t="n">
        <v>12</v>
      </c>
      <c r="B14" s="6" t="s">
        <v>1735</v>
      </c>
      <c r="C14" s="89" t="s">
        <v>1769</v>
      </c>
      <c r="D14" s="19"/>
      <c r="E14" s="90" t="s">
        <v>1770</v>
      </c>
      <c r="F14" s="5" t="n">
        <v>18</v>
      </c>
      <c r="G14" s="5" t="n">
        <f aca="false">F14/18*72</f>
        <v>72</v>
      </c>
      <c r="H14" s="32" t="n">
        <v>4.8</v>
      </c>
      <c r="I14" s="31" t="n">
        <v>4.7</v>
      </c>
      <c r="J14" s="31" t="n">
        <v>4.9</v>
      </c>
      <c r="K14" s="43" t="n">
        <v>4.6</v>
      </c>
      <c r="L14" s="31" t="n">
        <v>4.7</v>
      </c>
      <c r="M14" s="33" t="n">
        <f aca="false">ROUND(AVERAGE(H14:L14),2)</f>
        <v>4.74</v>
      </c>
      <c r="N14" s="1" t="n">
        <v>95</v>
      </c>
      <c r="O14" s="5"/>
      <c r="P14" s="13"/>
      <c r="Q14" s="67"/>
      <c r="R14" s="42" t="s">
        <v>1771</v>
      </c>
      <c r="S14" s="1" t="n">
        <v>1920</v>
      </c>
      <c r="U14" s="29" t="s">
        <v>1772</v>
      </c>
    </row>
    <row r="15" customFormat="false" ht="15" hidden="false" customHeight="true" outlineLevel="0" collapsed="false">
      <c r="A15" s="5" t="n">
        <v>13</v>
      </c>
      <c r="B15" s="6" t="s">
        <v>1731</v>
      </c>
      <c r="C15" s="89" t="s">
        <v>1773</v>
      </c>
      <c r="D15" s="19"/>
      <c r="E15" s="90" t="s">
        <v>1774</v>
      </c>
      <c r="F15" s="5" t="n">
        <v>18</v>
      </c>
      <c r="G15" s="5" t="n">
        <f aca="false">F15/18*72</f>
        <v>72</v>
      </c>
      <c r="H15" s="32" t="n">
        <v>4.7</v>
      </c>
      <c r="I15" s="31" t="n">
        <v>4.7</v>
      </c>
      <c r="J15" s="31" t="n">
        <v>4.6</v>
      </c>
      <c r="K15" s="43" t="n">
        <v>4.5</v>
      </c>
      <c r="L15" s="31" t="n">
        <v>4.8</v>
      </c>
      <c r="M15" s="33" t="n">
        <f aca="false">ROUND(AVERAGE(H15:L15),2)</f>
        <v>4.66</v>
      </c>
      <c r="N15" s="1" t="n">
        <v>97</v>
      </c>
      <c r="O15" s="5"/>
      <c r="P15" s="13"/>
      <c r="Q15" s="67"/>
      <c r="R15" s="42" t="s">
        <v>1775</v>
      </c>
      <c r="S15" s="1" t="n">
        <v>1936</v>
      </c>
      <c r="U15" s="29" t="s">
        <v>1776</v>
      </c>
    </row>
    <row r="16" customFormat="false" ht="15" hidden="false" customHeight="true" outlineLevel="0" collapsed="false">
      <c r="A16" s="5" t="n">
        <v>14</v>
      </c>
      <c r="B16" s="6" t="s">
        <v>1731</v>
      </c>
      <c r="C16" s="89" t="s">
        <v>1777</v>
      </c>
      <c r="D16" s="19"/>
      <c r="E16" s="90" t="s">
        <v>1774</v>
      </c>
      <c r="F16" s="5" t="n">
        <v>18</v>
      </c>
      <c r="G16" s="5" t="n">
        <f aca="false">F16/18*72</f>
        <v>72</v>
      </c>
      <c r="H16" s="32"/>
      <c r="I16" s="31"/>
      <c r="J16" s="31"/>
      <c r="K16" s="43"/>
      <c r="L16" s="31"/>
      <c r="M16" s="33"/>
      <c r="O16" s="5"/>
      <c r="P16" s="13"/>
      <c r="Q16" s="67"/>
      <c r="R16" s="42" t="s">
        <v>1775</v>
      </c>
      <c r="S16" s="1" t="n">
        <v>1928</v>
      </c>
      <c r="U16" s="29" t="s">
        <v>1778</v>
      </c>
    </row>
    <row r="17" customFormat="false" ht="15" hidden="false" customHeight="true" outlineLevel="0" collapsed="false">
      <c r="A17" s="5" t="n">
        <v>15</v>
      </c>
      <c r="B17" s="6" t="s">
        <v>1731</v>
      </c>
      <c r="C17" s="89" t="s">
        <v>1779</v>
      </c>
      <c r="D17" s="19"/>
      <c r="E17" s="90" t="s">
        <v>1780</v>
      </c>
      <c r="F17" s="5" t="n">
        <v>18</v>
      </c>
      <c r="G17" s="5" t="n">
        <f aca="false">F17/18*72</f>
        <v>72</v>
      </c>
      <c r="H17" s="32" t="n">
        <v>4.8</v>
      </c>
      <c r="I17" s="31" t="n">
        <v>4.8</v>
      </c>
      <c r="J17" s="31" t="n">
        <v>4.8</v>
      </c>
      <c r="K17" s="43" t="n">
        <v>4.6</v>
      </c>
      <c r="L17" s="31" t="n">
        <v>4.6</v>
      </c>
      <c r="M17" s="33" t="n">
        <f aca="false">ROUND(AVERAGE(H17:L17),2)</f>
        <v>4.72</v>
      </c>
      <c r="N17" s="1" t="n">
        <v>96</v>
      </c>
      <c r="O17" s="5"/>
      <c r="P17" s="13"/>
      <c r="Q17" s="67"/>
      <c r="R17" s="42" t="s">
        <v>1781</v>
      </c>
      <c r="S17" s="1" t="n">
        <v>1914</v>
      </c>
      <c r="U17" s="29" t="s">
        <v>1782</v>
      </c>
    </row>
    <row r="18" customFormat="false" ht="15" hidden="false" customHeight="true" outlineLevel="0" collapsed="false">
      <c r="A18" s="5" t="n">
        <v>16</v>
      </c>
      <c r="B18" s="6" t="s">
        <v>1731</v>
      </c>
      <c r="C18" s="89" t="s">
        <v>1783</v>
      </c>
      <c r="D18" s="19"/>
      <c r="E18" s="90" t="s">
        <v>1784</v>
      </c>
      <c r="F18" s="5" t="n">
        <v>18</v>
      </c>
      <c r="G18" s="5" t="n">
        <f aca="false">F18/18*72</f>
        <v>72</v>
      </c>
      <c r="H18" s="32" t="n">
        <v>4.7</v>
      </c>
      <c r="I18" s="31" t="n">
        <v>4.8</v>
      </c>
      <c r="J18" s="31" t="n">
        <v>4.5</v>
      </c>
      <c r="K18" s="43" t="n">
        <v>4.5</v>
      </c>
      <c r="L18" s="31" t="n">
        <v>4.4</v>
      </c>
      <c r="M18" s="33" t="n">
        <f aca="false">ROUND(AVERAGE(H18:L18),2)</f>
        <v>4.58</v>
      </c>
      <c r="N18" s="1" t="n">
        <v>99</v>
      </c>
      <c r="O18" s="5"/>
      <c r="P18" s="13"/>
      <c r="Q18" s="67"/>
      <c r="R18" s="42" t="s">
        <v>1785</v>
      </c>
      <c r="S18" s="1" t="n">
        <v>1929</v>
      </c>
      <c r="U18" s="29" t="s">
        <v>1786</v>
      </c>
    </row>
    <row r="19" customFormat="false" ht="15" hidden="false" customHeight="true" outlineLevel="0" collapsed="false">
      <c r="A19" s="5" t="n">
        <v>17</v>
      </c>
      <c r="B19" s="6" t="s">
        <v>1731</v>
      </c>
      <c r="C19" s="89" t="s">
        <v>1787</v>
      </c>
      <c r="D19" s="19"/>
      <c r="E19" s="90" t="s">
        <v>1784</v>
      </c>
      <c r="F19" s="5" t="n">
        <v>18</v>
      </c>
      <c r="G19" s="5" t="n">
        <f aca="false">F19/18*72</f>
        <v>72</v>
      </c>
      <c r="H19" s="32"/>
      <c r="I19" s="31"/>
      <c r="J19" s="31"/>
      <c r="K19" s="43"/>
      <c r="L19" s="31"/>
      <c r="M19" s="33"/>
      <c r="O19" s="5"/>
      <c r="P19" s="13"/>
      <c r="Q19" s="67"/>
      <c r="R19" s="42" t="s">
        <v>1785</v>
      </c>
      <c r="S19" s="1" t="n">
        <v>1931</v>
      </c>
      <c r="U19" s="29" t="s">
        <v>1788</v>
      </c>
    </row>
    <row r="20" customFormat="false" ht="15" hidden="false" customHeight="true" outlineLevel="0" collapsed="false">
      <c r="A20" s="5" t="n">
        <v>18</v>
      </c>
      <c r="B20" s="6" t="s">
        <v>1731</v>
      </c>
      <c r="C20" s="89" t="s">
        <v>1789</v>
      </c>
      <c r="D20" s="19"/>
      <c r="E20" s="90" t="s">
        <v>1790</v>
      </c>
      <c r="F20" s="5" t="n">
        <v>18</v>
      </c>
      <c r="G20" s="5" t="n">
        <f aca="false">F20/18*72</f>
        <v>72</v>
      </c>
      <c r="H20" s="32"/>
      <c r="I20" s="31"/>
      <c r="J20" s="31"/>
      <c r="K20" s="43"/>
      <c r="L20" s="31"/>
      <c r="M20" s="33"/>
      <c r="O20" s="5"/>
      <c r="P20" s="13"/>
      <c r="Q20" s="67"/>
      <c r="R20" s="42" t="s">
        <v>1791</v>
      </c>
      <c r="S20" s="1" t="n">
        <v>1953</v>
      </c>
      <c r="U20" s="29" t="s">
        <v>1792</v>
      </c>
    </row>
    <row r="21" customFormat="false" ht="15" hidden="false" customHeight="true" outlineLevel="0" collapsed="false">
      <c r="A21" s="5" t="n">
        <v>19</v>
      </c>
      <c r="B21" s="6" t="s">
        <v>1735</v>
      </c>
      <c r="C21" s="89" t="s">
        <v>1793</v>
      </c>
      <c r="D21" s="19"/>
      <c r="E21" s="90" t="s">
        <v>1794</v>
      </c>
      <c r="F21" s="5" t="n">
        <v>9</v>
      </c>
      <c r="G21" s="5" t="n">
        <f aca="false">F21/18*72</f>
        <v>36</v>
      </c>
      <c r="H21" s="32"/>
      <c r="I21" s="31"/>
      <c r="J21" s="31"/>
      <c r="K21" s="43"/>
      <c r="L21" s="31"/>
      <c r="M21" s="33"/>
      <c r="O21" s="5"/>
      <c r="P21" s="13"/>
      <c r="Q21" s="67"/>
      <c r="R21" s="42" t="s">
        <v>1795</v>
      </c>
      <c r="S21" s="1" t="n">
        <v>1903</v>
      </c>
      <c r="U21" s="29" t="s">
        <v>1796</v>
      </c>
    </row>
    <row r="22" customFormat="false" ht="15" hidden="false" customHeight="true" outlineLevel="0" collapsed="false">
      <c r="A22" s="5" t="n">
        <v>20</v>
      </c>
      <c r="B22" s="6" t="s">
        <v>1745</v>
      </c>
      <c r="C22" s="89" t="s">
        <v>1797</v>
      </c>
      <c r="D22" s="19"/>
      <c r="E22" s="90" t="s">
        <v>1798</v>
      </c>
      <c r="F22" s="5" t="n">
        <v>27</v>
      </c>
      <c r="G22" s="5" t="n">
        <f aca="false">F22/18*72</f>
        <v>108</v>
      </c>
      <c r="H22" s="32" t="n">
        <v>4.6</v>
      </c>
      <c r="I22" s="31" t="n">
        <v>4.6</v>
      </c>
      <c r="J22" s="31" t="n">
        <v>4.6</v>
      </c>
      <c r="K22" s="43" t="n">
        <v>4.4</v>
      </c>
      <c r="L22" s="31" t="n">
        <v>4.2</v>
      </c>
      <c r="M22" s="33" t="n">
        <f aca="false">ROUND(AVERAGE(H22:L22),2)</f>
        <v>4.48</v>
      </c>
      <c r="N22" s="1" t="n">
        <v>98</v>
      </c>
      <c r="O22" s="5"/>
      <c r="P22" s="13"/>
      <c r="Q22" s="67"/>
      <c r="R22" s="42" t="s">
        <v>1799</v>
      </c>
      <c r="S22" s="1" t="n">
        <v>1971</v>
      </c>
      <c r="U22" s="29" t="s">
        <v>1800</v>
      </c>
    </row>
    <row r="23" customFormat="false" ht="15" hidden="false" customHeight="true" outlineLevel="0" collapsed="false">
      <c r="A23" s="5" t="n">
        <v>21</v>
      </c>
      <c r="B23" s="6" t="s">
        <v>1745</v>
      </c>
      <c r="C23" s="89" t="s">
        <v>1801</v>
      </c>
      <c r="D23" s="19"/>
      <c r="E23" s="90" t="s">
        <v>1798</v>
      </c>
      <c r="F23" s="5" t="n">
        <v>18</v>
      </c>
      <c r="G23" s="5" t="n">
        <f aca="false">F23/18*72</f>
        <v>72</v>
      </c>
      <c r="H23" s="32"/>
      <c r="I23" s="31"/>
      <c r="J23" s="31"/>
      <c r="K23" s="43"/>
      <c r="L23" s="31"/>
      <c r="M23" s="33"/>
      <c r="O23" s="5"/>
      <c r="P23" s="13"/>
      <c r="Q23" s="67"/>
      <c r="R23" s="42" t="s">
        <v>1802</v>
      </c>
      <c r="S23" s="1" t="n">
        <v>2001</v>
      </c>
      <c r="U23" s="29" t="s">
        <v>1803</v>
      </c>
    </row>
    <row r="24" customFormat="false" ht="15" hidden="false" customHeight="true" outlineLevel="0" collapsed="false">
      <c r="A24" s="5" t="n">
        <v>22</v>
      </c>
      <c r="B24" s="6" t="s">
        <v>1735</v>
      </c>
      <c r="C24" s="89" t="s">
        <v>1804</v>
      </c>
      <c r="D24" s="19"/>
      <c r="E24" s="90" t="s">
        <v>1805</v>
      </c>
      <c r="F24" s="5" t="n">
        <v>18</v>
      </c>
      <c r="G24" s="5" t="n">
        <f aca="false">F24/18*72</f>
        <v>72</v>
      </c>
      <c r="H24" s="32"/>
      <c r="I24" s="31"/>
      <c r="J24" s="31"/>
      <c r="K24" s="43"/>
      <c r="L24" s="31"/>
      <c r="M24" s="33"/>
      <c r="O24" s="5"/>
      <c r="P24" s="13"/>
      <c r="Q24" s="67"/>
      <c r="R24" s="42" t="s">
        <v>1806</v>
      </c>
      <c r="S24" s="1" t="n">
        <v>1923</v>
      </c>
      <c r="U24" s="29" t="s">
        <v>1807</v>
      </c>
    </row>
    <row r="25" customFormat="false" ht="15" hidden="false" customHeight="true" outlineLevel="0" collapsed="false">
      <c r="A25" s="5" t="n">
        <v>23</v>
      </c>
      <c r="B25" s="6" t="s">
        <v>1735</v>
      </c>
      <c r="C25" s="89" t="s">
        <v>1808</v>
      </c>
      <c r="D25" s="19"/>
      <c r="E25" s="90" t="s">
        <v>1805</v>
      </c>
      <c r="F25" s="5" t="n">
        <v>18</v>
      </c>
      <c r="G25" s="5" t="n">
        <f aca="false">F25/18*72</f>
        <v>72</v>
      </c>
      <c r="H25" s="32"/>
      <c r="I25" s="31"/>
      <c r="J25" s="31"/>
      <c r="K25" s="43"/>
      <c r="L25" s="31"/>
      <c r="M25" s="33"/>
      <c r="O25" s="5"/>
      <c r="P25" s="13"/>
      <c r="Q25" s="67"/>
      <c r="R25" s="42" t="s">
        <v>1806</v>
      </c>
      <c r="S25" s="1" t="n">
        <v>1960</v>
      </c>
      <c r="U25" s="29" t="s">
        <v>1809</v>
      </c>
    </row>
    <row r="26" customFormat="false" ht="15" hidden="false" customHeight="true" outlineLevel="0" collapsed="false">
      <c r="A26" s="5" t="n">
        <v>24</v>
      </c>
      <c r="B26" s="6" t="s">
        <v>1731</v>
      </c>
      <c r="C26" s="89" t="s">
        <v>1810</v>
      </c>
      <c r="D26" s="19"/>
      <c r="E26" s="90" t="s">
        <v>1811</v>
      </c>
      <c r="F26" s="5" t="n">
        <v>18</v>
      </c>
      <c r="G26" s="5" t="n">
        <f aca="false">F26/18*72</f>
        <v>72</v>
      </c>
      <c r="H26" s="32"/>
      <c r="I26" s="31"/>
      <c r="J26" s="31"/>
      <c r="K26" s="43"/>
      <c r="L26" s="31"/>
      <c r="M26" s="33"/>
      <c r="O26" s="5"/>
      <c r="P26" s="13"/>
      <c r="Q26" s="67"/>
      <c r="R26" s="42" t="s">
        <v>1812</v>
      </c>
      <c r="S26" s="1" t="n">
        <v>1922</v>
      </c>
      <c r="U26" s="29" t="s">
        <v>1813</v>
      </c>
    </row>
    <row r="27" customFormat="false" ht="15" hidden="false" customHeight="true" outlineLevel="0" collapsed="false">
      <c r="A27" s="5" t="n">
        <v>25</v>
      </c>
      <c r="B27" s="6" t="s">
        <v>1731</v>
      </c>
      <c r="C27" s="89" t="s">
        <v>1814</v>
      </c>
      <c r="D27" s="19"/>
      <c r="E27" s="90" t="s">
        <v>1815</v>
      </c>
      <c r="F27" s="5" t="n">
        <v>18</v>
      </c>
      <c r="G27" s="5" t="n">
        <f aca="false">F27/18*72</f>
        <v>72</v>
      </c>
      <c r="H27" s="32"/>
      <c r="I27" s="31"/>
      <c r="J27" s="31"/>
      <c r="K27" s="43"/>
      <c r="L27" s="31"/>
      <c r="M27" s="33"/>
      <c r="O27" s="5"/>
      <c r="P27" s="13"/>
      <c r="Q27" s="67"/>
      <c r="R27" s="42" t="s">
        <v>1816</v>
      </c>
      <c r="S27" s="1" t="n">
        <v>1931</v>
      </c>
      <c r="U27" s="29" t="s">
        <v>1817</v>
      </c>
    </row>
    <row r="28" customFormat="false" ht="15" hidden="false" customHeight="true" outlineLevel="0" collapsed="false">
      <c r="A28" s="5" t="n">
        <v>26</v>
      </c>
      <c r="B28" s="6" t="s">
        <v>1818</v>
      </c>
      <c r="C28" s="89" t="s">
        <v>1819</v>
      </c>
      <c r="D28" s="19"/>
      <c r="E28" s="90" t="s">
        <v>1820</v>
      </c>
      <c r="F28" s="5" t="n">
        <v>36</v>
      </c>
      <c r="G28" s="5" t="n">
        <f aca="false">F28/18*72</f>
        <v>144</v>
      </c>
      <c r="H28" s="32"/>
      <c r="I28" s="31"/>
      <c r="J28" s="31"/>
      <c r="K28" s="43"/>
      <c r="L28" s="31"/>
      <c r="M28" s="33"/>
      <c r="O28" s="5"/>
      <c r="P28" s="13"/>
      <c r="Q28" s="67"/>
      <c r="R28" s="42" t="s">
        <v>1821</v>
      </c>
      <c r="S28" s="1" t="n">
        <v>1958</v>
      </c>
      <c r="U28" s="29" t="s">
        <v>1822</v>
      </c>
    </row>
    <row r="29" customFormat="false" ht="15" hidden="false" customHeight="true" outlineLevel="0" collapsed="false">
      <c r="A29" s="5" t="n">
        <v>27</v>
      </c>
      <c r="B29" s="6" t="s">
        <v>1818</v>
      </c>
      <c r="C29" s="89" t="s">
        <v>1823</v>
      </c>
      <c r="D29" s="19"/>
      <c r="E29" s="90" t="s">
        <v>1824</v>
      </c>
      <c r="F29" s="5" t="n">
        <v>18</v>
      </c>
      <c r="G29" s="5" t="n">
        <f aca="false">F29/18*72</f>
        <v>72</v>
      </c>
      <c r="H29" s="32"/>
      <c r="I29" s="31"/>
      <c r="J29" s="31"/>
      <c r="K29" s="43"/>
      <c r="L29" s="31"/>
      <c r="M29" s="33"/>
      <c r="O29" s="5"/>
      <c r="P29" s="13"/>
      <c r="Q29" s="67"/>
      <c r="R29" s="42" t="s">
        <v>1825</v>
      </c>
      <c r="S29" s="1" t="n">
        <v>1953</v>
      </c>
      <c r="U29" s="29" t="s">
        <v>1826</v>
      </c>
    </row>
    <row r="30" customFormat="false" ht="15" hidden="false" customHeight="true" outlineLevel="0" collapsed="false">
      <c r="A30" s="5" t="n">
        <v>28</v>
      </c>
      <c r="B30" s="6" t="s">
        <v>1731</v>
      </c>
      <c r="C30" s="89" t="s">
        <v>1827</v>
      </c>
      <c r="D30" s="19"/>
      <c r="E30" s="90" t="s">
        <v>1811</v>
      </c>
      <c r="F30" s="5" t="n">
        <v>36</v>
      </c>
      <c r="G30" s="5" t="n">
        <f aca="false">F30/18*72</f>
        <v>144</v>
      </c>
      <c r="H30" s="32"/>
      <c r="I30" s="31"/>
      <c r="J30" s="31"/>
      <c r="K30" s="43"/>
      <c r="L30" s="31"/>
      <c r="M30" s="33"/>
      <c r="O30" s="5"/>
      <c r="P30" s="13"/>
      <c r="Q30" s="67"/>
      <c r="R30" s="42" t="s">
        <v>1828</v>
      </c>
      <c r="S30" s="1" t="n">
        <v>1960</v>
      </c>
      <c r="U30" s="29" t="s">
        <v>1829</v>
      </c>
    </row>
    <row r="31" customFormat="false" ht="15" hidden="false" customHeight="true" outlineLevel="0" collapsed="false">
      <c r="A31" s="5" t="n">
        <v>29</v>
      </c>
      <c r="B31" s="6" t="s">
        <v>1731</v>
      </c>
      <c r="C31" s="89" t="s">
        <v>1830</v>
      </c>
      <c r="D31" s="19"/>
      <c r="E31" s="90" t="s">
        <v>1831</v>
      </c>
      <c r="F31" s="5" t="n">
        <v>36</v>
      </c>
      <c r="G31" s="5" t="n">
        <f aca="false">F31/18*72</f>
        <v>144</v>
      </c>
      <c r="H31" s="32"/>
      <c r="I31" s="31"/>
      <c r="J31" s="31"/>
      <c r="K31" s="43"/>
      <c r="L31" s="31"/>
      <c r="M31" s="33"/>
      <c r="O31" s="5"/>
      <c r="P31" s="13"/>
      <c r="Q31" s="67"/>
      <c r="R31" s="42" t="s">
        <v>1832</v>
      </c>
      <c r="S31" s="1" t="n">
        <v>1961</v>
      </c>
      <c r="U31" s="29" t="s">
        <v>1833</v>
      </c>
    </row>
    <row r="32" customFormat="false" ht="15" hidden="false" customHeight="true" outlineLevel="0" collapsed="false">
      <c r="A32" s="5" t="n">
        <v>30</v>
      </c>
      <c r="B32" s="6" t="s">
        <v>1731</v>
      </c>
      <c r="C32" s="89" t="s">
        <v>1834</v>
      </c>
      <c r="D32" s="19"/>
      <c r="E32" s="90" t="s">
        <v>1835</v>
      </c>
      <c r="F32" s="5" t="n">
        <v>18</v>
      </c>
      <c r="G32" s="5" t="n">
        <f aca="false">F32/18*72</f>
        <v>72</v>
      </c>
      <c r="H32" s="32" t="n">
        <v>4.6</v>
      </c>
      <c r="I32" s="31" t="n">
        <v>4.7</v>
      </c>
      <c r="J32" s="31" t="n">
        <v>4.7</v>
      </c>
      <c r="K32" s="43" t="n">
        <v>4.4</v>
      </c>
      <c r="L32" s="31" t="n">
        <v>4.5</v>
      </c>
      <c r="M32" s="33" t="n">
        <f aca="false">ROUND(AVERAGE(H32:L32),2)</f>
        <v>4.58</v>
      </c>
      <c r="N32" s="1" t="n">
        <v>97</v>
      </c>
      <c r="O32" s="5"/>
      <c r="P32" s="13"/>
      <c r="Q32" s="67"/>
      <c r="R32" s="42" t="s">
        <v>1836</v>
      </c>
      <c r="S32" s="1" t="n">
        <v>1977</v>
      </c>
      <c r="U32" s="29" t="s">
        <v>1837</v>
      </c>
    </row>
    <row r="33" customFormat="false" ht="15" hidden="false" customHeight="true" outlineLevel="0" collapsed="false">
      <c r="A33" s="5" t="n">
        <v>31</v>
      </c>
      <c r="B33" s="6" t="s">
        <v>1731</v>
      </c>
      <c r="C33" s="89" t="s">
        <v>1838</v>
      </c>
      <c r="D33" s="19"/>
      <c r="E33" s="90" t="s">
        <v>1835</v>
      </c>
      <c r="F33" s="5" t="n">
        <v>18</v>
      </c>
      <c r="G33" s="5" t="n">
        <f aca="false">F33/18*72</f>
        <v>72</v>
      </c>
      <c r="H33" s="32"/>
      <c r="I33" s="31"/>
      <c r="J33" s="31"/>
      <c r="K33" s="43"/>
      <c r="L33" s="31"/>
      <c r="M33" s="33"/>
      <c r="O33" s="5"/>
      <c r="P33" s="13"/>
      <c r="Q33" s="67"/>
      <c r="R33" s="42" t="s">
        <v>1839</v>
      </c>
      <c r="S33" s="1" t="n">
        <v>1991</v>
      </c>
      <c r="U33" s="29" t="s">
        <v>1840</v>
      </c>
    </row>
    <row r="34" customFormat="false" ht="15" hidden="false" customHeight="true" outlineLevel="0" collapsed="false">
      <c r="A34" s="5" t="n">
        <v>32</v>
      </c>
      <c r="B34" s="6" t="s">
        <v>1731</v>
      </c>
      <c r="C34" s="89" t="s">
        <v>1841</v>
      </c>
      <c r="D34" s="19"/>
      <c r="E34" s="90" t="s">
        <v>1842</v>
      </c>
      <c r="F34" s="5" t="n">
        <v>18</v>
      </c>
      <c r="G34" s="5" t="n">
        <f aca="false">F34/18*72</f>
        <v>72</v>
      </c>
      <c r="H34" s="32"/>
      <c r="I34" s="31"/>
      <c r="J34" s="31"/>
      <c r="K34" s="43"/>
      <c r="L34" s="31"/>
      <c r="M34" s="33"/>
      <c r="O34" s="5"/>
      <c r="P34" s="13"/>
      <c r="Q34" s="67"/>
      <c r="R34" s="42" t="s">
        <v>1843</v>
      </c>
      <c r="S34" s="1" t="n">
        <v>1977</v>
      </c>
      <c r="U34" s="29" t="s">
        <v>1844</v>
      </c>
    </row>
    <row r="35" customFormat="false" ht="15" hidden="false" customHeight="true" outlineLevel="0" collapsed="false">
      <c r="A35" s="5" t="n">
        <v>33</v>
      </c>
      <c r="B35" s="6" t="s">
        <v>1735</v>
      </c>
      <c r="C35" s="89" t="s">
        <v>1845</v>
      </c>
      <c r="D35" s="19"/>
      <c r="E35" s="90" t="s">
        <v>1794</v>
      </c>
      <c r="F35" s="5" t="n">
        <v>18</v>
      </c>
      <c r="G35" s="5" t="n">
        <f aca="false">F35/18*72</f>
        <v>72</v>
      </c>
      <c r="H35" s="32"/>
      <c r="I35" s="31"/>
      <c r="J35" s="31"/>
      <c r="K35" s="43"/>
      <c r="L35" s="31"/>
      <c r="M35" s="33"/>
      <c r="O35" s="5"/>
      <c r="P35" s="13"/>
      <c r="Q35" s="67"/>
      <c r="R35" s="42" t="s">
        <v>1846</v>
      </c>
      <c r="S35" s="1" t="n">
        <v>1977</v>
      </c>
      <c r="U35" s="29" t="s">
        <v>1847</v>
      </c>
    </row>
    <row r="36" customFormat="false" ht="15" hidden="false" customHeight="true" outlineLevel="0" collapsed="false">
      <c r="A36" s="5" t="n">
        <v>34</v>
      </c>
      <c r="B36" s="6" t="s">
        <v>1731</v>
      </c>
      <c r="C36" s="89" t="s">
        <v>1848</v>
      </c>
      <c r="D36" s="19"/>
      <c r="E36" s="90" t="s">
        <v>1849</v>
      </c>
      <c r="F36" s="5" t="n">
        <v>18</v>
      </c>
      <c r="G36" s="5" t="n">
        <f aca="false">F36/18*72</f>
        <v>72</v>
      </c>
      <c r="H36" s="32"/>
      <c r="I36" s="31"/>
      <c r="J36" s="31"/>
      <c r="K36" s="43"/>
      <c r="L36" s="31"/>
      <c r="M36" s="33"/>
      <c r="O36" s="5"/>
      <c r="P36" s="13"/>
      <c r="Q36" s="67"/>
      <c r="R36" s="42" t="s">
        <v>1850</v>
      </c>
      <c r="U36" s="15" t="s">
        <v>1851</v>
      </c>
    </row>
    <row r="37" customFormat="false" ht="15" hidden="false" customHeight="true" outlineLevel="0" collapsed="false">
      <c r="A37" s="5" t="n">
        <v>35</v>
      </c>
      <c r="B37" s="6" t="s">
        <v>1731</v>
      </c>
      <c r="C37" s="89" t="s">
        <v>1852</v>
      </c>
      <c r="D37" s="19"/>
      <c r="E37" s="90" t="s">
        <v>1853</v>
      </c>
      <c r="F37" s="5" t="n">
        <v>18</v>
      </c>
      <c r="G37" s="5" t="n">
        <f aca="false">F37/18*72</f>
        <v>72</v>
      </c>
      <c r="H37" s="32"/>
      <c r="I37" s="31"/>
      <c r="J37" s="31"/>
      <c r="K37" s="43"/>
      <c r="L37" s="31"/>
      <c r="M37" s="33"/>
      <c r="O37" s="5"/>
      <c r="P37" s="13"/>
      <c r="Q37" s="67"/>
      <c r="R37" s="42" t="s">
        <v>1854</v>
      </c>
      <c r="U37" s="15" t="s">
        <v>1855</v>
      </c>
    </row>
    <row r="38" customFormat="false" ht="15" hidden="false" customHeight="true" outlineLevel="0" collapsed="false">
      <c r="A38" s="5" t="n">
        <v>36</v>
      </c>
      <c r="B38" s="6" t="s">
        <v>1731</v>
      </c>
      <c r="C38" s="89" t="s">
        <v>1856</v>
      </c>
      <c r="D38" s="19"/>
      <c r="E38" s="90" t="s">
        <v>1857</v>
      </c>
      <c r="F38" s="5" t="n">
        <v>18</v>
      </c>
      <c r="G38" s="5" t="n">
        <f aca="false">F38/18*72</f>
        <v>72</v>
      </c>
      <c r="H38" s="32"/>
      <c r="I38" s="31"/>
      <c r="J38" s="31"/>
      <c r="K38" s="43"/>
      <c r="L38" s="31"/>
      <c r="M38" s="33"/>
      <c r="O38" s="5"/>
      <c r="P38" s="13"/>
      <c r="Q38" s="67"/>
      <c r="R38" s="42" t="s">
        <v>1858</v>
      </c>
      <c r="U38" s="15" t="s">
        <v>1859</v>
      </c>
    </row>
    <row r="39" customFormat="false" ht="15" hidden="false" customHeight="true" outlineLevel="0" collapsed="false">
      <c r="A39" s="5" t="n">
        <v>37</v>
      </c>
      <c r="B39" s="6" t="s">
        <v>1731</v>
      </c>
      <c r="C39" s="89" t="s">
        <v>1860</v>
      </c>
      <c r="D39" s="19"/>
      <c r="E39" s="90" t="s">
        <v>1835</v>
      </c>
      <c r="F39" s="5" t="n">
        <v>18</v>
      </c>
      <c r="G39" s="5" t="n">
        <f aca="false">F39/18*72</f>
        <v>72</v>
      </c>
      <c r="H39" s="32"/>
      <c r="I39" s="31"/>
      <c r="J39" s="31"/>
      <c r="K39" s="43"/>
      <c r="L39" s="31"/>
      <c r="M39" s="33"/>
      <c r="O39" s="5"/>
      <c r="P39" s="13"/>
      <c r="Q39" s="67"/>
      <c r="R39" s="42" t="s">
        <v>1861</v>
      </c>
      <c r="U39" s="15" t="s">
        <v>1862</v>
      </c>
    </row>
    <row r="40" customFormat="false" ht="15" hidden="false" customHeight="true" outlineLevel="0" collapsed="false">
      <c r="A40" s="5" t="n">
        <v>38</v>
      </c>
      <c r="B40" s="6" t="s">
        <v>1731</v>
      </c>
      <c r="C40" s="89" t="s">
        <v>1863</v>
      </c>
      <c r="D40" s="19"/>
      <c r="E40" s="90" t="s">
        <v>1864</v>
      </c>
      <c r="F40" s="5" t="n">
        <v>18</v>
      </c>
      <c r="G40" s="5" t="n">
        <f aca="false">F40/18*72</f>
        <v>72</v>
      </c>
      <c r="H40" s="32"/>
      <c r="I40" s="31"/>
      <c r="J40" s="31"/>
      <c r="K40" s="43"/>
      <c r="L40" s="31"/>
      <c r="M40" s="33"/>
      <c r="O40" s="5"/>
      <c r="P40" s="13"/>
      <c r="Q40" s="67"/>
      <c r="R40" s="42" t="s">
        <v>1865</v>
      </c>
      <c r="U40" s="15" t="s">
        <v>1866</v>
      </c>
    </row>
    <row r="41" customFormat="false" ht="15" hidden="false" customHeight="true" outlineLevel="0" collapsed="false">
      <c r="A41" s="5" t="n">
        <v>39</v>
      </c>
      <c r="B41" s="6" t="s">
        <v>1735</v>
      </c>
      <c r="C41" s="89" t="s">
        <v>1867</v>
      </c>
      <c r="D41" s="19"/>
      <c r="E41" s="90" t="s">
        <v>1868</v>
      </c>
      <c r="F41" s="5" t="n">
        <v>18</v>
      </c>
      <c r="G41" s="5" t="n">
        <f aca="false">F41/18*72</f>
        <v>72</v>
      </c>
      <c r="H41" s="32"/>
      <c r="I41" s="31"/>
      <c r="J41" s="31"/>
      <c r="K41" s="43"/>
      <c r="L41" s="31"/>
      <c r="M41" s="33"/>
      <c r="O41" s="5"/>
      <c r="P41" s="13"/>
      <c r="Q41" s="67"/>
      <c r="R41" s="42" t="s">
        <v>1869</v>
      </c>
      <c r="U41" s="15" t="s">
        <v>1870</v>
      </c>
    </row>
    <row r="42" customFormat="false" ht="15" hidden="false" customHeight="true" outlineLevel="0" collapsed="false">
      <c r="A42" s="5" t="n">
        <v>40</v>
      </c>
      <c r="B42" s="6" t="s">
        <v>1818</v>
      </c>
      <c r="C42" s="89" t="s">
        <v>1871</v>
      </c>
      <c r="D42" s="19"/>
      <c r="E42" s="90" t="s">
        <v>1872</v>
      </c>
      <c r="F42" s="5" t="n">
        <v>18</v>
      </c>
      <c r="G42" s="5" t="n">
        <f aca="false">F42/18*72</f>
        <v>72</v>
      </c>
      <c r="H42" s="32"/>
      <c r="I42" s="31"/>
      <c r="J42" s="31"/>
      <c r="K42" s="43"/>
      <c r="L42" s="31"/>
      <c r="M42" s="33"/>
      <c r="O42" s="5"/>
      <c r="P42" s="13"/>
      <c r="Q42" s="67"/>
      <c r="R42" s="42" t="s">
        <v>1873</v>
      </c>
      <c r="U42" s="15" t="s">
        <v>1874</v>
      </c>
    </row>
    <row r="43" customFormat="false" ht="15" hidden="false" customHeight="true" outlineLevel="0" collapsed="false">
      <c r="A43" s="5" t="n">
        <v>41</v>
      </c>
      <c r="B43" s="6" t="s">
        <v>1731</v>
      </c>
      <c r="C43" s="89" t="s">
        <v>1875</v>
      </c>
      <c r="D43" s="19"/>
      <c r="E43" s="90" t="s">
        <v>1876</v>
      </c>
      <c r="F43" s="5" t="n">
        <v>18</v>
      </c>
      <c r="G43" s="5" t="n">
        <f aca="false">F43/18*72</f>
        <v>72</v>
      </c>
      <c r="H43" s="32"/>
      <c r="I43" s="31"/>
      <c r="J43" s="31"/>
      <c r="K43" s="43"/>
      <c r="L43" s="31"/>
      <c r="M43" s="33"/>
      <c r="O43" s="5"/>
      <c r="P43" s="13"/>
      <c r="Q43" s="67"/>
      <c r="R43" s="42" t="s">
        <v>1877</v>
      </c>
      <c r="U43" s="15" t="s">
        <v>1878</v>
      </c>
    </row>
    <row r="44" customFormat="false" ht="15" hidden="false" customHeight="true" outlineLevel="0" collapsed="false">
      <c r="A44" s="5" t="n">
        <v>42</v>
      </c>
      <c r="B44" s="6" t="s">
        <v>1731</v>
      </c>
      <c r="C44" s="89" t="s">
        <v>1879</v>
      </c>
      <c r="D44" s="19"/>
      <c r="E44" s="90" t="s">
        <v>1880</v>
      </c>
      <c r="F44" s="5" t="n">
        <v>18</v>
      </c>
      <c r="G44" s="5" t="n">
        <f aca="false">F44/18*72</f>
        <v>72</v>
      </c>
      <c r="H44" s="32"/>
      <c r="I44" s="31"/>
      <c r="J44" s="31"/>
      <c r="K44" s="43"/>
      <c r="L44" s="31"/>
      <c r="M44" s="33"/>
      <c r="O44" s="5"/>
      <c r="P44" s="13"/>
      <c r="Q44" s="67"/>
      <c r="R44" s="42" t="s">
        <v>1881</v>
      </c>
      <c r="U44" s="15" t="s">
        <v>1882</v>
      </c>
    </row>
    <row r="45" customFormat="false" ht="15" hidden="false" customHeight="true" outlineLevel="0" collapsed="false">
      <c r="A45" s="5" t="n">
        <v>43</v>
      </c>
      <c r="B45" s="6" t="s">
        <v>1731</v>
      </c>
      <c r="C45" s="89" t="s">
        <v>1883</v>
      </c>
      <c r="D45" s="19"/>
      <c r="E45" s="90" t="s">
        <v>1884</v>
      </c>
      <c r="F45" s="5" t="n">
        <v>18</v>
      </c>
      <c r="G45" s="5" t="n">
        <f aca="false">F45/18*72</f>
        <v>72</v>
      </c>
      <c r="H45" s="32"/>
      <c r="I45" s="31"/>
      <c r="J45" s="31"/>
      <c r="K45" s="43"/>
      <c r="L45" s="31"/>
      <c r="M45" s="33"/>
      <c r="O45" s="5"/>
      <c r="P45" s="13"/>
      <c r="Q45" s="67"/>
      <c r="R45" s="42" t="s">
        <v>1885</v>
      </c>
      <c r="U45" s="15" t="s">
        <v>1886</v>
      </c>
    </row>
    <row r="46" customFormat="false" ht="15" hidden="false" customHeight="true" outlineLevel="0" collapsed="false">
      <c r="A46" s="5" t="n">
        <v>44</v>
      </c>
      <c r="B46" s="6" t="s">
        <v>1731</v>
      </c>
      <c r="C46" s="89" t="s">
        <v>1887</v>
      </c>
      <c r="D46" s="19"/>
      <c r="E46" s="90" t="s">
        <v>1888</v>
      </c>
      <c r="F46" s="5" t="n">
        <v>18</v>
      </c>
      <c r="G46" s="5" t="n">
        <f aca="false">F46/18*72</f>
        <v>72</v>
      </c>
      <c r="H46" s="32"/>
      <c r="I46" s="31"/>
      <c r="J46" s="31"/>
      <c r="K46" s="43"/>
      <c r="L46" s="31"/>
      <c r="M46" s="33"/>
      <c r="O46" s="5"/>
      <c r="P46" s="13"/>
      <c r="Q46" s="67"/>
      <c r="R46" s="42" t="s">
        <v>1889</v>
      </c>
      <c r="U46" s="15" t="s">
        <v>1890</v>
      </c>
    </row>
    <row r="47" customFormat="false" ht="15" hidden="false" customHeight="true" outlineLevel="0" collapsed="false">
      <c r="A47" s="5" t="n">
        <v>45</v>
      </c>
      <c r="B47" s="6" t="s">
        <v>1735</v>
      </c>
      <c r="C47" s="89" t="s">
        <v>1891</v>
      </c>
      <c r="D47" s="19"/>
      <c r="E47" s="90" t="s">
        <v>1892</v>
      </c>
      <c r="F47" s="5" t="n">
        <v>18</v>
      </c>
      <c r="G47" s="5" t="n">
        <f aca="false">F47/18*72</f>
        <v>72</v>
      </c>
      <c r="H47" s="32"/>
      <c r="I47" s="31"/>
      <c r="J47" s="31"/>
      <c r="K47" s="43"/>
      <c r="L47" s="31"/>
      <c r="M47" s="33"/>
      <c r="O47" s="5"/>
      <c r="P47" s="13"/>
      <c r="Q47" s="67"/>
      <c r="R47" s="42" t="s">
        <v>1893</v>
      </c>
      <c r="U47" s="15" t="s">
        <v>1894</v>
      </c>
    </row>
    <row r="48" customFormat="false" ht="15" hidden="false" customHeight="true" outlineLevel="0" collapsed="false">
      <c r="A48" s="5" t="n">
        <v>46</v>
      </c>
      <c r="B48" s="6" t="s">
        <v>1895</v>
      </c>
      <c r="C48" s="89" t="s">
        <v>1896</v>
      </c>
      <c r="D48" s="19"/>
      <c r="E48" s="90" t="s">
        <v>1897</v>
      </c>
      <c r="F48" s="5" t="n">
        <v>18</v>
      </c>
      <c r="G48" s="5" t="n">
        <f aca="false">F48/18*72</f>
        <v>72</v>
      </c>
      <c r="H48" s="32"/>
      <c r="I48" s="31"/>
      <c r="J48" s="31"/>
      <c r="K48" s="43"/>
      <c r="L48" s="31"/>
      <c r="M48" s="33"/>
      <c r="O48" s="5"/>
      <c r="P48" s="13"/>
      <c r="Q48" s="67"/>
      <c r="R48" s="42" t="s">
        <v>1898</v>
      </c>
      <c r="U48" s="15" t="s">
        <v>1899</v>
      </c>
    </row>
    <row r="49" customFormat="false" ht="15" hidden="false" customHeight="true" outlineLevel="0" collapsed="false">
      <c r="A49" s="5" t="n">
        <v>47</v>
      </c>
      <c r="B49" s="6" t="s">
        <v>1731</v>
      </c>
      <c r="C49" s="89" t="s">
        <v>1900</v>
      </c>
      <c r="D49" s="19"/>
      <c r="E49" s="90" t="s">
        <v>1901</v>
      </c>
      <c r="F49" s="5" t="n">
        <v>18</v>
      </c>
      <c r="G49" s="5" t="n">
        <f aca="false">F49/18*72</f>
        <v>72</v>
      </c>
      <c r="H49" s="32"/>
      <c r="I49" s="31"/>
      <c r="J49" s="31"/>
      <c r="K49" s="43"/>
      <c r="L49" s="31"/>
      <c r="M49" s="33"/>
      <c r="O49" s="5"/>
      <c r="P49" s="13"/>
      <c r="Q49" s="67"/>
      <c r="R49" s="42" t="s">
        <v>1902</v>
      </c>
      <c r="U49" s="15" t="s">
        <v>1903</v>
      </c>
    </row>
    <row r="50" customFormat="false" ht="15" hidden="false" customHeight="true" outlineLevel="0" collapsed="false">
      <c r="A50" s="5" t="n">
        <v>48</v>
      </c>
      <c r="B50" s="6" t="s">
        <v>1745</v>
      </c>
      <c r="C50" s="89" t="s">
        <v>1904</v>
      </c>
      <c r="D50" s="19"/>
      <c r="E50" s="90" t="s">
        <v>1798</v>
      </c>
      <c r="F50" s="5" t="n">
        <v>18</v>
      </c>
      <c r="G50" s="5" t="n">
        <f aca="false">F50/18*72</f>
        <v>72</v>
      </c>
      <c r="H50" s="32"/>
      <c r="I50" s="31"/>
      <c r="J50" s="31"/>
      <c r="K50" s="43"/>
      <c r="L50" s="31"/>
      <c r="M50" s="33"/>
      <c r="O50" s="5"/>
      <c r="P50" s="13"/>
      <c r="Q50" s="67"/>
      <c r="R50" s="42" t="s">
        <v>1905</v>
      </c>
      <c r="S50" s="1" t="n">
        <v>1990</v>
      </c>
      <c r="U50" s="29" t="s">
        <v>1906</v>
      </c>
    </row>
    <row r="51" customFormat="false" ht="15" hidden="false" customHeight="true" outlineLevel="0" collapsed="false">
      <c r="A51" s="5" t="n">
        <v>49</v>
      </c>
      <c r="B51" s="6" t="s">
        <v>1745</v>
      </c>
      <c r="C51" s="89" t="s">
        <v>1907</v>
      </c>
      <c r="D51" s="19"/>
      <c r="E51" s="90" t="s">
        <v>1798</v>
      </c>
      <c r="F51" s="5" t="n">
        <v>18</v>
      </c>
      <c r="G51" s="5" t="n">
        <f aca="false">F51/18*72</f>
        <v>72</v>
      </c>
      <c r="H51" s="32"/>
      <c r="I51" s="31"/>
      <c r="J51" s="31"/>
      <c r="K51" s="43"/>
      <c r="L51" s="31"/>
      <c r="M51" s="33"/>
      <c r="O51" s="5"/>
      <c r="P51" s="13"/>
      <c r="Q51" s="67"/>
      <c r="R51" s="42" t="s">
        <v>1799</v>
      </c>
      <c r="S51" s="1" t="n">
        <v>1971</v>
      </c>
      <c r="U51" s="29" t="s">
        <v>1908</v>
      </c>
    </row>
    <row r="52" customFormat="false" ht="15" hidden="false" customHeight="true" outlineLevel="0" collapsed="false">
      <c r="A52" s="5" t="n">
        <v>50</v>
      </c>
      <c r="B52" s="6" t="s">
        <v>1731</v>
      </c>
      <c r="C52" s="89" t="s">
        <v>1909</v>
      </c>
      <c r="D52" s="19"/>
      <c r="E52" s="90" t="s">
        <v>1835</v>
      </c>
      <c r="F52" s="5" t="n">
        <v>18</v>
      </c>
      <c r="G52" s="5" t="n">
        <f aca="false">F52/18*72</f>
        <v>72</v>
      </c>
      <c r="H52" s="32"/>
      <c r="I52" s="31"/>
      <c r="J52" s="31"/>
      <c r="K52" s="43"/>
      <c r="L52" s="31"/>
      <c r="M52" s="33"/>
      <c r="O52" s="5"/>
      <c r="P52" s="13"/>
      <c r="Q52" s="67"/>
      <c r="R52" s="42" t="s">
        <v>1910</v>
      </c>
      <c r="S52" s="1" t="n">
        <v>1975</v>
      </c>
      <c r="U52" s="29" t="s">
        <v>1911</v>
      </c>
    </row>
    <row r="53" customFormat="false" ht="15" hidden="false" customHeight="true" outlineLevel="0" collapsed="false">
      <c r="A53" s="5" t="n">
        <v>51</v>
      </c>
      <c r="B53" s="6" t="s">
        <v>1731</v>
      </c>
      <c r="C53" s="89" t="s">
        <v>1912</v>
      </c>
      <c r="D53" s="19"/>
      <c r="E53" s="90" t="s">
        <v>1913</v>
      </c>
      <c r="F53" s="5" t="n">
        <v>18</v>
      </c>
      <c r="G53" s="5" t="n">
        <f aca="false">F53/18*72</f>
        <v>72</v>
      </c>
      <c r="H53" s="32"/>
      <c r="I53" s="31"/>
      <c r="J53" s="31"/>
      <c r="K53" s="43"/>
      <c r="L53" s="31"/>
      <c r="M53" s="33"/>
      <c r="O53" s="5"/>
      <c r="P53" s="13"/>
      <c r="Q53" s="67"/>
      <c r="R53" s="42" t="s">
        <v>1914</v>
      </c>
      <c r="S53" s="1" t="n">
        <v>1961</v>
      </c>
      <c r="U53" s="29" t="s">
        <v>1915</v>
      </c>
    </row>
    <row r="54" customFormat="false" ht="15" hidden="false" customHeight="true" outlineLevel="0" collapsed="false">
      <c r="A54" s="5" t="n">
        <v>52</v>
      </c>
      <c r="B54" s="6" t="s">
        <v>1731</v>
      </c>
      <c r="C54" s="89" t="s">
        <v>1916</v>
      </c>
      <c r="D54" s="19"/>
      <c r="E54" s="90" t="s">
        <v>1917</v>
      </c>
      <c r="F54" s="5" t="n">
        <v>18</v>
      </c>
      <c r="G54" s="5" t="n">
        <f aca="false">F54/18*72</f>
        <v>72</v>
      </c>
      <c r="H54" s="32"/>
      <c r="I54" s="31"/>
      <c r="J54" s="31"/>
      <c r="K54" s="43"/>
      <c r="L54" s="31"/>
      <c r="M54" s="33"/>
      <c r="O54" s="5"/>
      <c r="P54" s="13"/>
      <c r="Q54" s="67"/>
      <c r="R54" s="42" t="s">
        <v>1918</v>
      </c>
      <c r="S54" s="1" t="n">
        <v>1989</v>
      </c>
      <c r="U54" s="29" t="s">
        <v>1919</v>
      </c>
    </row>
    <row r="55" customFormat="false" ht="15" hidden="false" customHeight="true" outlineLevel="0" collapsed="false">
      <c r="A55" s="5" t="n">
        <v>53</v>
      </c>
      <c r="B55" s="6" t="s">
        <v>1735</v>
      </c>
      <c r="C55" s="89" t="s">
        <v>1920</v>
      </c>
      <c r="D55" s="19"/>
      <c r="E55" s="90" t="s">
        <v>1766</v>
      </c>
      <c r="F55" s="5" t="n">
        <v>18</v>
      </c>
      <c r="G55" s="5" t="n">
        <f aca="false">F55/18*72</f>
        <v>72</v>
      </c>
      <c r="H55" s="32"/>
      <c r="I55" s="31"/>
      <c r="J55" s="31"/>
      <c r="K55" s="43"/>
      <c r="L55" s="31"/>
      <c r="M55" s="33"/>
      <c r="O55" s="5"/>
      <c r="P55" s="13"/>
      <c r="Q55" s="67"/>
      <c r="R55" s="42" t="s">
        <v>1921</v>
      </c>
      <c r="S55" s="1" t="n">
        <v>1973</v>
      </c>
      <c r="U55" s="29" t="s">
        <v>1922</v>
      </c>
    </row>
    <row r="56" customFormat="false" ht="15" hidden="false" customHeight="true" outlineLevel="0" collapsed="false">
      <c r="A56" s="5" t="n">
        <v>54</v>
      </c>
      <c r="B56" s="6" t="s">
        <v>1818</v>
      </c>
      <c r="C56" s="89" t="s">
        <v>1923</v>
      </c>
      <c r="D56" s="19"/>
      <c r="E56" s="90" t="s">
        <v>1924</v>
      </c>
      <c r="F56" s="5" t="n">
        <v>18</v>
      </c>
      <c r="G56" s="5" t="n">
        <f aca="false">F56/18*72</f>
        <v>72</v>
      </c>
      <c r="H56" s="32"/>
      <c r="I56" s="31"/>
      <c r="J56" s="31"/>
      <c r="K56" s="43"/>
      <c r="L56" s="31"/>
      <c r="M56" s="33"/>
      <c r="O56" s="5"/>
      <c r="P56" s="13"/>
      <c r="Q56" s="67"/>
      <c r="R56" s="42" t="s">
        <v>1925</v>
      </c>
      <c r="S56" s="1" t="n">
        <v>1966</v>
      </c>
      <c r="U56" s="29" t="s">
        <v>1926</v>
      </c>
    </row>
    <row r="57" customFormat="false" ht="15" hidden="false" customHeight="true" outlineLevel="0" collapsed="false">
      <c r="A57" s="5" t="n">
        <v>55</v>
      </c>
      <c r="B57" s="6" t="s">
        <v>1731</v>
      </c>
      <c r="C57" s="89" t="s">
        <v>1927</v>
      </c>
      <c r="D57" s="19"/>
      <c r="E57" s="90" t="s">
        <v>1928</v>
      </c>
      <c r="F57" s="5" t="n">
        <v>18</v>
      </c>
      <c r="G57" s="5" t="n">
        <f aca="false">F57/18*72</f>
        <v>72</v>
      </c>
      <c r="H57" s="32"/>
      <c r="I57" s="31"/>
      <c r="J57" s="31"/>
      <c r="K57" s="43"/>
      <c r="L57" s="31"/>
      <c r="M57" s="33"/>
      <c r="O57" s="5"/>
      <c r="P57" s="13"/>
      <c r="Q57" s="67"/>
      <c r="R57" s="42" t="s">
        <v>1929</v>
      </c>
      <c r="S57" s="1" t="n">
        <v>1954</v>
      </c>
      <c r="U57" s="29" t="s">
        <v>1930</v>
      </c>
    </row>
    <row r="58" customFormat="false" ht="15" hidden="false" customHeight="true" outlineLevel="0" collapsed="false">
      <c r="A58" s="5" t="n">
        <v>56</v>
      </c>
      <c r="B58" s="6" t="s">
        <v>1731</v>
      </c>
      <c r="C58" s="89" t="s">
        <v>1931</v>
      </c>
      <c r="D58" s="19"/>
      <c r="E58" s="90" t="s">
        <v>1842</v>
      </c>
      <c r="F58" s="5" t="n">
        <v>72</v>
      </c>
      <c r="G58" s="5" t="n">
        <f aca="false">F58/18*72</f>
        <v>288</v>
      </c>
      <c r="H58" s="32" t="n">
        <v>4.3</v>
      </c>
      <c r="I58" s="31" t="n">
        <v>4.2</v>
      </c>
      <c r="J58" s="31" t="n">
        <v>4.2</v>
      </c>
      <c r="K58" s="43" t="n">
        <v>4.3</v>
      </c>
      <c r="L58" s="31" t="n">
        <v>4.1</v>
      </c>
      <c r="M58" s="33" t="n">
        <f aca="false">ROUND(AVERAGE(H58:L58),2)</f>
        <v>4.22</v>
      </c>
      <c r="N58" s="1" t="n">
        <v>94</v>
      </c>
      <c r="O58" s="5"/>
      <c r="P58" s="13"/>
      <c r="Q58" s="67"/>
      <c r="R58" s="42" t="s">
        <v>1932</v>
      </c>
      <c r="S58" s="1" t="n">
        <v>1985</v>
      </c>
      <c r="U58" s="29" t="s">
        <v>1933</v>
      </c>
    </row>
    <row r="59" customFormat="false" ht="15" hidden="false" customHeight="true" outlineLevel="0" collapsed="false">
      <c r="A59" s="5" t="n">
        <v>57</v>
      </c>
      <c r="B59" s="6" t="s">
        <v>1731</v>
      </c>
      <c r="C59" s="89" t="s">
        <v>1934</v>
      </c>
      <c r="D59" s="19"/>
      <c r="E59" s="90" t="s">
        <v>1935</v>
      </c>
      <c r="F59" s="5" t="n">
        <v>18</v>
      </c>
      <c r="G59" s="5" t="n">
        <f aca="false">F59/18*72</f>
        <v>72</v>
      </c>
      <c r="H59" s="32"/>
      <c r="I59" s="31"/>
      <c r="J59" s="31"/>
      <c r="K59" s="43"/>
      <c r="L59" s="31"/>
      <c r="M59" s="33"/>
      <c r="O59" s="5"/>
      <c r="P59" s="13"/>
      <c r="Q59" s="67"/>
      <c r="R59" s="42" t="s">
        <v>1936</v>
      </c>
      <c r="S59" s="1" t="n">
        <v>2004</v>
      </c>
      <c r="U59" s="29" t="s">
        <v>1937</v>
      </c>
    </row>
    <row r="60" customFormat="false" ht="15" hidden="false" customHeight="true" outlineLevel="0" collapsed="false">
      <c r="A60" s="5" t="n">
        <v>58</v>
      </c>
      <c r="B60" s="6" t="s">
        <v>1895</v>
      </c>
      <c r="C60" s="89" t="s">
        <v>1938</v>
      </c>
      <c r="D60" s="19"/>
      <c r="E60" s="90" t="s">
        <v>1939</v>
      </c>
      <c r="F60" s="5" t="n">
        <v>18</v>
      </c>
      <c r="G60" s="5" t="n">
        <f aca="false">F60/18*72</f>
        <v>72</v>
      </c>
      <c r="H60" s="32"/>
      <c r="I60" s="31"/>
      <c r="J60" s="31"/>
      <c r="K60" s="43"/>
      <c r="L60" s="31"/>
      <c r="M60" s="33"/>
      <c r="O60" s="5"/>
      <c r="P60" s="13"/>
      <c r="Q60" s="67"/>
      <c r="R60" s="42" t="s">
        <v>1940</v>
      </c>
      <c r="U60" s="15" t="s">
        <v>1941</v>
      </c>
    </row>
    <row r="61" customFormat="false" ht="15" hidden="false" customHeight="true" outlineLevel="0" collapsed="false">
      <c r="A61" s="5" t="n">
        <v>59</v>
      </c>
      <c r="B61" s="6" t="s">
        <v>1731</v>
      </c>
      <c r="C61" s="89" t="s">
        <v>1942</v>
      </c>
      <c r="D61" s="19"/>
      <c r="E61" s="90" t="s">
        <v>1943</v>
      </c>
      <c r="F61" s="5" t="n">
        <v>18</v>
      </c>
      <c r="G61" s="5" t="n">
        <f aca="false">F61/18*72</f>
        <v>72</v>
      </c>
      <c r="H61" s="32"/>
      <c r="I61" s="31"/>
      <c r="J61" s="31"/>
      <c r="K61" s="43"/>
      <c r="L61" s="31"/>
      <c r="M61" s="33"/>
      <c r="O61" s="5"/>
      <c r="P61" s="13"/>
      <c r="Q61" s="67"/>
      <c r="R61" s="42" t="s">
        <v>1944</v>
      </c>
      <c r="U61" s="15" t="s">
        <v>1945</v>
      </c>
    </row>
    <row r="62" customFormat="false" ht="15" hidden="false" customHeight="true" outlineLevel="0" collapsed="false">
      <c r="A62" s="5" t="n">
        <v>60</v>
      </c>
      <c r="B62" s="6" t="s">
        <v>1731</v>
      </c>
      <c r="C62" s="89" t="s">
        <v>1946</v>
      </c>
      <c r="D62" s="19"/>
      <c r="E62" s="90" t="s">
        <v>1947</v>
      </c>
      <c r="F62" s="5" t="n">
        <v>36</v>
      </c>
      <c r="G62" s="5" t="n">
        <f aca="false">F62/18*72</f>
        <v>144</v>
      </c>
      <c r="H62" s="32"/>
      <c r="I62" s="31"/>
      <c r="J62" s="31"/>
      <c r="K62" s="43"/>
      <c r="L62" s="31"/>
      <c r="M62" s="33"/>
      <c r="O62" s="5"/>
      <c r="P62" s="13"/>
      <c r="Q62" s="67"/>
      <c r="R62" s="42" t="s">
        <v>1948</v>
      </c>
      <c r="S62" s="1" t="n">
        <v>1960</v>
      </c>
      <c r="U62" s="29" t="s">
        <v>1949</v>
      </c>
    </row>
    <row r="63" customFormat="false" ht="15" hidden="false" customHeight="true" outlineLevel="0" collapsed="false">
      <c r="A63" s="5" t="n">
        <v>61</v>
      </c>
      <c r="B63" s="6" t="s">
        <v>1731</v>
      </c>
      <c r="C63" s="89" t="s">
        <v>1950</v>
      </c>
      <c r="D63" s="19"/>
      <c r="E63" s="90" t="s">
        <v>1901</v>
      </c>
      <c r="F63" s="5" t="n">
        <v>18</v>
      </c>
      <c r="G63" s="5" t="n">
        <f aca="false">F63/18*72</f>
        <v>72</v>
      </c>
      <c r="H63" s="32"/>
      <c r="I63" s="31"/>
      <c r="J63" s="31"/>
      <c r="K63" s="43"/>
      <c r="L63" s="31"/>
      <c r="M63" s="33"/>
      <c r="O63" s="5"/>
      <c r="P63" s="13"/>
      <c r="Q63" s="67"/>
      <c r="R63" s="42" t="s">
        <v>1951</v>
      </c>
      <c r="S63" s="1" t="n">
        <v>1958</v>
      </c>
      <c r="U63" s="29" t="s">
        <v>1949</v>
      </c>
    </row>
    <row r="64" customFormat="false" ht="15" hidden="false" customHeight="true" outlineLevel="0" collapsed="false">
      <c r="A64" s="5" t="n">
        <v>62</v>
      </c>
      <c r="B64" s="6" t="s">
        <v>1731</v>
      </c>
      <c r="C64" s="89" t="s">
        <v>1952</v>
      </c>
      <c r="D64" s="19"/>
      <c r="E64" s="90" t="s">
        <v>1953</v>
      </c>
      <c r="F64" s="5" t="n">
        <v>18</v>
      </c>
      <c r="G64" s="5" t="n">
        <f aca="false">F64/18*72</f>
        <v>72</v>
      </c>
      <c r="H64" s="32"/>
      <c r="I64" s="31"/>
      <c r="J64" s="31"/>
      <c r="K64" s="43"/>
      <c r="L64" s="31"/>
      <c r="M64" s="33"/>
      <c r="O64" s="5"/>
      <c r="P64" s="13"/>
      <c r="Q64" s="67"/>
      <c r="R64" s="42" t="s">
        <v>1954</v>
      </c>
      <c r="S64" s="1" t="n">
        <v>1964</v>
      </c>
      <c r="U64" s="29" t="s">
        <v>1955</v>
      </c>
    </row>
    <row r="65" customFormat="false" ht="15" hidden="false" customHeight="true" outlineLevel="0" collapsed="false">
      <c r="A65" s="5" t="n">
        <v>63</v>
      </c>
      <c r="B65" s="6" t="s">
        <v>1731</v>
      </c>
      <c r="C65" s="89" t="s">
        <v>1956</v>
      </c>
      <c r="D65" s="19"/>
      <c r="E65" s="90" t="s">
        <v>1957</v>
      </c>
      <c r="F65" s="5" t="n">
        <v>18</v>
      </c>
      <c r="G65" s="5" t="n">
        <f aca="false">F65/18*72</f>
        <v>72</v>
      </c>
      <c r="H65" s="32"/>
      <c r="I65" s="31"/>
      <c r="J65" s="31"/>
      <c r="K65" s="43"/>
      <c r="L65" s="31"/>
      <c r="M65" s="33"/>
      <c r="O65" s="5"/>
      <c r="P65" s="13"/>
      <c r="Q65" s="67"/>
      <c r="R65" s="42" t="s">
        <v>1958</v>
      </c>
      <c r="S65" s="1" t="n">
        <v>1930</v>
      </c>
      <c r="U65" s="29" t="s">
        <v>1959</v>
      </c>
    </row>
    <row r="66" customFormat="false" ht="15" hidden="false" customHeight="true" outlineLevel="0" collapsed="false">
      <c r="A66" s="5" t="n">
        <v>64</v>
      </c>
      <c r="B66" s="6" t="s">
        <v>1731</v>
      </c>
      <c r="C66" s="89" t="s">
        <v>1960</v>
      </c>
      <c r="D66" s="19"/>
      <c r="E66" s="90" t="s">
        <v>1876</v>
      </c>
      <c r="F66" s="5" t="n">
        <v>18</v>
      </c>
      <c r="G66" s="5" t="n">
        <f aca="false">F66/18*72</f>
        <v>72</v>
      </c>
      <c r="H66" s="32"/>
      <c r="I66" s="31"/>
      <c r="J66" s="31"/>
      <c r="K66" s="43"/>
      <c r="L66" s="31"/>
      <c r="M66" s="33"/>
      <c r="O66" s="5"/>
      <c r="P66" s="13"/>
      <c r="Q66" s="67"/>
      <c r="R66" s="42"/>
      <c r="U66" s="15" t="s">
        <v>1961</v>
      </c>
    </row>
    <row r="67" customFormat="false" ht="15" hidden="false" customHeight="true" outlineLevel="0" collapsed="false">
      <c r="A67" s="5" t="n">
        <v>65</v>
      </c>
      <c r="B67" s="6" t="s">
        <v>1745</v>
      </c>
      <c r="C67" s="89" t="s">
        <v>1962</v>
      </c>
      <c r="D67" s="19"/>
      <c r="E67" s="90" t="s">
        <v>1963</v>
      </c>
      <c r="F67" s="5" t="n">
        <v>18</v>
      </c>
      <c r="G67" s="5" t="n">
        <f aca="false">F67/18*72</f>
        <v>72</v>
      </c>
      <c r="H67" s="32"/>
      <c r="I67" s="31"/>
      <c r="J67" s="31"/>
      <c r="K67" s="43"/>
      <c r="L67" s="31"/>
      <c r="M67" s="33"/>
      <c r="O67" s="5"/>
      <c r="P67" s="13"/>
      <c r="Q67" s="67"/>
      <c r="R67" s="42" t="s">
        <v>1964</v>
      </c>
      <c r="S67" s="1" t="n">
        <v>1959</v>
      </c>
      <c r="U67" s="29" t="s">
        <v>1965</v>
      </c>
    </row>
    <row r="68" customFormat="false" ht="15" hidden="false" customHeight="true" outlineLevel="0" collapsed="false">
      <c r="A68" s="5" t="n">
        <v>66</v>
      </c>
      <c r="B68" s="6" t="s">
        <v>1745</v>
      </c>
      <c r="C68" s="89" t="s">
        <v>1966</v>
      </c>
      <c r="D68" s="19"/>
      <c r="E68" s="90" t="s">
        <v>1967</v>
      </c>
      <c r="F68" s="5" t="n">
        <v>18</v>
      </c>
      <c r="G68" s="5" t="n">
        <f aca="false">F68/18*72</f>
        <v>72</v>
      </c>
      <c r="H68" s="32"/>
      <c r="I68" s="31"/>
      <c r="J68" s="31"/>
      <c r="K68" s="43"/>
      <c r="L68" s="31"/>
      <c r="M68" s="33"/>
      <c r="O68" s="5"/>
      <c r="P68" s="13"/>
      <c r="Q68" s="67"/>
      <c r="R68" s="42" t="s">
        <v>1968</v>
      </c>
      <c r="S68" s="1" t="n">
        <v>1953</v>
      </c>
      <c r="U68" s="29" t="s">
        <v>1969</v>
      </c>
    </row>
    <row r="69" customFormat="false" ht="15" hidden="false" customHeight="true" outlineLevel="0" collapsed="false">
      <c r="A69" s="5" t="n">
        <v>67</v>
      </c>
      <c r="B69" s="6" t="s">
        <v>1745</v>
      </c>
      <c r="C69" s="89" t="s">
        <v>1970</v>
      </c>
      <c r="D69" s="19"/>
      <c r="E69" s="90" t="s">
        <v>1971</v>
      </c>
      <c r="F69" s="5" t="n">
        <v>18</v>
      </c>
      <c r="G69" s="5" t="n">
        <f aca="false">F69/18*72</f>
        <v>72</v>
      </c>
      <c r="H69" s="32"/>
      <c r="I69" s="31"/>
      <c r="J69" s="31"/>
      <c r="K69" s="43"/>
      <c r="L69" s="31"/>
      <c r="M69" s="33"/>
      <c r="O69" s="5"/>
      <c r="P69" s="13"/>
      <c r="Q69" s="67"/>
      <c r="R69" s="42" t="s">
        <v>1972</v>
      </c>
      <c r="S69" s="1" t="n">
        <v>1959</v>
      </c>
      <c r="U69" s="29" t="s">
        <v>1973</v>
      </c>
    </row>
    <row r="70" customFormat="false" ht="15" hidden="false" customHeight="true" outlineLevel="0" collapsed="false">
      <c r="A70" s="5" t="n">
        <v>68</v>
      </c>
      <c r="B70" s="6" t="s">
        <v>1745</v>
      </c>
      <c r="C70" s="89" t="s">
        <v>1974</v>
      </c>
      <c r="D70" s="19"/>
      <c r="E70" s="90" t="s">
        <v>1975</v>
      </c>
      <c r="F70" s="5" t="n">
        <v>18</v>
      </c>
      <c r="G70" s="5" t="n">
        <f aca="false">F70/18*72</f>
        <v>72</v>
      </c>
      <c r="H70" s="32"/>
      <c r="I70" s="31"/>
      <c r="J70" s="31"/>
      <c r="K70" s="43"/>
      <c r="L70" s="31"/>
      <c r="M70" s="33"/>
      <c r="O70" s="5"/>
      <c r="P70" s="13"/>
      <c r="Q70" s="67"/>
      <c r="R70" s="42" t="s">
        <v>1976</v>
      </c>
      <c r="S70" s="1" t="n">
        <v>1973</v>
      </c>
      <c r="U70" s="29" t="s">
        <v>1977</v>
      </c>
    </row>
    <row r="71" customFormat="false" ht="15" hidden="false" customHeight="true" outlineLevel="0" collapsed="false">
      <c r="A71" s="5" t="n">
        <v>69</v>
      </c>
      <c r="B71" s="6" t="s">
        <v>1745</v>
      </c>
      <c r="C71" s="89" t="s">
        <v>1978</v>
      </c>
      <c r="D71" s="19"/>
      <c r="E71" s="90" t="s">
        <v>1979</v>
      </c>
      <c r="F71" s="5" t="n">
        <v>36</v>
      </c>
      <c r="G71" s="5" t="n">
        <f aca="false">F71/18*72</f>
        <v>144</v>
      </c>
      <c r="H71" s="32"/>
      <c r="I71" s="31"/>
      <c r="J71" s="31"/>
      <c r="K71" s="43"/>
      <c r="L71" s="31"/>
      <c r="M71" s="33"/>
      <c r="O71" s="5"/>
      <c r="P71" s="13"/>
      <c r="Q71" s="67"/>
      <c r="R71" s="42" t="s">
        <v>1980</v>
      </c>
      <c r="U71" s="15" t="s">
        <v>1981</v>
      </c>
    </row>
    <row r="72" customFormat="false" ht="15" hidden="false" customHeight="true" outlineLevel="0" collapsed="false">
      <c r="A72" s="5" t="n">
        <v>70</v>
      </c>
      <c r="B72" s="6" t="s">
        <v>1745</v>
      </c>
      <c r="C72" s="89" t="s">
        <v>1982</v>
      </c>
      <c r="D72" s="19"/>
      <c r="E72" s="90" t="s">
        <v>1979</v>
      </c>
      <c r="F72" s="5" t="n">
        <v>18</v>
      </c>
      <c r="G72" s="5" t="n">
        <f aca="false">F72/18*72</f>
        <v>72</v>
      </c>
      <c r="H72" s="32"/>
      <c r="I72" s="31"/>
      <c r="J72" s="31"/>
      <c r="K72" s="43"/>
      <c r="L72" s="31"/>
      <c r="M72" s="33"/>
      <c r="O72" s="5"/>
      <c r="P72" s="13"/>
      <c r="Q72" s="67"/>
      <c r="R72" s="42"/>
      <c r="U72" s="15" t="s">
        <v>1983</v>
      </c>
    </row>
    <row r="73" customFormat="false" ht="15" hidden="false" customHeight="true" outlineLevel="0" collapsed="false">
      <c r="A73" s="5" t="n">
        <v>71</v>
      </c>
      <c r="B73" s="6" t="s">
        <v>1895</v>
      </c>
      <c r="C73" s="89" t="s">
        <v>1984</v>
      </c>
      <c r="D73" s="19"/>
      <c r="E73" s="90" t="s">
        <v>1985</v>
      </c>
      <c r="F73" s="5" t="n">
        <v>18</v>
      </c>
      <c r="G73" s="5" t="n">
        <f aca="false">F73/18*72</f>
        <v>72</v>
      </c>
      <c r="H73" s="32"/>
      <c r="I73" s="31"/>
      <c r="J73" s="31"/>
      <c r="K73" s="43"/>
      <c r="L73" s="31"/>
      <c r="M73" s="33"/>
      <c r="O73" s="5"/>
      <c r="P73" s="13"/>
      <c r="Q73" s="67"/>
      <c r="R73" s="42" t="s">
        <v>1986</v>
      </c>
      <c r="U73" s="15" t="s">
        <v>1987</v>
      </c>
    </row>
    <row r="74" customFormat="false" ht="15" hidden="false" customHeight="true" outlineLevel="0" collapsed="false">
      <c r="A74" s="5" t="n">
        <v>72</v>
      </c>
      <c r="B74" s="6" t="s">
        <v>1735</v>
      </c>
      <c r="C74" s="89" t="s">
        <v>1988</v>
      </c>
      <c r="D74" s="19"/>
      <c r="E74" s="90" t="s">
        <v>1794</v>
      </c>
      <c r="F74" s="5" t="n">
        <v>27</v>
      </c>
      <c r="G74" s="5" t="n">
        <f aca="false">F74/18*72</f>
        <v>108</v>
      </c>
      <c r="H74" s="32"/>
      <c r="I74" s="31"/>
      <c r="J74" s="31"/>
      <c r="K74" s="43"/>
      <c r="L74" s="31"/>
      <c r="M74" s="33"/>
      <c r="O74" s="5"/>
      <c r="P74" s="13"/>
      <c r="Q74" s="67"/>
      <c r="R74" s="42" t="s">
        <v>1989</v>
      </c>
      <c r="S74" s="1" t="n">
        <v>1959</v>
      </c>
      <c r="U74" s="29" t="s">
        <v>1990</v>
      </c>
    </row>
    <row r="75" customFormat="false" ht="15" hidden="false" customHeight="true" outlineLevel="0" collapsed="false">
      <c r="A75" s="5" t="n">
        <v>73</v>
      </c>
      <c r="B75" s="6" t="s">
        <v>1735</v>
      </c>
      <c r="C75" s="89" t="s">
        <v>1991</v>
      </c>
      <c r="D75" s="19"/>
      <c r="E75" s="90" t="s">
        <v>1992</v>
      </c>
      <c r="F75" s="5" t="n">
        <v>27</v>
      </c>
      <c r="G75" s="5" t="n">
        <f aca="false">F75/18*72</f>
        <v>108</v>
      </c>
      <c r="H75" s="32"/>
      <c r="I75" s="31"/>
      <c r="J75" s="31"/>
      <c r="K75" s="43"/>
      <c r="L75" s="31"/>
      <c r="M75" s="33"/>
      <c r="O75" s="5"/>
      <c r="P75" s="13"/>
      <c r="Q75" s="67"/>
      <c r="R75" s="42" t="s">
        <v>1993</v>
      </c>
      <c r="U75" s="15" t="s">
        <v>1994</v>
      </c>
    </row>
    <row r="76" customFormat="false" ht="15" hidden="false" customHeight="true" outlineLevel="0" collapsed="false">
      <c r="A76" s="5" t="n">
        <v>74</v>
      </c>
      <c r="B76" s="6" t="s">
        <v>1731</v>
      </c>
      <c r="C76" s="89" t="s">
        <v>1995</v>
      </c>
      <c r="D76" s="19"/>
      <c r="E76" s="90" t="s">
        <v>1996</v>
      </c>
      <c r="F76" s="5" t="n">
        <v>18</v>
      </c>
      <c r="G76" s="5" t="n">
        <f aca="false">F76/18*72</f>
        <v>72</v>
      </c>
      <c r="H76" s="32"/>
      <c r="I76" s="31"/>
      <c r="J76" s="31"/>
      <c r="K76" s="43"/>
      <c r="L76" s="31"/>
      <c r="M76" s="33"/>
      <c r="O76" s="5"/>
      <c r="P76" s="13"/>
      <c r="Q76" s="67"/>
      <c r="R76" s="42" t="s">
        <v>1997</v>
      </c>
      <c r="S76" s="1" t="n">
        <v>1961</v>
      </c>
      <c r="U76" s="29" t="s">
        <v>1998</v>
      </c>
    </row>
    <row r="77" customFormat="false" ht="15" hidden="false" customHeight="true" outlineLevel="0" collapsed="false">
      <c r="A77" s="5" t="n">
        <v>75</v>
      </c>
      <c r="B77" s="6" t="s">
        <v>1735</v>
      </c>
      <c r="C77" s="89" t="s">
        <v>1999</v>
      </c>
      <c r="D77" s="19"/>
      <c r="E77" s="90" t="s">
        <v>2000</v>
      </c>
      <c r="F77" s="5" t="n">
        <v>18</v>
      </c>
      <c r="G77" s="5" t="n">
        <f aca="false">F77/18*72</f>
        <v>72</v>
      </c>
      <c r="H77" s="32"/>
      <c r="I77" s="31"/>
      <c r="J77" s="31"/>
      <c r="K77" s="43"/>
      <c r="L77" s="31"/>
      <c r="M77" s="33"/>
      <c r="O77" s="5"/>
      <c r="P77" s="13"/>
      <c r="Q77" s="67"/>
      <c r="R77" s="42" t="s">
        <v>2001</v>
      </c>
      <c r="S77" s="1" t="n">
        <v>1961</v>
      </c>
      <c r="U77" s="15" t="s">
        <v>2002</v>
      </c>
    </row>
    <row r="78" customFormat="false" ht="15" hidden="false" customHeight="true" outlineLevel="0" collapsed="false">
      <c r="A78" s="5" t="n">
        <v>76</v>
      </c>
      <c r="B78" s="6" t="s">
        <v>1731</v>
      </c>
      <c r="C78" s="89" t="s">
        <v>2003</v>
      </c>
      <c r="D78" s="19"/>
      <c r="E78" s="90" t="s">
        <v>2004</v>
      </c>
      <c r="F78" s="5" t="n">
        <v>18</v>
      </c>
      <c r="G78" s="5" t="n">
        <f aca="false">F78/18*72</f>
        <v>72</v>
      </c>
      <c r="H78" s="32"/>
      <c r="I78" s="31"/>
      <c r="J78" s="31"/>
      <c r="K78" s="43"/>
      <c r="L78" s="31"/>
      <c r="M78" s="33"/>
      <c r="O78" s="5"/>
      <c r="P78" s="13"/>
      <c r="Q78" s="67"/>
      <c r="R78" s="42" t="s">
        <v>2005</v>
      </c>
      <c r="U78" s="15" t="s">
        <v>2006</v>
      </c>
    </row>
    <row r="79" customFormat="false" ht="15" hidden="false" customHeight="true" outlineLevel="0" collapsed="false">
      <c r="A79" s="5" t="n">
        <v>77</v>
      </c>
      <c r="B79" s="6" t="s">
        <v>1731</v>
      </c>
      <c r="C79" s="89" t="s">
        <v>2007</v>
      </c>
      <c r="D79" s="19"/>
      <c r="E79" s="90" t="s">
        <v>2008</v>
      </c>
      <c r="F79" s="5" t="n">
        <v>18</v>
      </c>
      <c r="G79" s="5" t="n">
        <f aca="false">F79/18*72</f>
        <v>72</v>
      </c>
      <c r="H79" s="32"/>
      <c r="I79" s="31"/>
      <c r="J79" s="31"/>
      <c r="K79" s="43"/>
      <c r="L79" s="31"/>
      <c r="M79" s="33"/>
      <c r="O79" s="5"/>
      <c r="P79" s="13"/>
      <c r="Q79" s="67"/>
      <c r="R79" s="42" t="s">
        <v>2009</v>
      </c>
      <c r="S79" s="1" t="n">
        <v>1929</v>
      </c>
      <c r="U79" s="29" t="s">
        <v>2010</v>
      </c>
    </row>
    <row r="80" customFormat="false" ht="15" hidden="false" customHeight="true" outlineLevel="0" collapsed="false">
      <c r="A80" s="5" t="n">
        <v>78</v>
      </c>
      <c r="B80" s="6" t="s">
        <v>1731</v>
      </c>
      <c r="C80" s="89" t="s">
        <v>2011</v>
      </c>
      <c r="D80" s="19"/>
      <c r="E80" s="90" t="s">
        <v>2012</v>
      </c>
      <c r="F80" s="5" t="n">
        <v>18</v>
      </c>
      <c r="G80" s="5" t="n">
        <f aca="false">F80/18*72</f>
        <v>72</v>
      </c>
      <c r="H80" s="32"/>
      <c r="I80" s="31"/>
      <c r="J80" s="31"/>
      <c r="K80" s="43"/>
      <c r="L80" s="31"/>
      <c r="M80" s="33"/>
      <c r="O80" s="5"/>
      <c r="P80" s="13"/>
      <c r="Q80" s="67"/>
      <c r="R80" s="42" t="s">
        <v>2013</v>
      </c>
      <c r="S80" s="1" t="n">
        <v>1976</v>
      </c>
      <c r="U80" s="29" t="s">
        <v>2014</v>
      </c>
    </row>
    <row r="81" customFormat="false" ht="15" hidden="false" customHeight="true" outlineLevel="0" collapsed="false">
      <c r="A81" s="5" t="n">
        <v>79</v>
      </c>
      <c r="B81" s="6" t="s">
        <v>2015</v>
      </c>
      <c r="C81" s="89" t="s">
        <v>2016</v>
      </c>
      <c r="D81" s="19"/>
      <c r="E81" s="90" t="s">
        <v>2017</v>
      </c>
      <c r="F81" s="5" t="n">
        <v>18</v>
      </c>
      <c r="G81" s="5" t="n">
        <f aca="false">F81/18*72</f>
        <v>72</v>
      </c>
      <c r="H81" s="32"/>
      <c r="I81" s="31"/>
      <c r="J81" s="31"/>
      <c r="K81" s="43"/>
      <c r="L81" s="31"/>
      <c r="M81" s="33"/>
      <c r="O81" s="5"/>
      <c r="P81" s="13"/>
      <c r="Q81" s="67"/>
      <c r="R81" s="42" t="s">
        <v>2018</v>
      </c>
      <c r="S81" s="1" t="n">
        <v>1961</v>
      </c>
      <c r="U81" s="29" t="s">
        <v>2019</v>
      </c>
    </row>
    <row r="82" customFormat="false" ht="15" hidden="false" customHeight="true" outlineLevel="0" collapsed="false">
      <c r="A82" s="5" t="n">
        <v>80</v>
      </c>
      <c r="B82" s="6" t="s">
        <v>2015</v>
      </c>
      <c r="C82" s="89" t="s">
        <v>2020</v>
      </c>
      <c r="D82" s="19"/>
      <c r="E82" s="90" t="s">
        <v>2021</v>
      </c>
      <c r="F82" s="5" t="n">
        <v>18</v>
      </c>
      <c r="G82" s="5" t="n">
        <f aca="false">F82/18*72</f>
        <v>72</v>
      </c>
      <c r="H82" s="32" t="n">
        <v>4.7</v>
      </c>
      <c r="I82" s="31" t="n">
        <v>4.8</v>
      </c>
      <c r="J82" s="31" t="n">
        <v>4.6</v>
      </c>
      <c r="K82" s="43" t="n">
        <v>4.5</v>
      </c>
      <c r="L82" s="31" t="n">
        <v>4.4</v>
      </c>
      <c r="M82" s="33" t="n">
        <f aca="false">ROUND(AVERAGE(H82:L82),2)</f>
        <v>4.6</v>
      </c>
      <c r="N82" s="1" t="n">
        <v>98</v>
      </c>
      <c r="O82" s="5"/>
      <c r="P82" s="13"/>
      <c r="Q82" s="67"/>
      <c r="R82" s="42" t="s">
        <v>2022</v>
      </c>
      <c r="S82" s="1" t="n">
        <v>1991</v>
      </c>
      <c r="U82" s="29" t="s">
        <v>2023</v>
      </c>
    </row>
    <row r="83" customFormat="false" ht="15" hidden="false" customHeight="true" outlineLevel="0" collapsed="false">
      <c r="A83" s="5" t="n">
        <v>81</v>
      </c>
      <c r="B83" s="6" t="s">
        <v>2015</v>
      </c>
      <c r="C83" s="89" t="s">
        <v>2024</v>
      </c>
      <c r="D83" s="19"/>
      <c r="E83" s="90" t="s">
        <v>2021</v>
      </c>
      <c r="F83" s="5" t="n">
        <v>18</v>
      </c>
      <c r="G83" s="5" t="n">
        <f aca="false">F83/18*72</f>
        <v>72</v>
      </c>
      <c r="H83" s="32"/>
      <c r="I83" s="31"/>
      <c r="J83" s="31"/>
      <c r="K83" s="43"/>
      <c r="L83" s="31"/>
      <c r="M83" s="33"/>
      <c r="O83" s="5"/>
      <c r="P83" s="13"/>
      <c r="Q83" s="67"/>
      <c r="R83" s="42" t="s">
        <v>2025</v>
      </c>
      <c r="S83" s="1" t="n">
        <v>1996</v>
      </c>
      <c r="U83" s="29" t="s">
        <v>2026</v>
      </c>
    </row>
    <row r="84" customFormat="false" ht="15" hidden="false" customHeight="true" outlineLevel="0" collapsed="false">
      <c r="A84" s="5" t="n">
        <v>82</v>
      </c>
      <c r="B84" s="6" t="s">
        <v>2015</v>
      </c>
      <c r="C84" s="89" t="s">
        <v>2027</v>
      </c>
      <c r="D84" s="19"/>
      <c r="E84" s="90" t="s">
        <v>2028</v>
      </c>
      <c r="F84" s="5" t="n">
        <v>54</v>
      </c>
      <c r="G84" s="5" t="n">
        <f aca="false">F84/18*72</f>
        <v>216</v>
      </c>
      <c r="H84" s="32"/>
      <c r="I84" s="31"/>
      <c r="J84" s="31"/>
      <c r="K84" s="43"/>
      <c r="L84" s="31"/>
      <c r="M84" s="33"/>
      <c r="O84" s="5"/>
      <c r="P84" s="13"/>
      <c r="Q84" s="67"/>
      <c r="R84" s="42" t="s">
        <v>2029</v>
      </c>
      <c r="S84" s="1" t="n">
        <v>1978</v>
      </c>
      <c r="U84" s="29" t="s">
        <v>2030</v>
      </c>
    </row>
    <row r="85" customFormat="false" ht="15" hidden="false" customHeight="true" outlineLevel="0" collapsed="false">
      <c r="A85" s="5" t="n">
        <v>83</v>
      </c>
      <c r="B85" s="6" t="s">
        <v>2015</v>
      </c>
      <c r="C85" s="89" t="s">
        <v>2031</v>
      </c>
      <c r="D85" s="19"/>
      <c r="E85" s="90" t="s">
        <v>2032</v>
      </c>
      <c r="F85" s="5" t="n">
        <v>18</v>
      </c>
      <c r="G85" s="5" t="n">
        <f aca="false">F85/18*72</f>
        <v>72</v>
      </c>
      <c r="H85" s="32"/>
      <c r="I85" s="31"/>
      <c r="J85" s="31"/>
      <c r="K85" s="43"/>
      <c r="L85" s="31"/>
      <c r="M85" s="33"/>
      <c r="O85" s="5"/>
      <c r="P85" s="13"/>
      <c r="Q85" s="67"/>
      <c r="R85" s="42" t="s">
        <v>2033</v>
      </c>
      <c r="U85" s="15" t="s">
        <v>2034</v>
      </c>
    </row>
    <row r="86" customFormat="false" ht="15" hidden="false" customHeight="true" outlineLevel="0" collapsed="false">
      <c r="A86" s="5" t="n">
        <v>84</v>
      </c>
      <c r="B86" s="6" t="s">
        <v>2015</v>
      </c>
      <c r="C86" s="89" t="s">
        <v>2035</v>
      </c>
      <c r="D86" s="19"/>
      <c r="E86" s="90" t="s">
        <v>2036</v>
      </c>
      <c r="F86" s="5" t="n">
        <v>18</v>
      </c>
      <c r="G86" s="5" t="n">
        <f aca="false">F86/18*72</f>
        <v>72</v>
      </c>
      <c r="H86" s="32"/>
      <c r="I86" s="31"/>
      <c r="J86" s="31"/>
      <c r="K86" s="43"/>
      <c r="L86" s="31"/>
      <c r="M86" s="33"/>
      <c r="O86" s="5"/>
      <c r="P86" s="13"/>
      <c r="Q86" s="67"/>
      <c r="R86" s="42" t="s">
        <v>2037</v>
      </c>
      <c r="S86" s="1" t="n">
        <v>1928</v>
      </c>
      <c r="U86" s="29" t="s">
        <v>2038</v>
      </c>
    </row>
    <row r="87" customFormat="false" ht="15" hidden="false" customHeight="true" outlineLevel="0" collapsed="false">
      <c r="A87" s="5" t="n">
        <v>85</v>
      </c>
      <c r="B87" s="6" t="s">
        <v>2015</v>
      </c>
      <c r="C87" s="89" t="s">
        <v>2039</v>
      </c>
      <c r="D87" s="19"/>
      <c r="E87" s="90" t="s">
        <v>2021</v>
      </c>
      <c r="F87" s="5" t="n">
        <v>27</v>
      </c>
      <c r="G87" s="5" t="n">
        <f aca="false">F87/18*72</f>
        <v>108</v>
      </c>
      <c r="H87" s="32"/>
      <c r="I87" s="31"/>
      <c r="J87" s="31"/>
      <c r="K87" s="43"/>
      <c r="L87" s="31"/>
      <c r="M87" s="33"/>
      <c r="O87" s="5"/>
      <c r="P87" s="13"/>
      <c r="Q87" s="67"/>
      <c r="R87" s="42" t="s">
        <v>2040</v>
      </c>
      <c r="U87" s="15" t="s">
        <v>2041</v>
      </c>
    </row>
    <row r="88" customFormat="false" ht="15" hidden="false" customHeight="true" outlineLevel="0" collapsed="false">
      <c r="A88" s="5" t="n">
        <v>86</v>
      </c>
      <c r="B88" s="6" t="s">
        <v>2015</v>
      </c>
      <c r="C88" s="89" t="s">
        <v>2042</v>
      </c>
      <c r="D88" s="19"/>
      <c r="E88" s="90" t="s">
        <v>2043</v>
      </c>
      <c r="F88" s="5" t="n">
        <v>18</v>
      </c>
      <c r="G88" s="5" t="n">
        <f aca="false">F88/18*72</f>
        <v>72</v>
      </c>
      <c r="H88" s="32"/>
      <c r="I88" s="31"/>
      <c r="J88" s="31"/>
      <c r="K88" s="43"/>
      <c r="L88" s="31"/>
      <c r="M88" s="33"/>
      <c r="O88" s="5"/>
      <c r="P88" s="13"/>
      <c r="Q88" s="67"/>
      <c r="R88" s="42" t="s">
        <v>2044</v>
      </c>
      <c r="U88" s="15" t="s">
        <v>2045</v>
      </c>
    </row>
    <row r="89" customFormat="false" ht="15" hidden="false" customHeight="true" outlineLevel="0" collapsed="false">
      <c r="A89" s="5" t="n">
        <v>87</v>
      </c>
      <c r="B89" s="6" t="s">
        <v>2015</v>
      </c>
      <c r="C89" s="89" t="s">
        <v>2046</v>
      </c>
      <c r="D89" s="19"/>
      <c r="E89" s="90" t="s">
        <v>2047</v>
      </c>
      <c r="F89" s="5" t="n">
        <v>72</v>
      </c>
      <c r="G89" s="5" t="n">
        <f aca="false">F89/18*72</f>
        <v>288</v>
      </c>
      <c r="H89" s="32"/>
      <c r="I89" s="31"/>
      <c r="J89" s="31"/>
      <c r="K89" s="43"/>
      <c r="L89" s="31"/>
      <c r="M89" s="33"/>
      <c r="O89" s="5"/>
      <c r="P89" s="13"/>
      <c r="Q89" s="67"/>
      <c r="R89" s="42"/>
      <c r="U89" s="15" t="s">
        <v>2048</v>
      </c>
    </row>
    <row r="90" customFormat="false" ht="15" hidden="false" customHeight="true" outlineLevel="0" collapsed="false">
      <c r="A90" s="5" t="n">
        <v>88</v>
      </c>
      <c r="B90" s="6" t="s">
        <v>1731</v>
      </c>
      <c r="C90" s="89" t="s">
        <v>2049</v>
      </c>
      <c r="D90" s="19"/>
      <c r="E90" s="90" t="s">
        <v>2050</v>
      </c>
      <c r="F90" s="5" t="n">
        <v>36</v>
      </c>
      <c r="G90" s="5" t="n">
        <f aca="false">F90/18*72</f>
        <v>144</v>
      </c>
      <c r="H90" s="32"/>
      <c r="I90" s="31"/>
      <c r="J90" s="31"/>
      <c r="K90" s="43"/>
      <c r="L90" s="31"/>
      <c r="M90" s="33"/>
      <c r="O90" s="5"/>
      <c r="P90" s="13"/>
      <c r="Q90" s="67"/>
      <c r="R90" s="42" t="s">
        <v>2051</v>
      </c>
      <c r="S90" s="1" t="n">
        <v>1965</v>
      </c>
      <c r="U90" s="29" t="s">
        <v>2052</v>
      </c>
    </row>
    <row r="91" customFormat="false" ht="15" hidden="false" customHeight="true" outlineLevel="0" collapsed="false">
      <c r="A91" s="5" t="n">
        <v>89</v>
      </c>
      <c r="B91" s="6" t="s">
        <v>1731</v>
      </c>
      <c r="C91" s="89" t="s">
        <v>2053</v>
      </c>
      <c r="D91" s="19"/>
      <c r="E91" s="90" t="s">
        <v>2050</v>
      </c>
      <c r="F91" s="5" t="n">
        <v>36</v>
      </c>
      <c r="G91" s="5" t="n">
        <f aca="false">F91/18*72</f>
        <v>144</v>
      </c>
      <c r="H91" s="32"/>
      <c r="I91" s="31"/>
      <c r="J91" s="31"/>
      <c r="K91" s="43"/>
      <c r="L91" s="31"/>
      <c r="M91" s="33"/>
      <c r="O91" s="5"/>
      <c r="P91" s="13"/>
      <c r="Q91" s="67"/>
      <c r="R91" s="42" t="s">
        <v>2051</v>
      </c>
      <c r="S91" s="1" t="n">
        <v>1965</v>
      </c>
      <c r="U91" s="29" t="s">
        <v>2054</v>
      </c>
    </row>
    <row r="92" customFormat="false" ht="15" hidden="false" customHeight="true" outlineLevel="0" collapsed="false">
      <c r="A92" s="5" t="n">
        <v>90</v>
      </c>
      <c r="B92" s="6" t="s">
        <v>1731</v>
      </c>
      <c r="C92" s="89" t="s">
        <v>2055</v>
      </c>
      <c r="D92" s="19"/>
      <c r="E92" s="90" t="s">
        <v>2056</v>
      </c>
      <c r="F92" s="5" t="n">
        <v>18</v>
      </c>
      <c r="G92" s="5" t="n">
        <f aca="false">F92/18*72</f>
        <v>72</v>
      </c>
      <c r="H92" s="32"/>
      <c r="I92" s="31"/>
      <c r="J92" s="31"/>
      <c r="K92" s="43"/>
      <c r="L92" s="31"/>
      <c r="M92" s="33"/>
      <c r="O92" s="5"/>
      <c r="P92" s="13"/>
      <c r="Q92" s="67"/>
      <c r="R92" s="42" t="s">
        <v>2057</v>
      </c>
      <c r="U92" s="15" t="s">
        <v>2058</v>
      </c>
    </row>
    <row r="93" customFormat="false" ht="15" hidden="false" customHeight="true" outlineLevel="0" collapsed="false">
      <c r="A93" s="5" t="n">
        <v>91</v>
      </c>
      <c r="B93" s="6" t="s">
        <v>1731</v>
      </c>
      <c r="C93" s="89" t="s">
        <v>2059</v>
      </c>
      <c r="D93" s="19"/>
      <c r="E93" s="90" t="s">
        <v>2060</v>
      </c>
      <c r="F93" s="5" t="n">
        <v>18</v>
      </c>
      <c r="G93" s="5" t="n">
        <f aca="false">F93/18*72</f>
        <v>72</v>
      </c>
      <c r="H93" s="32"/>
      <c r="I93" s="31"/>
      <c r="J93" s="31"/>
      <c r="K93" s="43"/>
      <c r="L93" s="31"/>
      <c r="M93" s="33"/>
      <c r="O93" s="5"/>
      <c r="P93" s="13"/>
      <c r="Q93" s="67"/>
      <c r="R93" s="42" t="s">
        <v>2061</v>
      </c>
      <c r="S93" s="1" t="n">
        <v>2007</v>
      </c>
      <c r="U93" s="29" t="s">
        <v>2062</v>
      </c>
    </row>
    <row r="94" customFormat="false" ht="15" hidden="false" customHeight="true" outlineLevel="0" collapsed="false">
      <c r="A94" s="5" t="n">
        <v>92</v>
      </c>
      <c r="B94" s="6" t="s">
        <v>1731</v>
      </c>
      <c r="C94" s="89" t="s">
        <v>2063</v>
      </c>
      <c r="D94" s="19"/>
      <c r="E94" s="90" t="s">
        <v>2064</v>
      </c>
      <c r="F94" s="5" t="n">
        <v>36</v>
      </c>
      <c r="G94" s="5" t="n">
        <f aca="false">F94/18*72</f>
        <v>144</v>
      </c>
      <c r="H94" s="32"/>
      <c r="I94" s="31"/>
      <c r="J94" s="31"/>
      <c r="K94" s="43"/>
      <c r="L94" s="31"/>
      <c r="M94" s="33"/>
      <c r="O94" s="5"/>
      <c r="P94" s="13"/>
      <c r="Q94" s="67"/>
      <c r="R94" s="42" t="s">
        <v>2065</v>
      </c>
      <c r="S94" s="1" t="n">
        <v>1972</v>
      </c>
      <c r="U94" s="29" t="s">
        <v>2066</v>
      </c>
    </row>
    <row r="95" customFormat="false" ht="15" hidden="false" customHeight="true" outlineLevel="0" collapsed="false">
      <c r="A95" s="5" t="n">
        <v>93</v>
      </c>
      <c r="B95" s="6" t="s">
        <v>1731</v>
      </c>
      <c r="C95" s="89" t="s">
        <v>2067</v>
      </c>
      <c r="D95" s="19"/>
      <c r="E95" s="90" t="s">
        <v>2068</v>
      </c>
      <c r="F95" s="5" t="n">
        <v>36</v>
      </c>
      <c r="G95" s="5" t="n">
        <f aca="false">F95/18*72</f>
        <v>144</v>
      </c>
      <c r="H95" s="32"/>
      <c r="I95" s="31"/>
      <c r="J95" s="31"/>
      <c r="K95" s="43"/>
      <c r="L95" s="31"/>
      <c r="M95" s="33"/>
      <c r="O95" s="5"/>
      <c r="P95" s="13"/>
      <c r="Q95" s="67"/>
      <c r="R95" s="42" t="s">
        <v>2069</v>
      </c>
      <c r="S95" s="1" t="n">
        <v>1960</v>
      </c>
      <c r="U95" s="29" t="s">
        <v>2070</v>
      </c>
    </row>
    <row r="96" customFormat="false" ht="15" hidden="false" customHeight="true" outlineLevel="0" collapsed="false">
      <c r="A96" s="5" t="n">
        <v>94</v>
      </c>
      <c r="B96" s="6" t="s">
        <v>1731</v>
      </c>
      <c r="C96" s="89" t="s">
        <v>2071</v>
      </c>
      <c r="D96" s="19"/>
      <c r="E96" s="90" t="s">
        <v>2072</v>
      </c>
      <c r="F96" s="5" t="n">
        <v>36</v>
      </c>
      <c r="G96" s="5" t="n">
        <f aca="false">F96/18*72</f>
        <v>144</v>
      </c>
      <c r="H96" s="32"/>
      <c r="I96" s="31"/>
      <c r="J96" s="31"/>
      <c r="K96" s="43"/>
      <c r="L96" s="31"/>
      <c r="M96" s="33"/>
      <c r="O96" s="5"/>
      <c r="P96" s="13"/>
      <c r="Q96" s="67"/>
      <c r="R96" s="42" t="s">
        <v>2073</v>
      </c>
      <c r="S96" s="1" t="n">
        <v>1961</v>
      </c>
      <c r="U96" s="29" t="s">
        <v>2074</v>
      </c>
    </row>
    <row r="97" customFormat="false" ht="15" hidden="false" customHeight="true" outlineLevel="0" collapsed="false">
      <c r="A97" s="5" t="n">
        <v>95</v>
      </c>
      <c r="B97" s="6" t="s">
        <v>1731</v>
      </c>
      <c r="C97" s="89" t="s">
        <v>2075</v>
      </c>
      <c r="D97" s="19"/>
      <c r="E97" s="90" t="s">
        <v>2076</v>
      </c>
      <c r="F97" s="5" t="n">
        <v>18</v>
      </c>
      <c r="G97" s="5" t="n">
        <f aca="false">F97/18*72</f>
        <v>72</v>
      </c>
      <c r="H97" s="32"/>
      <c r="I97" s="31"/>
      <c r="J97" s="31"/>
      <c r="K97" s="43"/>
      <c r="L97" s="31"/>
      <c r="M97" s="33"/>
      <c r="O97" s="5"/>
      <c r="P97" s="13"/>
      <c r="Q97" s="67"/>
      <c r="R97" s="42" t="s">
        <v>2077</v>
      </c>
      <c r="S97" s="1" t="n">
        <v>1937</v>
      </c>
      <c r="U97" s="29" t="s">
        <v>2078</v>
      </c>
    </row>
    <row r="98" customFormat="false" ht="15" hidden="false" customHeight="true" outlineLevel="0" collapsed="false">
      <c r="A98" s="5" t="n">
        <v>96</v>
      </c>
      <c r="B98" s="6" t="s">
        <v>1731</v>
      </c>
      <c r="C98" s="89" t="s">
        <v>2079</v>
      </c>
      <c r="D98" s="19"/>
      <c r="E98" s="90" t="s">
        <v>2080</v>
      </c>
      <c r="F98" s="5" t="n">
        <v>18</v>
      </c>
      <c r="G98" s="5" t="n">
        <f aca="false">F98/18*72</f>
        <v>72</v>
      </c>
      <c r="H98" s="32"/>
      <c r="I98" s="31"/>
      <c r="J98" s="31"/>
      <c r="K98" s="43"/>
      <c r="L98" s="31"/>
      <c r="M98" s="33"/>
      <c r="O98" s="5"/>
      <c r="P98" s="13"/>
      <c r="Q98" s="67"/>
      <c r="R98" s="42" t="s">
        <v>2081</v>
      </c>
      <c r="S98" s="1" t="n">
        <v>1956</v>
      </c>
      <c r="U98" s="29" t="s">
        <v>2082</v>
      </c>
    </row>
    <row r="99" customFormat="false" ht="15" hidden="false" customHeight="true" outlineLevel="0" collapsed="false">
      <c r="A99" s="5" t="n">
        <v>97</v>
      </c>
      <c r="B99" s="6" t="s">
        <v>1731</v>
      </c>
      <c r="C99" s="89" t="s">
        <v>2083</v>
      </c>
      <c r="D99" s="19"/>
      <c r="E99" s="90" t="s">
        <v>2084</v>
      </c>
      <c r="F99" s="5" t="n">
        <v>36</v>
      </c>
      <c r="G99" s="5" t="n">
        <f aca="false">F99/18*72</f>
        <v>144</v>
      </c>
      <c r="H99" s="32"/>
      <c r="I99" s="31"/>
      <c r="J99" s="31"/>
      <c r="K99" s="43"/>
      <c r="L99" s="31"/>
      <c r="M99" s="33"/>
      <c r="O99" s="5"/>
      <c r="P99" s="13"/>
      <c r="Q99" s="67"/>
      <c r="R99" s="42" t="s">
        <v>2085</v>
      </c>
      <c r="S99" s="1" t="n">
        <v>1960</v>
      </c>
      <c r="U99" s="29" t="s">
        <v>2086</v>
      </c>
    </row>
    <row r="100" customFormat="false" ht="15" hidden="false" customHeight="true" outlineLevel="0" collapsed="false">
      <c r="A100" s="5" t="n">
        <v>98</v>
      </c>
      <c r="B100" s="6" t="s">
        <v>1731</v>
      </c>
      <c r="C100" s="89" t="s">
        <v>2087</v>
      </c>
      <c r="D100" s="19"/>
      <c r="E100" s="90" t="s">
        <v>2088</v>
      </c>
      <c r="F100" s="5" t="n">
        <v>18</v>
      </c>
      <c r="G100" s="5" t="n">
        <f aca="false">F100/18*72</f>
        <v>72</v>
      </c>
      <c r="H100" s="32"/>
      <c r="I100" s="31"/>
      <c r="J100" s="31"/>
      <c r="K100" s="43"/>
      <c r="L100" s="31"/>
      <c r="M100" s="33"/>
      <c r="O100" s="5"/>
      <c r="P100" s="13"/>
      <c r="Q100" s="67"/>
      <c r="R100" s="42" t="s">
        <v>2089</v>
      </c>
      <c r="U100" s="15" t="s">
        <v>2090</v>
      </c>
    </row>
    <row r="101" customFormat="false" ht="15" hidden="false" customHeight="true" outlineLevel="0" collapsed="false">
      <c r="A101" s="5" t="n">
        <v>99</v>
      </c>
      <c r="B101" s="6" t="s">
        <v>1731</v>
      </c>
      <c r="C101" s="89" t="s">
        <v>2091</v>
      </c>
      <c r="D101" s="19"/>
      <c r="E101" s="90" t="s">
        <v>2092</v>
      </c>
      <c r="F101" s="5" t="n">
        <v>18</v>
      </c>
      <c r="G101" s="5" t="n">
        <f aca="false">F101/18*72</f>
        <v>72</v>
      </c>
      <c r="H101" s="32"/>
      <c r="I101" s="31"/>
      <c r="J101" s="31"/>
      <c r="K101" s="43"/>
      <c r="L101" s="31"/>
      <c r="M101" s="33"/>
      <c r="O101" s="5"/>
      <c r="P101" s="13"/>
      <c r="Q101" s="67"/>
      <c r="R101" s="42" t="s">
        <v>2093</v>
      </c>
      <c r="U101" s="15" t="s">
        <v>2094</v>
      </c>
    </row>
    <row r="102" customFormat="false" ht="15" hidden="false" customHeight="true" outlineLevel="0" collapsed="false">
      <c r="A102" s="5" t="n">
        <v>100</v>
      </c>
      <c r="B102" s="6" t="s">
        <v>1731</v>
      </c>
      <c r="C102" s="89" t="s">
        <v>2095</v>
      </c>
      <c r="D102" s="19"/>
      <c r="E102" s="90" t="s">
        <v>2096</v>
      </c>
      <c r="F102" s="5" t="n">
        <v>18</v>
      </c>
      <c r="G102" s="5" t="n">
        <f aca="false">F102/18*72</f>
        <v>72</v>
      </c>
      <c r="H102" s="32"/>
      <c r="I102" s="31"/>
      <c r="J102" s="31"/>
      <c r="K102" s="43"/>
      <c r="L102" s="31"/>
      <c r="M102" s="33"/>
      <c r="O102" s="5"/>
      <c r="P102" s="13"/>
      <c r="Q102" s="67"/>
      <c r="R102" s="42"/>
      <c r="U102" s="15" t="s">
        <v>2097</v>
      </c>
    </row>
    <row r="103" customFormat="false" ht="15" hidden="false" customHeight="true" outlineLevel="0" collapsed="false">
      <c r="A103" s="5" t="n">
        <v>101</v>
      </c>
      <c r="B103" s="6" t="s">
        <v>1731</v>
      </c>
      <c r="C103" s="89" t="s">
        <v>2098</v>
      </c>
      <c r="D103" s="19"/>
      <c r="E103" s="90" t="s">
        <v>2099</v>
      </c>
      <c r="F103" s="5" t="n">
        <v>18</v>
      </c>
      <c r="G103" s="5" t="n">
        <f aca="false">F103/18*72</f>
        <v>72</v>
      </c>
      <c r="H103" s="32"/>
      <c r="I103" s="31"/>
      <c r="J103" s="31"/>
      <c r="K103" s="43"/>
      <c r="L103" s="31"/>
      <c r="M103" s="33"/>
      <c r="O103" s="5"/>
      <c r="P103" s="13"/>
      <c r="Q103" s="67"/>
      <c r="R103" s="42"/>
      <c r="U103" s="29" t="s">
        <v>2100</v>
      </c>
    </row>
    <row r="104" customFormat="false" ht="15" hidden="false" customHeight="true" outlineLevel="0" collapsed="false">
      <c r="A104" s="5" t="n">
        <v>102</v>
      </c>
      <c r="B104" s="6" t="s">
        <v>1731</v>
      </c>
      <c r="C104" s="89" t="s">
        <v>2101</v>
      </c>
      <c r="D104" s="19"/>
      <c r="E104" s="90" t="s">
        <v>2102</v>
      </c>
      <c r="F104" s="5" t="n">
        <v>18</v>
      </c>
      <c r="G104" s="5" t="n">
        <f aca="false">F104/18*72</f>
        <v>72</v>
      </c>
      <c r="H104" s="32"/>
      <c r="I104" s="31"/>
      <c r="J104" s="31"/>
      <c r="K104" s="43"/>
      <c r="L104" s="31"/>
      <c r="M104" s="33"/>
      <c r="O104" s="5"/>
      <c r="P104" s="13"/>
      <c r="Q104" s="67"/>
      <c r="R104" s="42"/>
      <c r="U104" s="15" t="s">
        <v>2103</v>
      </c>
    </row>
    <row r="105" customFormat="false" ht="15" hidden="false" customHeight="true" outlineLevel="0" collapsed="false">
      <c r="A105" s="5" t="n">
        <v>103</v>
      </c>
      <c r="B105" s="6" t="s">
        <v>1731</v>
      </c>
      <c r="C105" s="89" t="s">
        <v>2104</v>
      </c>
      <c r="D105" s="19"/>
      <c r="E105" s="90" t="s">
        <v>1784</v>
      </c>
      <c r="F105" s="5" t="n">
        <v>18</v>
      </c>
      <c r="G105" s="5" t="n">
        <f aca="false">F105/18*72</f>
        <v>72</v>
      </c>
      <c r="H105" s="32"/>
      <c r="I105" s="31"/>
      <c r="J105" s="31"/>
      <c r="K105" s="43"/>
      <c r="L105" s="31"/>
      <c r="M105" s="33"/>
      <c r="O105" s="5"/>
      <c r="P105" s="13"/>
      <c r="Q105" s="67"/>
      <c r="R105" s="42"/>
      <c r="U105" s="15" t="s">
        <v>2105</v>
      </c>
    </row>
    <row r="106" customFormat="false" ht="15" hidden="false" customHeight="true" outlineLevel="0" collapsed="false">
      <c r="A106" s="5" t="n">
        <v>104</v>
      </c>
      <c r="B106" s="6" t="s">
        <v>1731</v>
      </c>
      <c r="C106" s="89" t="s">
        <v>2106</v>
      </c>
      <c r="D106" s="19"/>
      <c r="E106" s="90" t="s">
        <v>2076</v>
      </c>
      <c r="F106" s="5" t="n">
        <v>18</v>
      </c>
      <c r="G106" s="5" t="n">
        <f aca="false">F106/18*72</f>
        <v>72</v>
      </c>
      <c r="H106" s="32"/>
      <c r="I106" s="31"/>
      <c r="J106" s="31"/>
      <c r="K106" s="43"/>
      <c r="L106" s="31"/>
      <c r="M106" s="33"/>
      <c r="O106" s="5"/>
      <c r="P106" s="13"/>
      <c r="Q106" s="67"/>
      <c r="R106" s="42" t="s">
        <v>2077</v>
      </c>
      <c r="S106" s="1" t="n">
        <v>1937</v>
      </c>
      <c r="U106" s="29" t="s">
        <v>2107</v>
      </c>
    </row>
    <row r="107" customFormat="false" ht="15" hidden="false" customHeight="true" outlineLevel="0" collapsed="false">
      <c r="A107" s="5" t="n">
        <v>105</v>
      </c>
      <c r="B107" s="6" t="s">
        <v>1731</v>
      </c>
      <c r="C107" s="89" t="s">
        <v>2108</v>
      </c>
      <c r="D107" s="19"/>
      <c r="E107" s="90" t="s">
        <v>2109</v>
      </c>
      <c r="F107" s="5" t="n">
        <v>36</v>
      </c>
      <c r="G107" s="5" t="n">
        <f aca="false">F107/18*72</f>
        <v>144</v>
      </c>
      <c r="H107" s="32"/>
      <c r="I107" s="31"/>
      <c r="J107" s="31"/>
      <c r="K107" s="43"/>
      <c r="L107" s="31"/>
      <c r="M107" s="33"/>
      <c r="O107" s="5"/>
      <c r="P107" s="13"/>
      <c r="Q107" s="67"/>
      <c r="R107" s="42" t="s">
        <v>2110</v>
      </c>
      <c r="S107" s="1" t="n">
        <v>1963</v>
      </c>
      <c r="U107" s="29" t="s">
        <v>2111</v>
      </c>
    </row>
    <row r="108" customFormat="false" ht="15" hidden="false" customHeight="true" outlineLevel="0" collapsed="false">
      <c r="A108" s="5" t="n">
        <v>106</v>
      </c>
      <c r="B108" s="6" t="s">
        <v>1818</v>
      </c>
      <c r="C108" s="89" t="s">
        <v>2112</v>
      </c>
      <c r="D108" s="19"/>
      <c r="E108" s="90" t="s">
        <v>2113</v>
      </c>
      <c r="F108" s="5" t="n">
        <v>18</v>
      </c>
      <c r="G108" s="5" t="n">
        <f aca="false">F108/18*72</f>
        <v>72</v>
      </c>
      <c r="H108" s="32"/>
      <c r="I108" s="31"/>
      <c r="J108" s="31"/>
      <c r="K108" s="43"/>
      <c r="L108" s="31"/>
      <c r="M108" s="33"/>
      <c r="O108" s="5"/>
      <c r="P108" s="13"/>
      <c r="Q108" s="67"/>
      <c r="R108" s="42" t="s">
        <v>2114</v>
      </c>
      <c r="S108" s="1" t="n">
        <v>1969</v>
      </c>
      <c r="U108" s="29" t="s">
        <v>2115</v>
      </c>
    </row>
    <row r="109" customFormat="false" ht="15" hidden="false" customHeight="true" outlineLevel="0" collapsed="false">
      <c r="A109" s="5" t="n">
        <v>107</v>
      </c>
      <c r="B109" s="6" t="s">
        <v>1818</v>
      </c>
      <c r="C109" s="89" t="s">
        <v>2116</v>
      </c>
      <c r="D109" s="19"/>
      <c r="E109" s="90" t="s">
        <v>2117</v>
      </c>
      <c r="F109" s="5" t="n">
        <v>54</v>
      </c>
      <c r="G109" s="5" t="n">
        <f aca="false">F109/18*72</f>
        <v>216</v>
      </c>
      <c r="H109" s="32"/>
      <c r="I109" s="31"/>
      <c r="J109" s="31"/>
      <c r="K109" s="43"/>
      <c r="L109" s="31"/>
      <c r="M109" s="33"/>
      <c r="O109" s="5"/>
      <c r="P109" s="13"/>
      <c r="Q109" s="67"/>
      <c r="R109" s="42" t="s">
        <v>2118</v>
      </c>
      <c r="U109" s="15" t="s">
        <v>2119</v>
      </c>
    </row>
    <row r="110" customFormat="false" ht="15" hidden="false" customHeight="true" outlineLevel="0" collapsed="false">
      <c r="A110" s="5" t="n">
        <v>108</v>
      </c>
      <c r="B110" s="6" t="s">
        <v>1735</v>
      </c>
      <c r="C110" s="89" t="s">
        <v>2120</v>
      </c>
      <c r="D110" s="19"/>
      <c r="E110" s="90" t="s">
        <v>1770</v>
      </c>
      <c r="F110" s="5" t="n">
        <v>18</v>
      </c>
      <c r="G110" s="5" t="n">
        <f aca="false">F110/18*72</f>
        <v>72</v>
      </c>
      <c r="H110" s="32"/>
      <c r="I110" s="31"/>
      <c r="J110" s="31"/>
      <c r="K110" s="43"/>
      <c r="L110" s="31"/>
      <c r="M110" s="33"/>
      <c r="O110" s="5"/>
      <c r="P110" s="13"/>
      <c r="Q110" s="67"/>
      <c r="R110" s="42" t="s">
        <v>2121</v>
      </c>
      <c r="S110" s="1" t="n">
        <v>1957</v>
      </c>
      <c r="U110" s="29" t="s">
        <v>2122</v>
      </c>
    </row>
    <row r="111" customFormat="false" ht="15" hidden="false" customHeight="true" outlineLevel="0" collapsed="false">
      <c r="A111" s="5" t="n">
        <v>109</v>
      </c>
      <c r="B111" s="6" t="s">
        <v>1735</v>
      </c>
      <c r="C111" s="89" t="s">
        <v>2123</v>
      </c>
      <c r="D111" s="19"/>
      <c r="E111" s="90" t="s">
        <v>1770</v>
      </c>
      <c r="F111" s="5" t="n">
        <v>36</v>
      </c>
      <c r="G111" s="5" t="n">
        <f aca="false">F111/18*72</f>
        <v>144</v>
      </c>
      <c r="H111" s="32"/>
      <c r="I111" s="31"/>
      <c r="J111" s="31"/>
      <c r="K111" s="43"/>
      <c r="L111" s="31"/>
      <c r="M111" s="33"/>
      <c r="O111" s="5"/>
      <c r="P111" s="13"/>
      <c r="Q111" s="67"/>
      <c r="R111" s="42" t="s">
        <v>2124</v>
      </c>
      <c r="S111" s="1" t="n">
        <v>1937</v>
      </c>
      <c r="U111" s="29" t="s">
        <v>2125</v>
      </c>
    </row>
    <row r="112" customFormat="false" ht="15" hidden="false" customHeight="true" outlineLevel="0" collapsed="false">
      <c r="A112" s="5" t="n">
        <v>110</v>
      </c>
      <c r="B112" s="6" t="s">
        <v>1735</v>
      </c>
      <c r="C112" s="89" t="s">
        <v>2126</v>
      </c>
      <c r="D112" s="19"/>
      <c r="E112" s="90" t="s">
        <v>2127</v>
      </c>
      <c r="F112" s="5" t="n">
        <v>18</v>
      </c>
      <c r="G112" s="5" t="n">
        <f aca="false">F112/18*72</f>
        <v>72</v>
      </c>
      <c r="H112" s="32"/>
      <c r="I112" s="31"/>
      <c r="J112" s="31"/>
      <c r="K112" s="43"/>
      <c r="L112" s="31"/>
      <c r="M112" s="33"/>
      <c r="O112" s="5"/>
      <c r="P112" s="13"/>
      <c r="Q112" s="67"/>
      <c r="R112" s="42" t="s">
        <v>2128</v>
      </c>
      <c r="S112" s="1" t="n">
        <v>1926</v>
      </c>
      <c r="U112" s="29" t="s">
        <v>2129</v>
      </c>
    </row>
    <row r="113" customFormat="false" ht="15" hidden="false" customHeight="true" outlineLevel="0" collapsed="false">
      <c r="A113" s="5" t="n">
        <v>111</v>
      </c>
      <c r="B113" s="6" t="s">
        <v>1818</v>
      </c>
      <c r="C113" s="89" t="s">
        <v>2130</v>
      </c>
      <c r="D113" s="19"/>
      <c r="E113" s="90" t="s">
        <v>2131</v>
      </c>
      <c r="F113" s="5" t="n">
        <v>18</v>
      </c>
      <c r="G113" s="5" t="n">
        <f aca="false">F113/18*72</f>
        <v>72</v>
      </c>
      <c r="H113" s="32"/>
      <c r="I113" s="31"/>
      <c r="J113" s="31"/>
      <c r="K113" s="43"/>
      <c r="L113" s="31"/>
      <c r="M113" s="33"/>
      <c r="O113" s="5"/>
      <c r="P113" s="13"/>
      <c r="Q113" s="67"/>
      <c r="R113" s="42" t="s">
        <v>2132</v>
      </c>
      <c r="U113" s="15" t="s">
        <v>2133</v>
      </c>
    </row>
    <row r="114" customFormat="false" ht="15" hidden="false" customHeight="true" outlineLevel="0" collapsed="false">
      <c r="A114" s="5" t="n">
        <v>112</v>
      </c>
      <c r="B114" s="6" t="s">
        <v>1818</v>
      </c>
      <c r="C114" s="89" t="s">
        <v>2134</v>
      </c>
      <c r="D114" s="19"/>
      <c r="E114" s="90" t="s">
        <v>2135</v>
      </c>
      <c r="F114" s="5" t="n">
        <v>18</v>
      </c>
      <c r="G114" s="5" t="n">
        <f aca="false">F114/18*72</f>
        <v>72</v>
      </c>
      <c r="H114" s="32"/>
      <c r="I114" s="31"/>
      <c r="J114" s="31"/>
      <c r="K114" s="43"/>
      <c r="L114" s="31"/>
      <c r="M114" s="33"/>
      <c r="O114" s="5"/>
      <c r="P114" s="13"/>
      <c r="Q114" s="67"/>
      <c r="R114" s="42" t="s">
        <v>2136</v>
      </c>
      <c r="S114" s="1" t="n">
        <v>1959</v>
      </c>
      <c r="U114" s="29" t="s">
        <v>2137</v>
      </c>
    </row>
    <row r="115" customFormat="false" ht="15" hidden="false" customHeight="true" outlineLevel="0" collapsed="false">
      <c r="A115" s="5" t="n">
        <v>113</v>
      </c>
      <c r="B115" s="6" t="s">
        <v>1731</v>
      </c>
      <c r="C115" s="89" t="s">
        <v>2138</v>
      </c>
      <c r="D115" s="19"/>
      <c r="E115" s="90" t="s">
        <v>2139</v>
      </c>
      <c r="F115" s="5" t="n">
        <v>18</v>
      </c>
      <c r="G115" s="5" t="n">
        <f aca="false">F115/18*72</f>
        <v>72</v>
      </c>
      <c r="H115" s="32"/>
      <c r="I115" s="31"/>
      <c r="J115" s="31"/>
      <c r="K115" s="43"/>
      <c r="L115" s="31"/>
      <c r="M115" s="33"/>
      <c r="O115" s="5"/>
      <c r="P115" s="13"/>
      <c r="Q115" s="67"/>
      <c r="R115" s="42" t="s">
        <v>2140</v>
      </c>
      <c r="S115" s="1" t="n">
        <v>1991</v>
      </c>
      <c r="U115" s="29" t="s">
        <v>2141</v>
      </c>
    </row>
    <row r="116" customFormat="false" ht="15" hidden="false" customHeight="true" outlineLevel="0" collapsed="false">
      <c r="A116" s="5" t="n">
        <v>114</v>
      </c>
      <c r="B116" s="6" t="s">
        <v>1731</v>
      </c>
      <c r="C116" s="89" t="s">
        <v>2142</v>
      </c>
      <c r="D116" s="19"/>
      <c r="E116" s="90" t="s">
        <v>2143</v>
      </c>
      <c r="F116" s="5" t="n">
        <v>18</v>
      </c>
      <c r="G116" s="5" t="n">
        <f aca="false">F116/18*72</f>
        <v>72</v>
      </c>
      <c r="H116" s="32"/>
      <c r="I116" s="31"/>
      <c r="J116" s="31"/>
      <c r="K116" s="43"/>
      <c r="L116" s="31"/>
      <c r="M116" s="33"/>
      <c r="O116" s="5"/>
      <c r="P116" s="13"/>
      <c r="Q116" s="67"/>
      <c r="R116" s="42" t="s">
        <v>2144</v>
      </c>
      <c r="S116" s="1" t="n">
        <v>1950</v>
      </c>
      <c r="U116" s="29" t="s">
        <v>2145</v>
      </c>
    </row>
    <row r="117" customFormat="false" ht="15" hidden="false" customHeight="true" outlineLevel="0" collapsed="false">
      <c r="A117" s="5" t="n">
        <v>115</v>
      </c>
      <c r="B117" s="6" t="s">
        <v>1731</v>
      </c>
      <c r="C117" s="89" t="s">
        <v>2146</v>
      </c>
      <c r="D117" s="19"/>
      <c r="E117" s="90" t="s">
        <v>2109</v>
      </c>
      <c r="F117" s="5" t="n">
        <v>18</v>
      </c>
      <c r="G117" s="5" t="n">
        <f aca="false">F117/18*72</f>
        <v>72</v>
      </c>
      <c r="H117" s="32"/>
      <c r="I117" s="31"/>
      <c r="J117" s="31"/>
      <c r="K117" s="43"/>
      <c r="L117" s="31"/>
      <c r="M117" s="33"/>
      <c r="O117" s="5"/>
      <c r="P117" s="13"/>
      <c r="Q117" s="67"/>
      <c r="R117" s="42" t="s">
        <v>2147</v>
      </c>
      <c r="S117" s="1" t="n">
        <v>2013</v>
      </c>
      <c r="U117" s="29" t="s">
        <v>2148</v>
      </c>
    </row>
    <row r="118" customFormat="false" ht="15" hidden="false" customHeight="true" outlineLevel="0" collapsed="false">
      <c r="A118" s="5" t="n">
        <v>116</v>
      </c>
      <c r="B118" s="6" t="s">
        <v>1731</v>
      </c>
      <c r="C118" s="89" t="s">
        <v>2149</v>
      </c>
      <c r="D118" s="19"/>
      <c r="E118" s="90" t="s">
        <v>1784</v>
      </c>
      <c r="F118" s="5" t="n">
        <v>36</v>
      </c>
      <c r="G118" s="5" t="n">
        <f aca="false">F118/18*72</f>
        <v>144</v>
      </c>
      <c r="H118" s="32"/>
      <c r="I118" s="31"/>
      <c r="J118" s="31"/>
      <c r="K118" s="43"/>
      <c r="L118" s="31"/>
      <c r="M118" s="33"/>
      <c r="O118" s="5"/>
      <c r="P118" s="13"/>
      <c r="Q118" s="67"/>
      <c r="R118" s="42" t="s">
        <v>1785</v>
      </c>
      <c r="S118" s="1" t="n">
        <v>1929</v>
      </c>
      <c r="U118" s="29" t="s">
        <v>2150</v>
      </c>
    </row>
    <row r="119" customFormat="false" ht="15" hidden="false" customHeight="true" outlineLevel="0" collapsed="false">
      <c r="A119" s="5" t="n">
        <v>117</v>
      </c>
      <c r="B119" s="6" t="s">
        <v>1731</v>
      </c>
      <c r="C119" s="89" t="s">
        <v>2151</v>
      </c>
      <c r="D119" s="19"/>
      <c r="E119" s="90" t="s">
        <v>2152</v>
      </c>
      <c r="F119" s="5" t="n">
        <v>18</v>
      </c>
      <c r="G119" s="5" t="n">
        <f aca="false">F119/18*72</f>
        <v>72</v>
      </c>
      <c r="H119" s="32"/>
      <c r="I119" s="31"/>
      <c r="J119" s="31"/>
      <c r="K119" s="43"/>
      <c r="L119" s="31"/>
      <c r="M119" s="33"/>
      <c r="O119" s="5"/>
      <c r="P119" s="13"/>
      <c r="Q119" s="67"/>
      <c r="R119" s="42" t="s">
        <v>2153</v>
      </c>
      <c r="U119" s="15" t="s">
        <v>1844</v>
      </c>
    </row>
    <row r="120" customFormat="false" ht="15" hidden="false" customHeight="true" outlineLevel="0" collapsed="false">
      <c r="A120" s="5" t="n">
        <v>118</v>
      </c>
      <c r="B120" s="6" t="s">
        <v>1731</v>
      </c>
      <c r="C120" s="89" t="s">
        <v>2154</v>
      </c>
      <c r="D120" s="19"/>
      <c r="E120" s="90" t="s">
        <v>2152</v>
      </c>
      <c r="F120" s="5" t="n">
        <v>18</v>
      </c>
      <c r="G120" s="5" t="n">
        <f aca="false">F120/18*72</f>
        <v>72</v>
      </c>
      <c r="H120" s="32"/>
      <c r="I120" s="31"/>
      <c r="J120" s="31"/>
      <c r="K120" s="43"/>
      <c r="L120" s="31"/>
      <c r="M120" s="33"/>
      <c r="O120" s="5"/>
      <c r="P120" s="13"/>
      <c r="Q120" s="67"/>
      <c r="R120" s="42" t="s">
        <v>2155</v>
      </c>
      <c r="U120" s="15" t="s">
        <v>2156</v>
      </c>
    </row>
    <row r="121" customFormat="false" ht="15" hidden="false" customHeight="true" outlineLevel="0" collapsed="false">
      <c r="A121" s="5" t="n">
        <v>119</v>
      </c>
      <c r="B121" s="6" t="s">
        <v>1749</v>
      </c>
      <c r="C121" s="89" t="s">
        <v>2157</v>
      </c>
      <c r="D121" s="19"/>
      <c r="E121" s="90" t="s">
        <v>2158</v>
      </c>
      <c r="F121" s="5" t="n">
        <v>18</v>
      </c>
      <c r="G121" s="5" t="n">
        <f aca="false">F121/18*72</f>
        <v>72</v>
      </c>
      <c r="H121" s="32"/>
      <c r="I121" s="31"/>
      <c r="J121" s="31"/>
      <c r="K121" s="43"/>
      <c r="L121" s="31"/>
      <c r="M121" s="33"/>
      <c r="O121" s="5"/>
      <c r="P121" s="13"/>
      <c r="Q121" s="67"/>
      <c r="R121" s="42" t="s">
        <v>2159</v>
      </c>
      <c r="S121" s="1" t="n">
        <v>1959</v>
      </c>
      <c r="U121" s="29" t="s">
        <v>2160</v>
      </c>
    </row>
    <row r="122" customFormat="false" ht="15" hidden="false" customHeight="true" outlineLevel="0" collapsed="false">
      <c r="A122" s="5" t="n">
        <v>120</v>
      </c>
      <c r="B122" s="6" t="s">
        <v>1749</v>
      </c>
      <c r="C122" s="89" t="s">
        <v>2161</v>
      </c>
      <c r="D122" s="19"/>
      <c r="E122" s="90" t="s">
        <v>2162</v>
      </c>
      <c r="F122" s="5" t="n">
        <v>18</v>
      </c>
      <c r="G122" s="5" t="n">
        <f aca="false">F122/18*72</f>
        <v>72</v>
      </c>
      <c r="H122" s="32"/>
      <c r="I122" s="31"/>
      <c r="J122" s="31"/>
      <c r="K122" s="43"/>
      <c r="L122" s="31"/>
      <c r="M122" s="33"/>
      <c r="O122" s="5"/>
      <c r="P122" s="13"/>
      <c r="Q122" s="67"/>
      <c r="R122" s="42" t="s">
        <v>2163</v>
      </c>
      <c r="U122" s="15" t="s">
        <v>2164</v>
      </c>
    </row>
    <row r="123" customFormat="false" ht="15" hidden="false" customHeight="true" outlineLevel="0" collapsed="false">
      <c r="A123" s="5" t="n">
        <v>121</v>
      </c>
      <c r="B123" s="6" t="s">
        <v>1749</v>
      </c>
      <c r="C123" s="89" t="s">
        <v>2165</v>
      </c>
      <c r="D123" s="19"/>
      <c r="E123" s="90" t="s">
        <v>2166</v>
      </c>
      <c r="F123" s="5" t="n">
        <v>18</v>
      </c>
      <c r="G123" s="5" t="n">
        <f aca="false">F123/18*72</f>
        <v>72</v>
      </c>
      <c r="H123" s="32"/>
      <c r="I123" s="31"/>
      <c r="J123" s="31"/>
      <c r="K123" s="43"/>
      <c r="L123" s="31"/>
      <c r="M123" s="33"/>
      <c r="O123" s="5"/>
      <c r="P123" s="13"/>
      <c r="Q123" s="67"/>
      <c r="R123" s="42" t="s">
        <v>2167</v>
      </c>
      <c r="U123" s="15" t="s">
        <v>2168</v>
      </c>
    </row>
    <row r="124" customFormat="false" ht="15" hidden="false" customHeight="true" outlineLevel="0" collapsed="false">
      <c r="A124" s="5" t="n">
        <v>122</v>
      </c>
      <c r="B124" s="6" t="s">
        <v>1749</v>
      </c>
      <c r="C124" s="89" t="s">
        <v>2169</v>
      </c>
      <c r="D124" s="19"/>
      <c r="E124" s="90" t="s">
        <v>2170</v>
      </c>
      <c r="F124" s="5" t="n">
        <v>18</v>
      </c>
      <c r="G124" s="5" t="n">
        <f aca="false">F124/18*72</f>
        <v>72</v>
      </c>
      <c r="H124" s="32" t="n">
        <v>4.5</v>
      </c>
      <c r="I124" s="31" t="n">
        <v>4.5</v>
      </c>
      <c r="J124" s="31" t="n">
        <v>4.5</v>
      </c>
      <c r="K124" s="43" t="n">
        <v>4.3</v>
      </c>
      <c r="L124" s="31" t="n">
        <v>4.3</v>
      </c>
      <c r="M124" s="33" t="n">
        <f aca="false">ROUND(AVERAGE(H124:L124),2)</f>
        <v>4.42</v>
      </c>
      <c r="N124" s="1" t="n">
        <v>95</v>
      </c>
      <c r="O124" s="5"/>
      <c r="P124" s="13"/>
      <c r="Q124" s="67"/>
      <c r="R124" s="42" t="s">
        <v>2171</v>
      </c>
      <c r="S124" s="1" t="n">
        <v>1979</v>
      </c>
      <c r="U124" s="29" t="s">
        <v>2172</v>
      </c>
    </row>
    <row r="125" customFormat="false" ht="15" hidden="false" customHeight="true" outlineLevel="0" collapsed="false">
      <c r="A125" s="5" t="n">
        <v>123</v>
      </c>
      <c r="B125" s="6" t="s">
        <v>1749</v>
      </c>
      <c r="C125" s="89" t="s">
        <v>2173</v>
      </c>
      <c r="D125" s="19"/>
      <c r="E125" s="90" t="s">
        <v>2166</v>
      </c>
      <c r="F125" s="5" t="n">
        <v>18</v>
      </c>
      <c r="G125" s="5" t="n">
        <f aca="false">F125/18*72</f>
        <v>72</v>
      </c>
      <c r="H125" s="32"/>
      <c r="I125" s="31"/>
      <c r="J125" s="31"/>
      <c r="K125" s="43"/>
      <c r="L125" s="31"/>
      <c r="M125" s="33"/>
      <c r="O125" s="5"/>
      <c r="P125" s="13"/>
      <c r="Q125" s="67"/>
      <c r="R125" s="42" t="s">
        <v>2174</v>
      </c>
      <c r="S125" s="1" t="n">
        <v>1992</v>
      </c>
      <c r="U125" s="29" t="s">
        <v>2175</v>
      </c>
    </row>
    <row r="126" customFormat="false" ht="15" hidden="false" customHeight="true" outlineLevel="0" collapsed="false">
      <c r="A126" s="5" t="n">
        <v>124</v>
      </c>
      <c r="B126" s="6" t="s">
        <v>1749</v>
      </c>
      <c r="C126" s="89" t="s">
        <v>2176</v>
      </c>
      <c r="D126" s="19"/>
      <c r="E126" s="90" t="s">
        <v>2162</v>
      </c>
      <c r="F126" s="5" t="n">
        <v>18</v>
      </c>
      <c r="G126" s="5" t="n">
        <f aca="false">F126/18*72</f>
        <v>72</v>
      </c>
      <c r="H126" s="32"/>
      <c r="I126" s="31"/>
      <c r="J126" s="31"/>
      <c r="K126" s="43"/>
      <c r="L126" s="31"/>
      <c r="M126" s="33"/>
      <c r="O126" s="5"/>
      <c r="P126" s="13"/>
      <c r="Q126" s="67"/>
      <c r="R126" s="42"/>
      <c r="U126" s="15" t="s">
        <v>2177</v>
      </c>
    </row>
    <row r="127" customFormat="false" ht="15" hidden="false" customHeight="true" outlineLevel="0" collapsed="false">
      <c r="A127" s="5" t="n">
        <v>125</v>
      </c>
      <c r="B127" s="6" t="s">
        <v>1731</v>
      </c>
      <c r="C127" s="89" t="s">
        <v>2178</v>
      </c>
      <c r="D127" s="19"/>
      <c r="E127" s="90" t="s">
        <v>2179</v>
      </c>
      <c r="F127" s="5" t="n">
        <v>36</v>
      </c>
      <c r="G127" s="5" t="n">
        <f aca="false">F127/18*72</f>
        <v>144</v>
      </c>
      <c r="H127" s="32"/>
      <c r="I127" s="31"/>
      <c r="J127" s="31"/>
      <c r="K127" s="43"/>
      <c r="L127" s="31"/>
      <c r="M127" s="33"/>
      <c r="O127" s="5"/>
      <c r="P127" s="13"/>
      <c r="Q127" s="67"/>
      <c r="R127" s="42" t="s">
        <v>2180</v>
      </c>
      <c r="U127" s="15" t="s">
        <v>2181</v>
      </c>
    </row>
    <row r="128" customFormat="false" ht="15" hidden="false" customHeight="true" outlineLevel="0" collapsed="false">
      <c r="A128" s="5" t="n">
        <v>126</v>
      </c>
      <c r="B128" s="6" t="s">
        <v>1731</v>
      </c>
      <c r="C128" s="89" t="s">
        <v>2182</v>
      </c>
      <c r="D128" s="19"/>
      <c r="E128" s="90" t="s">
        <v>2183</v>
      </c>
      <c r="F128" s="5" t="n">
        <v>18</v>
      </c>
      <c r="G128" s="5" t="n">
        <f aca="false">F128/18*72</f>
        <v>72</v>
      </c>
      <c r="H128" s="32"/>
      <c r="I128" s="31"/>
      <c r="J128" s="31"/>
      <c r="K128" s="43"/>
      <c r="L128" s="31"/>
      <c r="M128" s="33"/>
      <c r="O128" s="5"/>
      <c r="P128" s="13"/>
      <c r="Q128" s="67"/>
      <c r="R128" s="42" t="s">
        <v>2184</v>
      </c>
      <c r="U128" s="15" t="s">
        <v>2185</v>
      </c>
    </row>
    <row r="129" customFormat="false" ht="15" hidden="false" customHeight="true" outlineLevel="0" collapsed="false">
      <c r="A129" s="5" t="n">
        <v>127</v>
      </c>
      <c r="B129" s="6" t="s">
        <v>1731</v>
      </c>
      <c r="C129" s="89" t="s">
        <v>2186</v>
      </c>
      <c r="D129" s="19"/>
      <c r="E129" s="90" t="s">
        <v>2088</v>
      </c>
      <c r="F129" s="5" t="n">
        <v>18</v>
      </c>
      <c r="G129" s="5" t="n">
        <f aca="false">F129/18*72</f>
        <v>72</v>
      </c>
      <c r="H129" s="32"/>
      <c r="I129" s="31"/>
      <c r="J129" s="31"/>
      <c r="K129" s="43"/>
      <c r="L129" s="31"/>
      <c r="M129" s="33"/>
      <c r="O129" s="5"/>
      <c r="P129" s="13"/>
      <c r="Q129" s="67"/>
      <c r="R129" s="42" t="s">
        <v>2187</v>
      </c>
      <c r="U129" s="15" t="s">
        <v>2188</v>
      </c>
    </row>
    <row r="130" customFormat="false" ht="15" hidden="false" customHeight="true" outlineLevel="0" collapsed="false">
      <c r="A130" s="5" t="n">
        <v>128</v>
      </c>
      <c r="B130" s="6" t="s">
        <v>1731</v>
      </c>
      <c r="C130" s="89" t="s">
        <v>2189</v>
      </c>
      <c r="D130" s="19"/>
      <c r="E130" s="90" t="s">
        <v>2190</v>
      </c>
      <c r="F130" s="5" t="n">
        <v>27</v>
      </c>
      <c r="G130" s="5" t="n">
        <f aca="false">F130/18*72</f>
        <v>108</v>
      </c>
      <c r="H130" s="32"/>
      <c r="I130" s="31"/>
      <c r="J130" s="31"/>
      <c r="K130" s="43"/>
      <c r="L130" s="31"/>
      <c r="M130" s="33"/>
      <c r="O130" s="5"/>
      <c r="P130" s="13"/>
      <c r="Q130" s="67"/>
      <c r="R130" s="42" t="s">
        <v>2191</v>
      </c>
      <c r="S130" s="1" t="n">
        <v>1974</v>
      </c>
      <c r="U130" s="29" t="s">
        <v>2192</v>
      </c>
    </row>
    <row r="131" customFormat="false" ht="15" hidden="false" customHeight="true" outlineLevel="0" collapsed="false">
      <c r="A131" s="5" t="n">
        <v>129</v>
      </c>
      <c r="B131" s="6" t="s">
        <v>1731</v>
      </c>
      <c r="C131" s="89" t="s">
        <v>2193</v>
      </c>
      <c r="D131" s="19"/>
      <c r="E131" s="90" t="s">
        <v>1935</v>
      </c>
      <c r="F131" s="5" t="n">
        <v>18</v>
      </c>
      <c r="G131" s="5" t="n">
        <f aca="false">F131/18*72</f>
        <v>72</v>
      </c>
      <c r="H131" s="32"/>
      <c r="I131" s="31"/>
      <c r="J131" s="31"/>
      <c r="K131" s="43"/>
      <c r="L131" s="31"/>
      <c r="M131" s="33"/>
      <c r="O131" s="5"/>
      <c r="P131" s="13"/>
      <c r="Q131" s="67"/>
      <c r="R131" s="42" t="s">
        <v>2194</v>
      </c>
      <c r="S131" s="1" t="n">
        <v>2004</v>
      </c>
      <c r="U131" s="29" t="s">
        <v>2195</v>
      </c>
    </row>
    <row r="132" customFormat="false" ht="15" hidden="false" customHeight="true" outlineLevel="0" collapsed="false">
      <c r="A132" s="5" t="n">
        <v>130</v>
      </c>
      <c r="B132" s="6" t="s">
        <v>2196</v>
      </c>
      <c r="C132" s="89" t="s">
        <v>2197</v>
      </c>
      <c r="D132" s="19"/>
      <c r="E132" s="90" t="s">
        <v>2198</v>
      </c>
      <c r="F132" s="5" t="n">
        <v>18</v>
      </c>
      <c r="G132" s="5" t="n">
        <f aca="false">F132/18*72</f>
        <v>72</v>
      </c>
      <c r="H132" s="32"/>
      <c r="I132" s="31"/>
      <c r="J132" s="31"/>
      <c r="K132" s="43"/>
      <c r="L132" s="31"/>
      <c r="M132" s="33"/>
      <c r="O132" s="5"/>
      <c r="P132" s="13"/>
      <c r="Q132" s="67"/>
      <c r="R132" s="42"/>
      <c r="U132" s="15" t="s">
        <v>2199</v>
      </c>
    </row>
    <row r="133" customFormat="false" ht="15" hidden="false" customHeight="true" outlineLevel="0" collapsed="false">
      <c r="A133" s="5" t="n">
        <v>131</v>
      </c>
      <c r="B133" s="6" t="s">
        <v>2196</v>
      </c>
      <c r="C133" s="89" t="s">
        <v>2200</v>
      </c>
      <c r="D133" s="19"/>
      <c r="E133" s="90" t="s">
        <v>2201</v>
      </c>
      <c r="F133" s="5" t="n">
        <v>18</v>
      </c>
      <c r="G133" s="5" t="n">
        <f aca="false">F133/18*72</f>
        <v>72</v>
      </c>
      <c r="H133" s="32"/>
      <c r="I133" s="31"/>
      <c r="J133" s="31"/>
      <c r="K133" s="43"/>
      <c r="L133" s="31"/>
      <c r="M133" s="33"/>
      <c r="O133" s="5"/>
      <c r="P133" s="13"/>
      <c r="Q133" s="67"/>
      <c r="R133" s="42" t="s">
        <v>2202</v>
      </c>
      <c r="U133" s="15" t="s">
        <v>2203</v>
      </c>
    </row>
    <row r="134" customFormat="false" ht="15" hidden="false" customHeight="true" outlineLevel="0" collapsed="false">
      <c r="A134" s="5" t="n">
        <v>132</v>
      </c>
      <c r="B134" s="6" t="s">
        <v>1735</v>
      </c>
      <c r="C134" s="89" t="s">
        <v>2204</v>
      </c>
      <c r="D134" s="19"/>
      <c r="E134" s="90" t="s">
        <v>2205</v>
      </c>
      <c r="F134" s="5" t="n">
        <v>18</v>
      </c>
      <c r="G134" s="5" t="n">
        <f aca="false">F134/18*72</f>
        <v>72</v>
      </c>
      <c r="H134" s="32"/>
      <c r="I134" s="31"/>
      <c r="J134" s="31"/>
      <c r="K134" s="43"/>
      <c r="L134" s="31"/>
      <c r="M134" s="33"/>
      <c r="O134" s="5"/>
      <c r="P134" s="13"/>
      <c r="Q134" s="67"/>
      <c r="R134" s="42"/>
      <c r="U134" s="15" t="s">
        <v>2206</v>
      </c>
    </row>
    <row r="135" customFormat="false" ht="15" hidden="false" customHeight="true" outlineLevel="0" collapsed="false">
      <c r="A135" s="5" t="n">
        <v>133</v>
      </c>
      <c r="B135" s="6" t="s">
        <v>1735</v>
      </c>
      <c r="C135" s="89" t="s">
        <v>2207</v>
      </c>
      <c r="D135" s="19"/>
      <c r="E135" s="90" t="s">
        <v>2205</v>
      </c>
      <c r="F135" s="5" t="n">
        <v>36</v>
      </c>
      <c r="G135" s="5" t="n">
        <f aca="false">F135/18*72</f>
        <v>144</v>
      </c>
      <c r="H135" s="32"/>
      <c r="I135" s="31"/>
      <c r="J135" s="31"/>
      <c r="K135" s="43"/>
      <c r="L135" s="31"/>
      <c r="M135" s="33"/>
      <c r="O135" s="5"/>
      <c r="P135" s="13"/>
      <c r="Q135" s="67"/>
      <c r="R135" s="42" t="s">
        <v>2208</v>
      </c>
      <c r="S135" s="1" t="n">
        <v>1963</v>
      </c>
      <c r="U135" s="29" t="s">
        <v>2209</v>
      </c>
    </row>
    <row r="136" customFormat="false" ht="15" hidden="false" customHeight="true" outlineLevel="0" collapsed="false">
      <c r="A136" s="5" t="n">
        <v>134</v>
      </c>
      <c r="B136" s="6" t="s">
        <v>1731</v>
      </c>
      <c r="C136" s="89" t="s">
        <v>2210</v>
      </c>
      <c r="D136" s="19"/>
      <c r="E136" s="90" t="s">
        <v>2211</v>
      </c>
      <c r="F136" s="5" t="n">
        <v>18</v>
      </c>
      <c r="G136" s="5" t="n">
        <f aca="false">F136/18*72</f>
        <v>72</v>
      </c>
      <c r="H136" s="32"/>
      <c r="I136" s="31"/>
      <c r="J136" s="31"/>
      <c r="K136" s="43"/>
      <c r="L136" s="31"/>
      <c r="M136" s="33"/>
      <c r="O136" s="5"/>
      <c r="P136" s="13"/>
      <c r="Q136" s="67"/>
      <c r="R136" s="42" t="s">
        <v>2212</v>
      </c>
      <c r="S136" s="1" t="n">
        <v>1978</v>
      </c>
      <c r="U136" s="29" t="s">
        <v>2213</v>
      </c>
    </row>
    <row r="137" customFormat="false" ht="15" hidden="false" customHeight="true" outlineLevel="0" collapsed="false">
      <c r="A137" s="5" t="n">
        <v>135</v>
      </c>
      <c r="B137" s="6" t="s">
        <v>1731</v>
      </c>
      <c r="C137" s="89" t="s">
        <v>2214</v>
      </c>
      <c r="D137" s="19"/>
      <c r="E137" s="90" t="s">
        <v>2211</v>
      </c>
      <c r="F137" s="5" t="n">
        <v>18</v>
      </c>
      <c r="G137" s="5" t="n">
        <f aca="false">F137/18*72</f>
        <v>72</v>
      </c>
      <c r="H137" s="32"/>
      <c r="I137" s="31"/>
      <c r="J137" s="31"/>
      <c r="K137" s="43"/>
      <c r="L137" s="31"/>
      <c r="M137" s="33"/>
      <c r="O137" s="5"/>
      <c r="P137" s="13"/>
      <c r="Q137" s="67"/>
      <c r="R137" s="42"/>
      <c r="U137" s="15" t="s">
        <v>2215</v>
      </c>
    </row>
    <row r="138" customFormat="false" ht="15" hidden="false" customHeight="true" outlineLevel="0" collapsed="false">
      <c r="A138" s="5" t="n">
        <v>136</v>
      </c>
      <c r="B138" s="6" t="s">
        <v>1895</v>
      </c>
      <c r="C138" s="89" t="s">
        <v>2216</v>
      </c>
      <c r="D138" s="19"/>
      <c r="E138" s="90" t="s">
        <v>2217</v>
      </c>
      <c r="F138" s="5" t="n">
        <v>36</v>
      </c>
      <c r="G138" s="5" t="n">
        <f aca="false">F138/18*72</f>
        <v>144</v>
      </c>
      <c r="H138" s="32"/>
      <c r="I138" s="31"/>
      <c r="J138" s="31"/>
      <c r="K138" s="43"/>
      <c r="L138" s="31"/>
      <c r="M138" s="33"/>
      <c r="O138" s="5"/>
      <c r="P138" s="13"/>
      <c r="Q138" s="67"/>
      <c r="R138" s="42" t="s">
        <v>2218</v>
      </c>
      <c r="U138" s="15" t="s">
        <v>2219</v>
      </c>
    </row>
    <row r="139" customFormat="false" ht="15" hidden="false" customHeight="true" outlineLevel="0" collapsed="false">
      <c r="A139" s="5" t="n">
        <v>137</v>
      </c>
      <c r="B139" s="6" t="s">
        <v>1895</v>
      </c>
      <c r="C139" s="89" t="s">
        <v>2220</v>
      </c>
      <c r="D139" s="19"/>
      <c r="E139" s="90" t="s">
        <v>2221</v>
      </c>
      <c r="F139" s="5" t="n">
        <v>36</v>
      </c>
      <c r="G139" s="5" t="n">
        <f aca="false">F139/18*72</f>
        <v>144</v>
      </c>
      <c r="H139" s="32"/>
      <c r="I139" s="31"/>
      <c r="J139" s="31"/>
      <c r="K139" s="43"/>
      <c r="L139" s="31"/>
      <c r="M139" s="33"/>
      <c r="O139" s="5"/>
      <c r="P139" s="13"/>
      <c r="Q139" s="67"/>
      <c r="R139" s="42" t="s">
        <v>2222</v>
      </c>
      <c r="S139" s="1" t="n">
        <v>1962</v>
      </c>
      <c r="U139" s="29" t="s">
        <v>2223</v>
      </c>
    </row>
    <row r="140" customFormat="false" ht="15" hidden="false" customHeight="true" outlineLevel="0" collapsed="false">
      <c r="A140" s="5" t="n">
        <v>138</v>
      </c>
      <c r="B140" s="6" t="s">
        <v>1895</v>
      </c>
      <c r="C140" s="89" t="s">
        <v>2224</v>
      </c>
      <c r="D140" s="19"/>
      <c r="E140" s="90" t="s">
        <v>2225</v>
      </c>
      <c r="F140" s="5" t="n">
        <v>36</v>
      </c>
      <c r="G140" s="5" t="n">
        <f aca="false">F140/18*72</f>
        <v>144</v>
      </c>
      <c r="H140" s="32"/>
      <c r="I140" s="31"/>
      <c r="J140" s="31"/>
      <c r="K140" s="43"/>
      <c r="L140" s="31"/>
      <c r="M140" s="33"/>
      <c r="O140" s="5"/>
      <c r="P140" s="13"/>
      <c r="Q140" s="67"/>
      <c r="R140" s="42" t="s">
        <v>2226</v>
      </c>
      <c r="S140" s="1" t="n">
        <v>1958</v>
      </c>
      <c r="U140" s="29" t="s">
        <v>2227</v>
      </c>
    </row>
    <row r="141" customFormat="false" ht="15" hidden="false" customHeight="true" outlineLevel="0" collapsed="false">
      <c r="A141" s="5" t="n">
        <v>139</v>
      </c>
      <c r="B141" s="6" t="s">
        <v>1895</v>
      </c>
      <c r="C141" s="89" t="s">
        <v>2228</v>
      </c>
      <c r="D141" s="19"/>
      <c r="E141" s="90" t="s">
        <v>2229</v>
      </c>
      <c r="F141" s="5" t="n">
        <v>18</v>
      </c>
      <c r="G141" s="5" t="n">
        <f aca="false">F141/18*72</f>
        <v>72</v>
      </c>
      <c r="H141" s="32"/>
      <c r="I141" s="31"/>
      <c r="J141" s="31"/>
      <c r="K141" s="43"/>
      <c r="L141" s="31"/>
      <c r="M141" s="33"/>
      <c r="O141" s="5"/>
      <c r="P141" s="13"/>
      <c r="Q141" s="67"/>
      <c r="R141" s="42" t="s">
        <v>2230</v>
      </c>
      <c r="U141" s="15" t="s">
        <v>2231</v>
      </c>
    </row>
    <row r="142" customFormat="false" ht="15" hidden="false" customHeight="true" outlineLevel="0" collapsed="false">
      <c r="A142" s="5" t="n">
        <v>140</v>
      </c>
      <c r="B142" s="6" t="s">
        <v>1895</v>
      </c>
      <c r="C142" s="89" t="s">
        <v>2232</v>
      </c>
      <c r="D142" s="19"/>
      <c r="E142" s="90" t="s">
        <v>2233</v>
      </c>
      <c r="F142" s="5" t="n">
        <v>27</v>
      </c>
      <c r="G142" s="5" t="n">
        <f aca="false">F142/18*72</f>
        <v>108</v>
      </c>
      <c r="H142" s="32"/>
      <c r="I142" s="31"/>
      <c r="J142" s="31"/>
      <c r="K142" s="43"/>
      <c r="L142" s="31"/>
      <c r="M142" s="33"/>
      <c r="O142" s="5"/>
      <c r="P142" s="13"/>
      <c r="Q142" s="67"/>
      <c r="R142" s="42" t="s">
        <v>2234</v>
      </c>
      <c r="U142" s="15" t="s">
        <v>2235</v>
      </c>
    </row>
  </sheetData>
  <mergeCells count="1">
    <mergeCell ref="A1:R1"/>
  </mergeCells>
  <hyperlinks>
    <hyperlink ref="Q3" r:id="rId1" display="상급"/>
    <hyperlink ref="Q4" r:id="rId2" display="상급"/>
    <hyperlink ref="Q5" r:id="rId3" display="상급"/>
    <hyperlink ref="Q6" r:id="rId4" display="중급"/>
    <hyperlink ref="Q7" r:id="rId5" display="중급"/>
    <hyperlink ref="Q8" r:id="rId6" display="중급"/>
    <hyperlink ref="Q9" r:id="rId7" display="중급"/>
    <hyperlink ref="Q10" r:id="rId8" display="상급"/>
    <hyperlink ref="Q11" r:id="rId9" display="중급"/>
    <hyperlink ref="Q12" r:id="rId10" display="상급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4" min="3" style="1" width="9"/>
    <col collapsed="false" customWidth="true" hidden="false" outlineLevel="0" max="6" min="5" style="1" width="8"/>
    <col collapsed="false" customWidth="true" hidden="false" outlineLevel="0" max="8" min="7" style="1" width="7"/>
    <col collapsed="false" customWidth="true" hidden="false" outlineLevel="0" max="9" min="9" style="1" width="8"/>
  </cols>
  <sheetData>
    <row r="1" customFormat="false" ht="27.75" hidden="false" customHeight="true" outlineLevel="0" collapsed="false">
      <c r="A1" s="88" t="s">
        <v>2236</v>
      </c>
      <c r="B1" s="88"/>
      <c r="C1" s="88"/>
      <c r="D1" s="88"/>
      <c r="E1" s="88"/>
      <c r="F1" s="88"/>
      <c r="G1" s="88"/>
      <c r="H1" s="88"/>
      <c r="I1" s="88"/>
    </row>
    <row r="2" customFormat="false" ht="36" hidden="false" customHeight="true" outlineLevel="0" collapsed="false">
      <c r="A2" s="4" t="s">
        <v>2</v>
      </c>
      <c r="B2" s="4" t="s">
        <v>2237</v>
      </c>
      <c r="C2" s="4" t="s">
        <v>2238</v>
      </c>
      <c r="D2" s="4" t="s">
        <v>2239</v>
      </c>
      <c r="E2" s="4" t="s">
        <v>32</v>
      </c>
      <c r="F2" s="4" t="s">
        <v>27</v>
      </c>
      <c r="G2" s="3" t="s">
        <v>2240</v>
      </c>
      <c r="H2" s="3" t="s">
        <v>2241</v>
      </c>
      <c r="I2" s="3" t="s">
        <v>2242</v>
      </c>
    </row>
    <row r="3" customFormat="false" ht="19.5" hidden="false" customHeight="true" outlineLevel="0" collapsed="false">
      <c r="A3" s="27" t="s">
        <v>544</v>
      </c>
      <c r="B3" s="6" t="s">
        <v>2243</v>
      </c>
      <c r="C3" s="5" t="n">
        <v>59</v>
      </c>
      <c r="D3" s="5" t="n">
        <v>1</v>
      </c>
      <c r="E3" s="5" t="n">
        <v>14</v>
      </c>
      <c r="F3" s="5" t="n">
        <v>45</v>
      </c>
      <c r="G3" s="5" t="n">
        <v>11</v>
      </c>
      <c r="H3" s="5" t="n">
        <v>31</v>
      </c>
      <c r="I3" s="5" t="n">
        <v>15</v>
      </c>
    </row>
    <row r="4" customFormat="false" ht="19.5" hidden="false" customHeight="true" outlineLevel="0" collapsed="false">
      <c r="A4" s="26" t="s">
        <v>25</v>
      </c>
      <c r="B4" s="17" t="s">
        <v>2243</v>
      </c>
      <c r="C4" s="16" t="n">
        <v>137</v>
      </c>
      <c r="D4" s="16" t="n">
        <v>4</v>
      </c>
      <c r="E4" s="16" t="n">
        <v>67</v>
      </c>
      <c r="F4" s="16" t="n">
        <v>70</v>
      </c>
      <c r="G4" s="16" t="n">
        <v>24</v>
      </c>
      <c r="H4" s="16" t="n">
        <v>57</v>
      </c>
      <c r="I4" s="16" t="n">
        <v>55</v>
      </c>
    </row>
    <row r="5" customFormat="false" ht="19.5" hidden="false" customHeight="true" outlineLevel="0" collapsed="false">
      <c r="A5" s="27" t="s">
        <v>1314</v>
      </c>
      <c r="B5" s="6" t="s">
        <v>2243</v>
      </c>
      <c r="C5" s="5" t="n">
        <v>38</v>
      </c>
      <c r="D5" s="5" t="n">
        <v>1</v>
      </c>
      <c r="E5" s="5" t="n">
        <v>13</v>
      </c>
      <c r="F5" s="5" t="n">
        <v>25</v>
      </c>
      <c r="G5" s="5" t="n">
        <v>7</v>
      </c>
      <c r="H5" s="5" t="n">
        <v>16</v>
      </c>
      <c r="I5" s="5" t="n">
        <v>15</v>
      </c>
    </row>
    <row r="6" customFormat="false" ht="19.5" hidden="false" customHeight="true" outlineLevel="0" collapsed="false">
      <c r="A6" s="26" t="s">
        <v>1154</v>
      </c>
      <c r="B6" s="17" t="s">
        <v>2243</v>
      </c>
      <c r="C6" s="16" t="n">
        <v>55</v>
      </c>
      <c r="D6" s="16" t="n">
        <v>1</v>
      </c>
      <c r="E6" s="16" t="n">
        <v>12</v>
      </c>
      <c r="F6" s="16" t="n">
        <v>43</v>
      </c>
      <c r="G6" s="16" t="n">
        <v>15</v>
      </c>
      <c r="H6" s="16" t="n">
        <v>26</v>
      </c>
      <c r="I6" s="16" t="n">
        <v>13</v>
      </c>
    </row>
    <row r="7" customFormat="false" ht="19.5" hidden="false" customHeight="true" outlineLevel="0" collapsed="false">
      <c r="A7" s="27" t="s">
        <v>1142</v>
      </c>
      <c r="B7" s="6" t="s">
        <v>2243</v>
      </c>
      <c r="C7" s="5" t="n">
        <v>3</v>
      </c>
      <c r="D7" s="5" t="n">
        <v>0</v>
      </c>
      <c r="E7" s="5" t="n">
        <v>0</v>
      </c>
      <c r="F7" s="5" t="n">
        <v>3</v>
      </c>
      <c r="G7" s="5" t="n">
        <v>2</v>
      </c>
      <c r="H7" s="5" t="n">
        <v>0</v>
      </c>
      <c r="I7" s="5" t="n">
        <v>1</v>
      </c>
    </row>
    <row r="8" customFormat="false" ht="19.5" hidden="false" customHeight="true" outlineLevel="0" collapsed="false">
      <c r="A8" s="26" t="s">
        <v>1481</v>
      </c>
      <c r="B8" s="17" t="s">
        <v>2243</v>
      </c>
      <c r="C8" s="16" t="n">
        <v>2</v>
      </c>
      <c r="D8" s="16" t="n">
        <v>0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0</v>
      </c>
    </row>
    <row r="9" customFormat="false" ht="19.5" hidden="false" customHeight="true" outlineLevel="0" collapsed="false">
      <c r="A9" s="27" t="s">
        <v>926</v>
      </c>
      <c r="B9" s="6" t="s">
        <v>2243</v>
      </c>
      <c r="C9" s="5" t="n">
        <v>3</v>
      </c>
      <c r="D9" s="5" t="n">
        <v>1</v>
      </c>
      <c r="E9" s="5" t="n">
        <v>1</v>
      </c>
      <c r="F9" s="5" t="n">
        <v>2</v>
      </c>
      <c r="G9" s="5" t="n">
        <v>2</v>
      </c>
      <c r="H9" s="5" t="n">
        <v>1</v>
      </c>
      <c r="I9" s="5" t="n">
        <v>0</v>
      </c>
    </row>
    <row r="10" customFormat="false" ht="19.5" hidden="false" customHeight="true" outlineLevel="0" collapsed="false">
      <c r="A10" s="26" t="s">
        <v>1440</v>
      </c>
      <c r="B10" s="17" t="s">
        <v>2243</v>
      </c>
      <c r="C10" s="16" t="n">
        <v>10</v>
      </c>
      <c r="D10" s="16" t="n">
        <v>0</v>
      </c>
      <c r="E10" s="16" t="n">
        <v>6</v>
      </c>
      <c r="F10" s="16" t="n">
        <v>4</v>
      </c>
      <c r="G10" s="16" t="n">
        <v>3</v>
      </c>
      <c r="H10" s="16" t="n">
        <v>4</v>
      </c>
      <c r="I10" s="16" t="n">
        <v>3</v>
      </c>
    </row>
    <row r="11" customFormat="false" ht="19.5" hidden="false" customHeight="true" outlineLevel="0" collapsed="false">
      <c r="A11" s="27" t="s">
        <v>500</v>
      </c>
      <c r="B11" s="6" t="s">
        <v>2243</v>
      </c>
      <c r="C11" s="5" t="n">
        <v>1</v>
      </c>
      <c r="D11" s="5" t="n">
        <v>0</v>
      </c>
      <c r="E11" s="5" t="n">
        <v>0</v>
      </c>
      <c r="F11" s="5" t="n">
        <v>1</v>
      </c>
      <c r="G11" s="5" t="n">
        <v>0</v>
      </c>
      <c r="H11" s="5" t="n">
        <v>0</v>
      </c>
      <c r="I11" s="5" t="n">
        <v>1</v>
      </c>
    </row>
    <row r="12" customFormat="false" ht="19.5" hidden="false" customHeight="true" outlineLevel="0" collapsed="false">
      <c r="A12" s="26" t="s">
        <v>938</v>
      </c>
      <c r="B12" s="17" t="s">
        <v>2243</v>
      </c>
      <c r="C12" s="16" t="n">
        <v>3</v>
      </c>
      <c r="D12" s="16" t="n">
        <v>0</v>
      </c>
      <c r="E12" s="16" t="n">
        <v>1</v>
      </c>
      <c r="F12" s="16" t="n">
        <v>2</v>
      </c>
      <c r="G12" s="16" t="n">
        <v>0</v>
      </c>
      <c r="H12" s="16" t="n">
        <v>1</v>
      </c>
      <c r="I12" s="16" t="n">
        <v>2</v>
      </c>
    </row>
    <row r="13" customFormat="false" ht="19.5" hidden="false" customHeight="true" outlineLevel="0" collapsed="false">
      <c r="A13" s="27" t="s">
        <v>1490</v>
      </c>
      <c r="B13" s="6" t="s">
        <v>2243</v>
      </c>
      <c r="C13" s="5" t="n">
        <v>5</v>
      </c>
      <c r="D13" s="5" t="n">
        <v>0</v>
      </c>
      <c r="E13" s="5" t="n">
        <v>2</v>
      </c>
      <c r="F13" s="5" t="n">
        <v>3</v>
      </c>
      <c r="G13" s="5" t="n">
        <v>1</v>
      </c>
      <c r="H13" s="5" t="n">
        <v>2</v>
      </c>
      <c r="I13" s="5" t="n">
        <v>2</v>
      </c>
    </row>
    <row r="14" customFormat="false" ht="19.5" hidden="false" customHeight="true" outlineLevel="0" collapsed="false">
      <c r="A14" s="26" t="s">
        <v>504</v>
      </c>
      <c r="B14" s="17" t="s">
        <v>2243</v>
      </c>
      <c r="C14" s="16" t="n">
        <v>11</v>
      </c>
      <c r="D14" s="16" t="n">
        <v>0</v>
      </c>
      <c r="E14" s="16" t="n">
        <v>2</v>
      </c>
      <c r="F14" s="16" t="n">
        <v>9</v>
      </c>
      <c r="G14" s="16" t="n">
        <v>1</v>
      </c>
      <c r="H14" s="16" t="n">
        <v>7</v>
      </c>
      <c r="I14" s="16" t="n">
        <v>3</v>
      </c>
    </row>
    <row r="15" customFormat="false" ht="19.5" hidden="false" customHeight="true" outlineLevel="0" collapsed="false">
      <c r="A15" s="27" t="s">
        <v>1023</v>
      </c>
      <c r="B15" s="6" t="s">
        <v>2243</v>
      </c>
      <c r="C15" s="5" t="n">
        <v>38</v>
      </c>
      <c r="D15" s="5" t="n">
        <v>0</v>
      </c>
      <c r="E15" s="5" t="n">
        <v>4</v>
      </c>
      <c r="F15" s="5" t="n">
        <v>34</v>
      </c>
      <c r="G15" s="5" t="n">
        <v>12</v>
      </c>
      <c r="H15" s="5" t="n">
        <v>12</v>
      </c>
      <c r="I15" s="5" t="n">
        <v>14</v>
      </c>
    </row>
    <row r="16" customFormat="false" ht="19.5" hidden="false" customHeight="true" outlineLevel="0" collapsed="false">
      <c r="A16" s="26" t="s">
        <v>950</v>
      </c>
      <c r="B16" s="17" t="s">
        <v>2243</v>
      </c>
      <c r="C16" s="16" t="n">
        <v>24</v>
      </c>
      <c r="D16" s="16" t="n">
        <v>0</v>
      </c>
      <c r="E16" s="16" t="n">
        <v>2</v>
      </c>
      <c r="F16" s="16" t="n">
        <v>22</v>
      </c>
      <c r="G16" s="16" t="n">
        <v>6</v>
      </c>
      <c r="H16" s="16" t="n">
        <v>13</v>
      </c>
      <c r="I16" s="16" t="n">
        <v>3</v>
      </c>
    </row>
    <row r="17" customFormat="false" ht="19.5" hidden="false" customHeight="true" outlineLevel="0" collapsed="false">
      <c r="A17" s="27" t="s">
        <v>1506</v>
      </c>
      <c r="B17" s="6" t="s">
        <v>2243</v>
      </c>
      <c r="C17" s="5" t="n">
        <v>30</v>
      </c>
      <c r="D17" s="5" t="n">
        <v>1</v>
      </c>
      <c r="E17" s="5" t="n">
        <v>16</v>
      </c>
      <c r="F17" s="5" t="n">
        <v>14</v>
      </c>
      <c r="G17" s="5" t="n">
        <v>2</v>
      </c>
      <c r="H17" s="5" t="n">
        <v>21</v>
      </c>
      <c r="I17" s="5" t="n">
        <v>7</v>
      </c>
    </row>
    <row r="18" customFormat="false" ht="19.5" hidden="false" customHeight="true" outlineLevel="0" collapsed="false">
      <c r="A18" s="26" t="s">
        <v>732</v>
      </c>
      <c r="B18" s="17" t="s">
        <v>2243</v>
      </c>
      <c r="C18" s="16" t="n">
        <v>25</v>
      </c>
      <c r="D18" s="16" t="n">
        <v>1</v>
      </c>
      <c r="E18" s="16" t="n">
        <v>4</v>
      </c>
      <c r="F18" s="16" t="n">
        <v>21</v>
      </c>
      <c r="G18" s="16" t="n">
        <v>6</v>
      </c>
      <c r="H18" s="16" t="n">
        <v>15</v>
      </c>
      <c r="I18" s="16" t="n">
        <v>4</v>
      </c>
    </row>
    <row r="19" customFormat="false" ht="19.5" hidden="false" customHeight="true" outlineLevel="0" collapsed="false">
      <c r="A19" s="27" t="s">
        <v>807</v>
      </c>
      <c r="B19" s="6" t="s">
        <v>2243</v>
      </c>
      <c r="C19" s="5" t="n">
        <v>38</v>
      </c>
      <c r="D19" s="5" t="n">
        <v>0</v>
      </c>
      <c r="E19" s="5" t="n">
        <v>5</v>
      </c>
      <c r="F19" s="5" t="n">
        <v>33</v>
      </c>
      <c r="G19" s="5" t="n">
        <v>4</v>
      </c>
      <c r="H19" s="5" t="n">
        <v>20</v>
      </c>
      <c r="I19" s="5" t="n">
        <v>14</v>
      </c>
    </row>
    <row r="20" customFormat="false" ht="19.5" hidden="false" customHeight="true" outlineLevel="0" collapsed="false">
      <c r="A20" s="26" t="s">
        <v>2244</v>
      </c>
      <c r="B20" s="91" t="s">
        <v>2245</v>
      </c>
      <c r="C20" s="16" t="n">
        <v>6</v>
      </c>
      <c r="D20" s="16" t="n">
        <v>6</v>
      </c>
      <c r="E20" s="16" t="n">
        <v>4</v>
      </c>
      <c r="F20" s="16" t="n">
        <v>2</v>
      </c>
      <c r="G20" s="16" t="n">
        <v>0</v>
      </c>
      <c r="H20" s="16" t="n">
        <v>4</v>
      </c>
      <c r="I20" s="16" t="n">
        <v>2</v>
      </c>
    </row>
    <row r="21" customFormat="false" ht="19.5" hidden="false" customHeight="true" outlineLevel="0" collapsed="false">
      <c r="A21" s="27" t="s">
        <v>2246</v>
      </c>
      <c r="B21" s="91" t="s">
        <v>2245</v>
      </c>
      <c r="C21" s="5" t="n">
        <v>2</v>
      </c>
      <c r="D21" s="5" t="n">
        <v>2</v>
      </c>
      <c r="E21" s="5" t="n">
        <v>2</v>
      </c>
      <c r="F21" s="5" t="n">
        <v>0</v>
      </c>
      <c r="G21" s="5" t="n">
        <v>0</v>
      </c>
      <c r="H21" s="5" t="n">
        <v>1</v>
      </c>
      <c r="I21" s="5" t="n">
        <v>1</v>
      </c>
    </row>
    <row r="22" customFormat="false" ht="19.5" hidden="false" customHeight="true" outlineLevel="0" collapsed="false">
      <c r="A22" s="26" t="s">
        <v>2247</v>
      </c>
      <c r="B22" s="91" t="s">
        <v>2245</v>
      </c>
      <c r="C22" s="16" t="n">
        <v>1</v>
      </c>
      <c r="D22" s="16" t="n">
        <v>1</v>
      </c>
      <c r="E22" s="16" t="n">
        <v>1</v>
      </c>
      <c r="F22" s="16" t="n">
        <v>0</v>
      </c>
      <c r="G22" s="16" t="n">
        <v>0</v>
      </c>
      <c r="H22" s="16" t="n">
        <v>1</v>
      </c>
      <c r="I22" s="16" t="n">
        <v>0</v>
      </c>
    </row>
    <row r="23" customFormat="false" ht="19.5" hidden="false" customHeight="true" outlineLevel="0" collapsed="false">
      <c r="A23" s="27" t="s">
        <v>2248</v>
      </c>
      <c r="B23" s="91" t="s">
        <v>2245</v>
      </c>
      <c r="C23" s="5" t="n">
        <v>1</v>
      </c>
      <c r="D23" s="5" t="n">
        <v>1</v>
      </c>
      <c r="E23" s="5" t="n">
        <v>0</v>
      </c>
      <c r="F23" s="5" t="n">
        <v>1</v>
      </c>
      <c r="G23" s="5" t="n">
        <v>0</v>
      </c>
      <c r="H23" s="5" t="n">
        <v>0</v>
      </c>
      <c r="I23" s="5" t="n">
        <v>1</v>
      </c>
    </row>
    <row r="25" customFormat="false" ht="25.5" hidden="false" customHeight="true" outlineLevel="0" collapsed="false">
      <c r="A25" s="92" t="s">
        <v>2249</v>
      </c>
      <c r="B25" s="92"/>
      <c r="C25" s="93" t="n">
        <f aca="false">SUM(C3:C24)</f>
        <v>492</v>
      </c>
      <c r="D25" s="93" t="n">
        <f aca="false">SUM(D3:D24)</f>
        <v>20</v>
      </c>
      <c r="E25" s="93" t="n">
        <f aca="false">SUM(E3:E24)</f>
        <v>157</v>
      </c>
      <c r="F25" s="93" t="n">
        <f aca="false">SUM(F3:F24)</f>
        <v>335</v>
      </c>
      <c r="G25" s="93" t="n">
        <f aca="false">SUM(G3:G24)</f>
        <v>97</v>
      </c>
      <c r="H25" s="93" t="n">
        <f aca="false">SUM(H3:H24)</f>
        <v>233</v>
      </c>
      <c r="I25" s="93" t="n">
        <f aca="false">SUM(I3:I24)</f>
        <v>156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5" min="5" style="1" width="6"/>
    <col collapsed="false" customWidth="true" hidden="false" outlineLevel="0" max="6" min="6" style="1" width="30"/>
    <col collapsed="false" customWidth="true" hidden="false" outlineLevel="0" max="7" min="7" style="1" width="9"/>
    <col collapsed="false" customWidth="true" hidden="false" outlineLevel="0" max="8" min="8" style="1" width="20"/>
  </cols>
  <sheetData>
    <row r="1" customFormat="false" ht="27.75" hidden="false" customHeight="true" outlineLevel="0" collapsed="false">
      <c r="A1" s="2" t="s">
        <v>2250</v>
      </c>
      <c r="B1" s="2"/>
      <c r="C1" s="2"/>
      <c r="D1" s="2"/>
      <c r="E1" s="2"/>
      <c r="F1" s="2"/>
      <c r="G1" s="2"/>
      <c r="H1" s="2"/>
    </row>
    <row r="2" customFormat="false" ht="36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5</v>
      </c>
      <c r="G2" s="4" t="s">
        <v>2251</v>
      </c>
      <c r="H2" s="4" t="s">
        <v>24</v>
      </c>
    </row>
    <row r="3" customFormat="false" ht="18" hidden="false" customHeight="true" outlineLevel="0" collapsed="false">
      <c r="A3" s="5" t="n">
        <v>1</v>
      </c>
      <c r="B3" s="6" t="s">
        <v>544</v>
      </c>
      <c r="C3" s="11" t="s">
        <v>558</v>
      </c>
      <c r="D3" s="6" t="s">
        <v>27</v>
      </c>
      <c r="E3" s="5" t="n">
        <v>9</v>
      </c>
      <c r="F3" s="9" t="s">
        <v>559</v>
      </c>
      <c r="G3" s="94" t="s">
        <v>2252</v>
      </c>
      <c r="H3" s="15"/>
    </row>
    <row r="4" customFormat="false" ht="18" hidden="false" customHeight="true" outlineLevel="0" collapsed="false">
      <c r="A4" s="16" t="n">
        <v>2</v>
      </c>
      <c r="B4" s="17" t="s">
        <v>544</v>
      </c>
      <c r="C4" s="22" t="s">
        <v>561</v>
      </c>
      <c r="D4" s="17" t="s">
        <v>27</v>
      </c>
      <c r="E4" s="16" t="n">
        <v>9</v>
      </c>
      <c r="F4" s="20" t="s">
        <v>562</v>
      </c>
      <c r="G4" s="94" t="s">
        <v>2252</v>
      </c>
      <c r="H4" s="25"/>
    </row>
    <row r="5" customFormat="false" ht="18" hidden="false" customHeight="true" outlineLevel="0" collapsed="false">
      <c r="A5" s="5" t="n">
        <v>3</v>
      </c>
      <c r="B5" s="6" t="s">
        <v>544</v>
      </c>
      <c r="C5" s="11" t="s">
        <v>2253</v>
      </c>
      <c r="D5" s="6" t="s">
        <v>27</v>
      </c>
      <c r="E5" s="5" t="n">
        <v>9</v>
      </c>
      <c r="F5" s="9" t="s">
        <v>620</v>
      </c>
      <c r="G5" s="94" t="s">
        <v>2252</v>
      </c>
      <c r="H5" s="15"/>
    </row>
    <row r="6" customFormat="false" ht="18" hidden="false" customHeight="true" outlineLevel="0" collapsed="false">
      <c r="A6" s="16" t="n">
        <v>4</v>
      </c>
      <c r="B6" s="17" t="s">
        <v>544</v>
      </c>
      <c r="C6" s="22" t="s">
        <v>627</v>
      </c>
      <c r="D6" s="17" t="s">
        <v>27</v>
      </c>
      <c r="E6" s="16" t="n">
        <v>9</v>
      </c>
      <c r="F6" s="20" t="s">
        <v>628</v>
      </c>
      <c r="G6" s="94" t="s">
        <v>2252</v>
      </c>
      <c r="H6" s="25"/>
    </row>
    <row r="7" customFormat="false" ht="18" hidden="false" customHeight="true" outlineLevel="0" collapsed="false">
      <c r="A7" s="5" t="n">
        <v>5</v>
      </c>
      <c r="B7" s="6" t="s">
        <v>544</v>
      </c>
      <c r="C7" s="11" t="s">
        <v>633</v>
      </c>
      <c r="D7" s="6" t="s">
        <v>27</v>
      </c>
      <c r="E7" s="5" t="n">
        <v>9</v>
      </c>
      <c r="F7" s="9" t="s">
        <v>634</v>
      </c>
      <c r="G7" s="94" t="s">
        <v>2252</v>
      </c>
      <c r="H7" s="15"/>
    </row>
    <row r="8" customFormat="false" ht="18" hidden="false" customHeight="true" outlineLevel="0" collapsed="false">
      <c r="A8" s="16" t="n">
        <v>6</v>
      </c>
      <c r="B8" s="17" t="s">
        <v>544</v>
      </c>
      <c r="C8" s="22" t="s">
        <v>648</v>
      </c>
      <c r="D8" s="17" t="s">
        <v>27</v>
      </c>
      <c r="E8" s="16" t="n">
        <v>9</v>
      </c>
      <c r="F8" s="20" t="s">
        <v>649</v>
      </c>
      <c r="G8" s="94" t="s">
        <v>2252</v>
      </c>
      <c r="H8" s="25"/>
    </row>
    <row r="9" customFormat="false" ht="18" hidden="false" customHeight="true" outlineLevel="0" collapsed="false">
      <c r="A9" s="5" t="n">
        <v>7</v>
      </c>
      <c r="B9" s="6" t="s">
        <v>544</v>
      </c>
      <c r="C9" s="11" t="s">
        <v>651</v>
      </c>
      <c r="D9" s="6" t="s">
        <v>27</v>
      </c>
      <c r="E9" s="5" t="n">
        <v>10</v>
      </c>
      <c r="F9" s="9" t="s">
        <v>652</v>
      </c>
      <c r="G9" s="94" t="s">
        <v>2252</v>
      </c>
      <c r="H9" s="15"/>
    </row>
    <row r="10" customFormat="false" ht="18" hidden="false" customHeight="true" outlineLevel="0" collapsed="false">
      <c r="A10" s="16" t="n">
        <v>8</v>
      </c>
      <c r="B10" s="17" t="s">
        <v>544</v>
      </c>
      <c r="C10" s="22" t="s">
        <v>659</v>
      </c>
      <c r="D10" s="17" t="s">
        <v>27</v>
      </c>
      <c r="E10" s="16" t="n">
        <v>9</v>
      </c>
      <c r="F10" s="20" t="s">
        <v>660</v>
      </c>
      <c r="G10" s="94" t="s">
        <v>2252</v>
      </c>
      <c r="H10" s="25"/>
    </row>
    <row r="11" customFormat="false" ht="18" hidden="false" customHeight="true" outlineLevel="0" collapsed="false">
      <c r="A11" s="5" t="n">
        <v>9</v>
      </c>
      <c r="B11" s="6" t="s">
        <v>544</v>
      </c>
      <c r="C11" s="11" t="s">
        <v>667</v>
      </c>
      <c r="D11" s="6" t="s">
        <v>27</v>
      </c>
      <c r="E11" s="5" t="n">
        <v>9</v>
      </c>
      <c r="F11" s="9" t="s">
        <v>668</v>
      </c>
      <c r="G11" s="94" t="s">
        <v>2252</v>
      </c>
      <c r="H11" s="15"/>
    </row>
    <row r="12" customFormat="false" ht="18" hidden="false" customHeight="true" outlineLevel="0" collapsed="false">
      <c r="A12" s="16" t="n">
        <v>10</v>
      </c>
      <c r="B12" s="17" t="s">
        <v>544</v>
      </c>
      <c r="C12" s="22" t="s">
        <v>675</v>
      </c>
      <c r="D12" s="17" t="s">
        <v>27</v>
      </c>
      <c r="E12" s="16" t="n">
        <v>9</v>
      </c>
      <c r="F12" s="20" t="s">
        <v>673</v>
      </c>
      <c r="G12" s="94" t="s">
        <v>2252</v>
      </c>
      <c r="H12" s="25"/>
    </row>
    <row r="13" customFormat="false" ht="18" hidden="false" customHeight="true" outlineLevel="0" collapsed="false">
      <c r="A13" s="5" t="n">
        <v>11</v>
      </c>
      <c r="B13" s="6" t="s">
        <v>544</v>
      </c>
      <c r="C13" s="11" t="s">
        <v>679</v>
      </c>
      <c r="D13" s="6" t="s">
        <v>27</v>
      </c>
      <c r="E13" s="5" t="n">
        <v>9</v>
      </c>
      <c r="F13" s="9" t="s">
        <v>677</v>
      </c>
      <c r="G13" s="94" t="s">
        <v>2252</v>
      </c>
      <c r="H13" s="15"/>
    </row>
    <row r="14" customFormat="false" ht="18" hidden="false" customHeight="true" outlineLevel="0" collapsed="false">
      <c r="A14" s="16" t="n">
        <v>12</v>
      </c>
      <c r="B14" s="17" t="s">
        <v>544</v>
      </c>
      <c r="C14" s="22" t="s">
        <v>686</v>
      </c>
      <c r="D14" s="17" t="s">
        <v>27</v>
      </c>
      <c r="E14" s="16" t="n">
        <v>10</v>
      </c>
      <c r="F14" s="20" t="s">
        <v>684</v>
      </c>
      <c r="G14" s="94" t="s">
        <v>2252</v>
      </c>
      <c r="H14" s="25"/>
    </row>
    <row r="15" customFormat="false" ht="18" hidden="false" customHeight="true" outlineLevel="0" collapsed="false">
      <c r="A15" s="5" t="n">
        <v>13</v>
      </c>
      <c r="B15" s="6" t="s">
        <v>544</v>
      </c>
      <c r="C15" s="11" t="s">
        <v>687</v>
      </c>
      <c r="D15" s="6" t="s">
        <v>27</v>
      </c>
      <c r="E15" s="5" t="n">
        <v>9</v>
      </c>
      <c r="F15" s="9" t="s">
        <v>688</v>
      </c>
      <c r="G15" s="94" t="s">
        <v>2252</v>
      </c>
      <c r="H15" s="15"/>
    </row>
    <row r="16" customFormat="false" ht="18" hidden="false" customHeight="true" outlineLevel="0" collapsed="false">
      <c r="A16" s="16" t="n">
        <v>14</v>
      </c>
      <c r="B16" s="17" t="s">
        <v>25</v>
      </c>
      <c r="C16" s="22" t="s">
        <v>46</v>
      </c>
      <c r="D16" s="17" t="s">
        <v>27</v>
      </c>
      <c r="E16" s="16" t="n">
        <v>9</v>
      </c>
      <c r="F16" s="20" t="s">
        <v>47</v>
      </c>
      <c r="G16" s="94" t="s">
        <v>2252</v>
      </c>
      <c r="H16" s="25"/>
    </row>
    <row r="17" customFormat="false" ht="18" hidden="false" customHeight="true" outlineLevel="0" collapsed="false">
      <c r="A17" s="5" t="n">
        <v>15</v>
      </c>
      <c r="B17" s="6" t="s">
        <v>25</v>
      </c>
      <c r="C17" s="11" t="s">
        <v>2254</v>
      </c>
      <c r="D17" s="6" t="s">
        <v>27</v>
      </c>
      <c r="E17" s="5" t="n">
        <v>9</v>
      </c>
      <c r="F17" s="9" t="s">
        <v>61</v>
      </c>
      <c r="G17" s="94" t="s">
        <v>2252</v>
      </c>
      <c r="H17" s="15"/>
    </row>
    <row r="18" customFormat="false" ht="18" hidden="false" customHeight="true" outlineLevel="0" collapsed="false">
      <c r="A18" s="16" t="n">
        <v>16</v>
      </c>
      <c r="B18" s="17" t="s">
        <v>25</v>
      </c>
      <c r="C18" s="22" t="s">
        <v>68</v>
      </c>
      <c r="D18" s="17" t="s">
        <v>27</v>
      </c>
      <c r="E18" s="16" t="n">
        <v>9</v>
      </c>
      <c r="F18" s="20" t="s">
        <v>69</v>
      </c>
      <c r="G18" s="94" t="s">
        <v>2252</v>
      </c>
      <c r="H18" s="25"/>
    </row>
    <row r="19" customFormat="false" ht="18" hidden="false" customHeight="true" outlineLevel="0" collapsed="false">
      <c r="A19" s="5" t="n">
        <v>17</v>
      </c>
      <c r="B19" s="6" t="s">
        <v>25</v>
      </c>
      <c r="C19" s="11" t="s">
        <v>2255</v>
      </c>
      <c r="D19" s="6" t="s">
        <v>27</v>
      </c>
      <c r="E19" s="5" t="n">
        <v>9</v>
      </c>
      <c r="F19" s="9" t="s">
        <v>95</v>
      </c>
      <c r="G19" s="94" t="s">
        <v>2252</v>
      </c>
      <c r="H19" s="15"/>
    </row>
    <row r="20" customFormat="false" ht="18" hidden="false" customHeight="true" outlineLevel="0" collapsed="false">
      <c r="A20" s="16" t="n">
        <v>18</v>
      </c>
      <c r="B20" s="17" t="s">
        <v>25</v>
      </c>
      <c r="C20" s="22" t="s">
        <v>2256</v>
      </c>
      <c r="D20" s="17" t="s">
        <v>27</v>
      </c>
      <c r="E20" s="16" t="n">
        <v>9</v>
      </c>
      <c r="F20" s="20" t="s">
        <v>120</v>
      </c>
      <c r="G20" s="94" t="s">
        <v>2252</v>
      </c>
      <c r="H20" s="25"/>
    </row>
    <row r="21" customFormat="false" ht="18" hidden="false" customHeight="true" outlineLevel="0" collapsed="false">
      <c r="A21" s="5" t="n">
        <v>19</v>
      </c>
      <c r="B21" s="6" t="s">
        <v>25</v>
      </c>
      <c r="C21" s="11" t="s">
        <v>125</v>
      </c>
      <c r="D21" s="6" t="s">
        <v>27</v>
      </c>
      <c r="E21" s="5" t="n">
        <v>9</v>
      </c>
      <c r="F21" s="9" t="s">
        <v>126</v>
      </c>
      <c r="G21" s="94" t="s">
        <v>2252</v>
      </c>
      <c r="H21" s="15"/>
    </row>
    <row r="22" customFormat="false" ht="18" hidden="false" customHeight="true" outlineLevel="0" collapsed="false">
      <c r="A22" s="16" t="n">
        <v>20</v>
      </c>
      <c r="B22" s="17" t="s">
        <v>25</v>
      </c>
      <c r="C22" s="22" t="s">
        <v>136</v>
      </c>
      <c r="D22" s="17" t="s">
        <v>27</v>
      </c>
      <c r="E22" s="16" t="n">
        <v>9</v>
      </c>
      <c r="F22" s="20" t="s">
        <v>137</v>
      </c>
      <c r="G22" s="94" t="s">
        <v>2252</v>
      </c>
      <c r="H22" s="25"/>
    </row>
    <row r="23" customFormat="false" ht="18" hidden="false" customHeight="true" outlineLevel="0" collapsed="false">
      <c r="A23" s="5" t="n">
        <v>21</v>
      </c>
      <c r="B23" s="6" t="s">
        <v>25</v>
      </c>
      <c r="C23" s="11" t="s">
        <v>156</v>
      </c>
      <c r="D23" s="6" t="s">
        <v>27</v>
      </c>
      <c r="E23" s="5" t="n">
        <v>9</v>
      </c>
      <c r="F23" s="9" t="s">
        <v>157</v>
      </c>
      <c r="G23" s="94" t="s">
        <v>2252</v>
      </c>
      <c r="H23" s="15"/>
    </row>
    <row r="24" customFormat="false" ht="18" hidden="false" customHeight="true" outlineLevel="0" collapsed="false">
      <c r="A24" s="16" t="n">
        <v>22</v>
      </c>
      <c r="B24" s="17" t="s">
        <v>25</v>
      </c>
      <c r="C24" s="22" t="s">
        <v>170</v>
      </c>
      <c r="D24" s="17" t="s">
        <v>27</v>
      </c>
      <c r="E24" s="16" t="n">
        <v>9</v>
      </c>
      <c r="F24" s="20" t="s">
        <v>168</v>
      </c>
      <c r="G24" s="94" t="s">
        <v>2252</v>
      </c>
      <c r="H24" s="25"/>
    </row>
    <row r="25" customFormat="false" ht="18" hidden="false" customHeight="true" outlineLevel="0" collapsed="false">
      <c r="A25" s="5" t="n">
        <v>23</v>
      </c>
      <c r="B25" s="6" t="s">
        <v>25</v>
      </c>
      <c r="C25" s="11" t="s">
        <v>177</v>
      </c>
      <c r="D25" s="6" t="s">
        <v>27</v>
      </c>
      <c r="E25" s="5" t="n">
        <v>9</v>
      </c>
      <c r="F25" s="9" t="s">
        <v>178</v>
      </c>
      <c r="G25" s="94" t="s">
        <v>2252</v>
      </c>
      <c r="H25" s="15"/>
    </row>
    <row r="26" customFormat="false" ht="18" hidden="false" customHeight="true" outlineLevel="0" collapsed="false">
      <c r="A26" s="16" t="n">
        <v>24</v>
      </c>
      <c r="B26" s="17" t="s">
        <v>25</v>
      </c>
      <c r="C26" s="22" t="s">
        <v>204</v>
      </c>
      <c r="D26" s="17" t="s">
        <v>27</v>
      </c>
      <c r="E26" s="16" t="n">
        <v>9</v>
      </c>
      <c r="F26" s="20" t="s">
        <v>205</v>
      </c>
      <c r="G26" s="94" t="s">
        <v>2252</v>
      </c>
      <c r="H26" s="25"/>
    </row>
    <row r="27" customFormat="false" ht="18" hidden="false" customHeight="true" outlineLevel="0" collapsed="false">
      <c r="A27" s="5" t="n">
        <v>25</v>
      </c>
      <c r="B27" s="6" t="s">
        <v>25</v>
      </c>
      <c r="C27" s="11" t="s">
        <v>2257</v>
      </c>
      <c r="D27" s="6" t="s">
        <v>27</v>
      </c>
      <c r="E27" s="5" t="n">
        <v>9</v>
      </c>
      <c r="F27" s="9" t="s">
        <v>230</v>
      </c>
      <c r="G27" s="94" t="s">
        <v>2252</v>
      </c>
      <c r="H27" s="15"/>
    </row>
    <row r="28" customFormat="false" ht="18" hidden="false" customHeight="true" outlineLevel="0" collapsed="false">
      <c r="A28" s="16" t="n">
        <v>26</v>
      </c>
      <c r="B28" s="17" t="s">
        <v>25</v>
      </c>
      <c r="C28" s="22" t="s">
        <v>2258</v>
      </c>
      <c r="D28" s="17" t="s">
        <v>27</v>
      </c>
      <c r="E28" s="16" t="n">
        <v>9</v>
      </c>
      <c r="F28" s="20" t="s">
        <v>269</v>
      </c>
      <c r="G28" s="94" t="s">
        <v>2252</v>
      </c>
      <c r="H28" s="25"/>
    </row>
    <row r="29" customFormat="false" ht="18" hidden="false" customHeight="true" outlineLevel="0" collapsed="false">
      <c r="A29" s="5" t="n">
        <v>27</v>
      </c>
      <c r="B29" s="6" t="s">
        <v>25</v>
      </c>
      <c r="C29" s="11" t="s">
        <v>293</v>
      </c>
      <c r="D29" s="6" t="s">
        <v>27</v>
      </c>
      <c r="E29" s="5" t="n">
        <v>9</v>
      </c>
      <c r="F29" s="9" t="s">
        <v>294</v>
      </c>
      <c r="G29" s="94" t="s">
        <v>2252</v>
      </c>
      <c r="H29" s="15"/>
    </row>
    <row r="30" customFormat="false" ht="18" hidden="false" customHeight="true" outlineLevel="0" collapsed="false">
      <c r="A30" s="16" t="n">
        <v>28</v>
      </c>
      <c r="B30" s="17" t="s">
        <v>25</v>
      </c>
      <c r="C30" s="22" t="s">
        <v>307</v>
      </c>
      <c r="D30" s="17" t="s">
        <v>27</v>
      </c>
      <c r="E30" s="16" t="n">
        <v>9</v>
      </c>
      <c r="F30" s="20" t="s">
        <v>305</v>
      </c>
      <c r="G30" s="94" t="s">
        <v>2252</v>
      </c>
      <c r="H30" s="25"/>
    </row>
    <row r="31" customFormat="false" ht="18" hidden="false" customHeight="true" outlineLevel="0" collapsed="false">
      <c r="A31" s="5" t="n">
        <v>29</v>
      </c>
      <c r="B31" s="6" t="s">
        <v>25</v>
      </c>
      <c r="C31" s="11" t="s">
        <v>326</v>
      </c>
      <c r="D31" s="6" t="s">
        <v>27</v>
      </c>
      <c r="E31" s="5" t="n">
        <v>9</v>
      </c>
      <c r="F31" s="9" t="s">
        <v>327</v>
      </c>
      <c r="G31" s="94" t="s">
        <v>2252</v>
      </c>
      <c r="H31" s="15"/>
    </row>
    <row r="32" customFormat="false" ht="18" hidden="false" customHeight="true" outlineLevel="0" collapsed="false">
      <c r="A32" s="16" t="n">
        <v>30</v>
      </c>
      <c r="B32" s="17" t="s">
        <v>25</v>
      </c>
      <c r="C32" s="22" t="s">
        <v>329</v>
      </c>
      <c r="D32" s="17" t="s">
        <v>27</v>
      </c>
      <c r="E32" s="16" t="n">
        <v>9</v>
      </c>
      <c r="F32" s="20" t="s">
        <v>330</v>
      </c>
      <c r="G32" s="94" t="s">
        <v>2252</v>
      </c>
      <c r="H32" s="25"/>
    </row>
    <row r="33" customFormat="false" ht="18" hidden="false" customHeight="true" outlineLevel="0" collapsed="false">
      <c r="A33" s="5" t="n">
        <v>31</v>
      </c>
      <c r="B33" s="6" t="s">
        <v>25</v>
      </c>
      <c r="C33" s="11" t="s">
        <v>2259</v>
      </c>
      <c r="D33" s="6" t="s">
        <v>27</v>
      </c>
      <c r="E33" s="5" t="n">
        <v>9</v>
      </c>
      <c r="F33" s="9" t="s">
        <v>230</v>
      </c>
      <c r="G33" s="94" t="s">
        <v>2252</v>
      </c>
      <c r="H33" s="15"/>
    </row>
    <row r="34" customFormat="false" ht="18" hidden="false" customHeight="true" outlineLevel="0" collapsed="false">
      <c r="A34" s="16" t="n">
        <v>32</v>
      </c>
      <c r="B34" s="17" t="s">
        <v>25</v>
      </c>
      <c r="C34" s="22" t="s">
        <v>367</v>
      </c>
      <c r="D34" s="17" t="s">
        <v>27</v>
      </c>
      <c r="E34" s="16" t="n">
        <v>9</v>
      </c>
      <c r="F34" s="20" t="s">
        <v>368</v>
      </c>
      <c r="G34" s="94" t="s">
        <v>2252</v>
      </c>
      <c r="H34" s="25"/>
    </row>
    <row r="35" customFormat="false" ht="18" hidden="false" customHeight="true" outlineLevel="0" collapsed="false">
      <c r="A35" s="5" t="n">
        <v>33</v>
      </c>
      <c r="B35" s="6" t="s">
        <v>25</v>
      </c>
      <c r="C35" s="11" t="s">
        <v>369</v>
      </c>
      <c r="D35" s="6" t="s">
        <v>27</v>
      </c>
      <c r="E35" s="5" t="n">
        <v>9</v>
      </c>
      <c r="F35" s="9" t="s">
        <v>370</v>
      </c>
      <c r="G35" s="94" t="s">
        <v>2252</v>
      </c>
      <c r="H35" s="15"/>
    </row>
    <row r="36" customFormat="false" ht="18" hidden="false" customHeight="true" outlineLevel="0" collapsed="false">
      <c r="A36" s="16" t="n">
        <v>34</v>
      </c>
      <c r="B36" s="17" t="s">
        <v>25</v>
      </c>
      <c r="C36" s="22" t="s">
        <v>402</v>
      </c>
      <c r="D36" s="17" t="s">
        <v>27</v>
      </c>
      <c r="E36" s="16" t="n">
        <v>9</v>
      </c>
      <c r="F36" s="20" t="s">
        <v>403</v>
      </c>
      <c r="G36" s="94" t="s">
        <v>2252</v>
      </c>
      <c r="H36" s="25"/>
    </row>
    <row r="37" customFormat="false" ht="18" hidden="false" customHeight="true" outlineLevel="0" collapsed="false">
      <c r="A37" s="5" t="n">
        <v>35</v>
      </c>
      <c r="B37" s="6" t="s">
        <v>25</v>
      </c>
      <c r="C37" s="11" t="s">
        <v>461</v>
      </c>
      <c r="D37" s="6" t="s">
        <v>27</v>
      </c>
      <c r="E37" s="5" t="n">
        <v>9</v>
      </c>
      <c r="F37" s="9" t="s">
        <v>462</v>
      </c>
      <c r="G37" s="94" t="s">
        <v>2252</v>
      </c>
      <c r="H37" s="15"/>
    </row>
    <row r="38" customFormat="false" ht="18" hidden="false" customHeight="true" outlineLevel="0" collapsed="false">
      <c r="A38" s="16" t="n">
        <v>36</v>
      </c>
      <c r="B38" s="17" t="s">
        <v>25</v>
      </c>
      <c r="C38" s="22" t="s">
        <v>2260</v>
      </c>
      <c r="D38" s="17" t="s">
        <v>27</v>
      </c>
      <c r="E38" s="16" t="n">
        <v>9</v>
      </c>
      <c r="F38" s="20" t="s">
        <v>476</v>
      </c>
      <c r="G38" s="94" t="s">
        <v>2252</v>
      </c>
      <c r="H38" s="25"/>
    </row>
    <row r="39" customFormat="false" ht="18" hidden="false" customHeight="true" outlineLevel="0" collapsed="false">
      <c r="A39" s="5" t="n">
        <v>37</v>
      </c>
      <c r="B39" s="6" t="s">
        <v>25</v>
      </c>
      <c r="C39" s="11" t="s">
        <v>497</v>
      </c>
      <c r="D39" s="6" t="s">
        <v>27</v>
      </c>
      <c r="E39" s="5" t="n">
        <v>9</v>
      </c>
      <c r="F39" s="9" t="s">
        <v>498</v>
      </c>
      <c r="G39" s="94" t="s">
        <v>2252</v>
      </c>
      <c r="H39" s="15"/>
    </row>
    <row r="40" customFormat="false" ht="18" hidden="false" customHeight="true" outlineLevel="0" collapsed="false">
      <c r="A40" s="16" t="n">
        <v>38</v>
      </c>
      <c r="B40" s="17" t="s">
        <v>1314</v>
      </c>
      <c r="C40" s="22" t="s">
        <v>1328</v>
      </c>
      <c r="D40" s="17" t="s">
        <v>27</v>
      </c>
      <c r="E40" s="16" t="n">
        <v>9</v>
      </c>
      <c r="F40" s="20" t="s">
        <v>1329</v>
      </c>
      <c r="G40" s="94" t="s">
        <v>2252</v>
      </c>
      <c r="H40" s="25"/>
    </row>
    <row r="41" customFormat="false" ht="18" hidden="false" customHeight="true" outlineLevel="0" collapsed="false">
      <c r="A41" s="5" t="n">
        <v>39</v>
      </c>
      <c r="B41" s="6" t="s">
        <v>1314</v>
      </c>
      <c r="C41" s="11" t="s">
        <v>1337</v>
      </c>
      <c r="D41" s="6" t="s">
        <v>27</v>
      </c>
      <c r="E41" s="5" t="n">
        <v>9</v>
      </c>
      <c r="F41" s="9" t="s">
        <v>1338</v>
      </c>
      <c r="G41" s="94" t="s">
        <v>2252</v>
      </c>
      <c r="H41" s="15"/>
    </row>
    <row r="42" customFormat="false" ht="18" hidden="false" customHeight="true" outlineLevel="0" collapsed="false">
      <c r="A42" s="16" t="n">
        <v>40</v>
      </c>
      <c r="B42" s="17" t="s">
        <v>1314</v>
      </c>
      <c r="C42" s="22" t="s">
        <v>1367</v>
      </c>
      <c r="D42" s="17" t="s">
        <v>27</v>
      </c>
      <c r="E42" s="16" t="n">
        <v>9</v>
      </c>
      <c r="F42" s="20" t="s">
        <v>1368</v>
      </c>
      <c r="G42" s="94" t="s">
        <v>2252</v>
      </c>
      <c r="H42" s="25"/>
    </row>
    <row r="43" customFormat="false" ht="18" hidden="false" customHeight="true" outlineLevel="0" collapsed="false">
      <c r="A43" s="5" t="n">
        <v>41</v>
      </c>
      <c r="B43" s="6" t="s">
        <v>1314</v>
      </c>
      <c r="C43" s="11" t="s">
        <v>1379</v>
      </c>
      <c r="D43" s="6" t="s">
        <v>27</v>
      </c>
      <c r="E43" s="5" t="n">
        <v>9</v>
      </c>
      <c r="F43" s="9" t="s">
        <v>1380</v>
      </c>
      <c r="G43" s="94" t="s">
        <v>2252</v>
      </c>
      <c r="H43" s="15"/>
    </row>
    <row r="44" customFormat="false" ht="18" hidden="false" customHeight="true" outlineLevel="0" collapsed="false">
      <c r="A44" s="16" t="n">
        <v>42</v>
      </c>
      <c r="B44" s="17" t="s">
        <v>1314</v>
      </c>
      <c r="C44" s="22" t="s">
        <v>2261</v>
      </c>
      <c r="D44" s="17" t="s">
        <v>27</v>
      </c>
      <c r="E44" s="16" t="n">
        <v>9</v>
      </c>
      <c r="F44" s="20" t="s">
        <v>1386</v>
      </c>
      <c r="G44" s="94" t="s">
        <v>2252</v>
      </c>
      <c r="H44" s="25"/>
    </row>
    <row r="45" customFormat="false" ht="18" hidden="false" customHeight="true" outlineLevel="0" collapsed="false">
      <c r="A45" s="5" t="n">
        <v>43</v>
      </c>
      <c r="B45" s="6" t="s">
        <v>1314</v>
      </c>
      <c r="C45" s="11" t="s">
        <v>2262</v>
      </c>
      <c r="D45" s="6" t="s">
        <v>27</v>
      </c>
      <c r="E45" s="5" t="n">
        <v>9</v>
      </c>
      <c r="F45" s="9" t="s">
        <v>1386</v>
      </c>
      <c r="G45" s="94" t="s">
        <v>2252</v>
      </c>
      <c r="H45" s="15"/>
    </row>
    <row r="46" customFormat="false" ht="18" hidden="false" customHeight="true" outlineLevel="0" collapsed="false">
      <c r="A46" s="16" t="n">
        <v>44</v>
      </c>
      <c r="B46" s="17" t="s">
        <v>1314</v>
      </c>
      <c r="C46" s="22" t="s">
        <v>1416</v>
      </c>
      <c r="D46" s="17" t="s">
        <v>27</v>
      </c>
      <c r="E46" s="16" t="n">
        <v>9</v>
      </c>
      <c r="F46" s="20" t="s">
        <v>1417</v>
      </c>
      <c r="G46" s="94" t="s">
        <v>2252</v>
      </c>
      <c r="H46" s="25"/>
    </row>
    <row r="47" customFormat="false" ht="18" hidden="false" customHeight="true" outlineLevel="0" collapsed="false">
      <c r="A47" s="5" t="n">
        <v>45</v>
      </c>
      <c r="B47" s="6" t="s">
        <v>1154</v>
      </c>
      <c r="C47" s="40"/>
      <c r="D47" s="6" t="s">
        <v>27</v>
      </c>
      <c r="E47" s="5" t="n">
        <v>9</v>
      </c>
      <c r="F47" s="9" t="s">
        <v>1155</v>
      </c>
      <c r="G47" s="94" t="s">
        <v>2252</v>
      </c>
      <c r="H47" s="15"/>
    </row>
    <row r="48" customFormat="false" ht="18" hidden="false" customHeight="true" outlineLevel="0" collapsed="false">
      <c r="A48" s="16" t="n">
        <v>46</v>
      </c>
      <c r="B48" s="17" t="s">
        <v>1154</v>
      </c>
      <c r="C48" s="22" t="s">
        <v>1157</v>
      </c>
      <c r="D48" s="17" t="s">
        <v>27</v>
      </c>
      <c r="E48" s="16" t="n">
        <v>9</v>
      </c>
      <c r="F48" s="20" t="s">
        <v>1158</v>
      </c>
      <c r="G48" s="94" t="s">
        <v>2252</v>
      </c>
      <c r="H48" s="25"/>
    </row>
    <row r="49" customFormat="false" ht="18" hidden="false" customHeight="true" outlineLevel="0" collapsed="false">
      <c r="A49" s="5" t="n">
        <v>47</v>
      </c>
      <c r="B49" s="6" t="s">
        <v>1154</v>
      </c>
      <c r="C49" s="11" t="s">
        <v>2263</v>
      </c>
      <c r="D49" s="6" t="s">
        <v>27</v>
      </c>
      <c r="E49" s="5" t="n">
        <v>9</v>
      </c>
      <c r="F49" s="9" t="s">
        <v>1197</v>
      </c>
      <c r="G49" s="94" t="s">
        <v>2252</v>
      </c>
      <c r="H49" s="15"/>
    </row>
    <row r="50" customFormat="false" ht="18" hidden="false" customHeight="true" outlineLevel="0" collapsed="false">
      <c r="A50" s="16" t="n">
        <v>48</v>
      </c>
      <c r="B50" s="17" t="s">
        <v>1154</v>
      </c>
      <c r="C50" s="22" t="s">
        <v>1213</v>
      </c>
      <c r="D50" s="17" t="s">
        <v>27</v>
      </c>
      <c r="E50" s="16" t="n">
        <v>9</v>
      </c>
      <c r="F50" s="20" t="s">
        <v>1211</v>
      </c>
      <c r="G50" s="94" t="s">
        <v>2252</v>
      </c>
      <c r="H50" s="25"/>
    </row>
    <row r="51" customFormat="false" ht="18" hidden="false" customHeight="true" outlineLevel="0" collapsed="false">
      <c r="A51" s="5" t="n">
        <v>49</v>
      </c>
      <c r="B51" s="6" t="s">
        <v>1154</v>
      </c>
      <c r="C51" s="11" t="s">
        <v>1214</v>
      </c>
      <c r="D51" s="6" t="s">
        <v>27</v>
      </c>
      <c r="E51" s="5" t="n">
        <v>9</v>
      </c>
      <c r="F51" s="9" t="s">
        <v>1215</v>
      </c>
      <c r="G51" s="94" t="s">
        <v>2252</v>
      </c>
      <c r="H51" s="15"/>
    </row>
    <row r="52" customFormat="false" ht="18" hidden="false" customHeight="true" outlineLevel="0" collapsed="false">
      <c r="A52" s="16" t="n">
        <v>50</v>
      </c>
      <c r="B52" s="17" t="s">
        <v>1154</v>
      </c>
      <c r="C52" s="22" t="s">
        <v>2264</v>
      </c>
      <c r="D52" s="17" t="s">
        <v>27</v>
      </c>
      <c r="E52" s="16" t="n">
        <v>9</v>
      </c>
      <c r="F52" s="20" t="s">
        <v>1230</v>
      </c>
      <c r="G52" s="94" t="s">
        <v>2252</v>
      </c>
      <c r="H52" s="25"/>
    </row>
    <row r="53" customFormat="false" ht="18" hidden="false" customHeight="true" outlineLevel="0" collapsed="false">
      <c r="A53" s="5" t="n">
        <v>51</v>
      </c>
      <c r="B53" s="6" t="s">
        <v>1154</v>
      </c>
      <c r="C53" s="11" t="s">
        <v>2265</v>
      </c>
      <c r="D53" s="6" t="s">
        <v>27</v>
      </c>
      <c r="E53" s="5" t="n">
        <v>9</v>
      </c>
      <c r="F53" s="9" t="s">
        <v>1236</v>
      </c>
      <c r="G53" s="94" t="s">
        <v>2252</v>
      </c>
      <c r="H53" s="15"/>
    </row>
    <row r="54" customFormat="false" ht="18" hidden="false" customHeight="true" outlineLevel="0" collapsed="false">
      <c r="A54" s="16" t="n">
        <v>52</v>
      </c>
      <c r="B54" s="17" t="s">
        <v>1154</v>
      </c>
      <c r="C54" s="22" t="s">
        <v>2266</v>
      </c>
      <c r="D54" s="17" t="s">
        <v>27</v>
      </c>
      <c r="E54" s="16" t="n">
        <v>9</v>
      </c>
      <c r="F54" s="20" t="s">
        <v>1239</v>
      </c>
      <c r="G54" s="94" t="s">
        <v>2252</v>
      </c>
      <c r="H54" s="25"/>
    </row>
    <row r="55" customFormat="false" ht="18" hidden="false" customHeight="true" outlineLevel="0" collapsed="false">
      <c r="A55" s="5" t="n">
        <v>53</v>
      </c>
      <c r="B55" s="6" t="s">
        <v>1154</v>
      </c>
      <c r="C55" s="11" t="s">
        <v>2267</v>
      </c>
      <c r="D55" s="6" t="s">
        <v>27</v>
      </c>
      <c r="E55" s="5" t="n">
        <v>9</v>
      </c>
      <c r="F55" s="9" t="s">
        <v>1247</v>
      </c>
      <c r="G55" s="94" t="s">
        <v>2252</v>
      </c>
      <c r="H55" s="15"/>
    </row>
    <row r="56" customFormat="false" ht="18" hidden="false" customHeight="true" outlineLevel="0" collapsed="false">
      <c r="A56" s="16" t="n">
        <v>54</v>
      </c>
      <c r="B56" s="17" t="s">
        <v>1154</v>
      </c>
      <c r="C56" s="22" t="s">
        <v>2268</v>
      </c>
      <c r="D56" s="17" t="s">
        <v>27</v>
      </c>
      <c r="E56" s="16" t="n">
        <v>9</v>
      </c>
      <c r="F56" s="20" t="s">
        <v>1261</v>
      </c>
      <c r="G56" s="94" t="s">
        <v>2252</v>
      </c>
      <c r="H56" s="25"/>
    </row>
    <row r="57" customFormat="false" ht="18" hidden="false" customHeight="true" outlineLevel="0" collapsed="false">
      <c r="A57" s="5" t="n">
        <v>55</v>
      </c>
      <c r="B57" s="6" t="s">
        <v>1154</v>
      </c>
      <c r="C57" s="11" t="s">
        <v>2269</v>
      </c>
      <c r="D57" s="6" t="s">
        <v>27</v>
      </c>
      <c r="E57" s="5" t="n">
        <v>9</v>
      </c>
      <c r="F57" s="9" t="s">
        <v>1268</v>
      </c>
      <c r="G57" s="94" t="s">
        <v>2252</v>
      </c>
      <c r="H57" s="15"/>
    </row>
    <row r="58" customFormat="false" ht="18" hidden="false" customHeight="true" outlineLevel="0" collapsed="false">
      <c r="A58" s="16" t="n">
        <v>56</v>
      </c>
      <c r="B58" s="17" t="s">
        <v>1154</v>
      </c>
      <c r="C58" s="22" t="s">
        <v>2270</v>
      </c>
      <c r="D58" s="17" t="s">
        <v>27</v>
      </c>
      <c r="E58" s="16" t="n">
        <v>9</v>
      </c>
      <c r="F58" s="20" t="s">
        <v>1274</v>
      </c>
      <c r="G58" s="94" t="s">
        <v>2252</v>
      </c>
      <c r="H58" s="25"/>
    </row>
    <row r="59" customFormat="false" ht="18" hidden="false" customHeight="true" outlineLevel="0" collapsed="false">
      <c r="A59" s="5" t="n">
        <v>57</v>
      </c>
      <c r="B59" s="6" t="s">
        <v>1154</v>
      </c>
      <c r="C59" s="11" t="s">
        <v>2271</v>
      </c>
      <c r="D59" s="6" t="s">
        <v>27</v>
      </c>
      <c r="E59" s="5" t="n">
        <v>9</v>
      </c>
      <c r="F59" s="9" t="s">
        <v>1289</v>
      </c>
      <c r="G59" s="94" t="s">
        <v>2252</v>
      </c>
      <c r="H59" s="15"/>
    </row>
    <row r="60" customFormat="false" ht="18" hidden="false" customHeight="true" outlineLevel="0" collapsed="false">
      <c r="A60" s="16" t="n">
        <v>58</v>
      </c>
      <c r="B60" s="17" t="s">
        <v>1154</v>
      </c>
      <c r="C60" s="22" t="s">
        <v>2272</v>
      </c>
      <c r="D60" s="17" t="s">
        <v>27</v>
      </c>
      <c r="E60" s="16" t="n">
        <v>9</v>
      </c>
      <c r="F60" s="20" t="s">
        <v>1294</v>
      </c>
      <c r="G60" s="94" t="s">
        <v>2252</v>
      </c>
      <c r="H60" s="25"/>
    </row>
    <row r="61" customFormat="false" ht="18" hidden="false" customHeight="true" outlineLevel="0" collapsed="false">
      <c r="A61" s="5" t="n">
        <v>59</v>
      </c>
      <c r="B61" s="6" t="s">
        <v>1154</v>
      </c>
      <c r="C61" s="11" t="s">
        <v>1302</v>
      </c>
      <c r="D61" s="6" t="s">
        <v>27</v>
      </c>
      <c r="E61" s="5" t="n">
        <v>9</v>
      </c>
      <c r="F61" s="9" t="s">
        <v>1303</v>
      </c>
      <c r="G61" s="94" t="s">
        <v>2252</v>
      </c>
      <c r="H61" s="15"/>
    </row>
    <row r="62" customFormat="false" ht="18" hidden="false" customHeight="true" outlineLevel="0" collapsed="false">
      <c r="A62" s="16" t="n">
        <v>60</v>
      </c>
      <c r="B62" s="17" t="s">
        <v>1142</v>
      </c>
      <c r="C62" s="22" t="s">
        <v>1143</v>
      </c>
      <c r="D62" s="17" t="s">
        <v>27</v>
      </c>
      <c r="E62" s="16" t="n">
        <v>9</v>
      </c>
      <c r="F62" s="20" t="s">
        <v>1144</v>
      </c>
      <c r="G62" s="94" t="s">
        <v>2252</v>
      </c>
      <c r="H62" s="25"/>
    </row>
    <row r="63" customFormat="false" ht="18" hidden="false" customHeight="true" outlineLevel="0" collapsed="false">
      <c r="A63" s="5" t="n">
        <v>61</v>
      </c>
      <c r="B63" s="6" t="s">
        <v>1142</v>
      </c>
      <c r="C63" s="11" t="s">
        <v>1149</v>
      </c>
      <c r="D63" s="6" t="s">
        <v>27</v>
      </c>
      <c r="E63" s="5" t="n">
        <v>9</v>
      </c>
      <c r="F63" s="9" t="s">
        <v>1150</v>
      </c>
      <c r="G63" s="94" t="s">
        <v>2252</v>
      </c>
      <c r="H63" s="15"/>
    </row>
    <row r="64" customFormat="false" ht="18" hidden="false" customHeight="true" outlineLevel="0" collapsed="false">
      <c r="A64" s="16" t="n">
        <v>62</v>
      </c>
      <c r="B64" s="17" t="s">
        <v>1481</v>
      </c>
      <c r="C64" s="22" t="s">
        <v>1482</v>
      </c>
      <c r="D64" s="17" t="s">
        <v>27</v>
      </c>
      <c r="E64" s="16" t="n">
        <v>9</v>
      </c>
      <c r="F64" s="20" t="s">
        <v>1483</v>
      </c>
      <c r="G64" s="94" t="s">
        <v>2252</v>
      </c>
      <c r="H64" s="25"/>
    </row>
    <row r="65" customFormat="false" ht="18" hidden="false" customHeight="true" outlineLevel="0" collapsed="false">
      <c r="A65" s="5" t="n">
        <v>63</v>
      </c>
      <c r="B65" s="6" t="s">
        <v>926</v>
      </c>
      <c r="C65" s="11" t="s">
        <v>2273</v>
      </c>
      <c r="D65" s="6" t="s">
        <v>27</v>
      </c>
      <c r="E65" s="5" t="n">
        <v>9</v>
      </c>
      <c r="F65" s="9" t="s">
        <v>928</v>
      </c>
      <c r="G65" s="94" t="s">
        <v>2252</v>
      </c>
      <c r="H65" s="15"/>
    </row>
    <row r="66" customFormat="false" ht="18" hidden="false" customHeight="true" outlineLevel="0" collapsed="false">
      <c r="A66" s="16" t="n">
        <v>64</v>
      </c>
      <c r="B66" s="17" t="s">
        <v>926</v>
      </c>
      <c r="C66" s="22" t="s">
        <v>930</v>
      </c>
      <c r="D66" s="17" t="s">
        <v>27</v>
      </c>
      <c r="E66" s="16" t="n">
        <v>9</v>
      </c>
      <c r="F66" s="20" t="s">
        <v>931</v>
      </c>
      <c r="G66" s="94" t="s">
        <v>2252</v>
      </c>
      <c r="H66" s="25"/>
    </row>
    <row r="67" customFormat="false" ht="18" hidden="false" customHeight="true" outlineLevel="0" collapsed="false">
      <c r="A67" s="5" t="n">
        <v>65</v>
      </c>
      <c r="B67" s="6" t="s">
        <v>1440</v>
      </c>
      <c r="C67" s="11" t="s">
        <v>1441</v>
      </c>
      <c r="D67" s="6" t="s">
        <v>27</v>
      </c>
      <c r="E67" s="5" t="n">
        <v>9</v>
      </c>
      <c r="F67" s="9" t="s">
        <v>1442</v>
      </c>
      <c r="G67" s="94" t="s">
        <v>2252</v>
      </c>
      <c r="H67" s="15"/>
    </row>
    <row r="68" customFormat="false" ht="18" hidden="false" customHeight="true" outlineLevel="0" collapsed="false">
      <c r="A68" s="16" t="n">
        <v>66</v>
      </c>
      <c r="B68" s="17" t="s">
        <v>1440</v>
      </c>
      <c r="C68" s="22" t="s">
        <v>1465</v>
      </c>
      <c r="D68" s="17" t="s">
        <v>27</v>
      </c>
      <c r="E68" s="16" t="n">
        <v>9</v>
      </c>
      <c r="F68" s="20" t="s">
        <v>1466</v>
      </c>
      <c r="G68" s="94" t="s">
        <v>2252</v>
      </c>
      <c r="H68" s="25"/>
    </row>
    <row r="69" customFormat="false" ht="18" hidden="false" customHeight="true" outlineLevel="0" collapsed="false">
      <c r="A69" s="5" t="n">
        <v>67</v>
      </c>
      <c r="B69" s="6" t="s">
        <v>1440</v>
      </c>
      <c r="C69" s="11" t="s">
        <v>1468</v>
      </c>
      <c r="D69" s="6" t="s">
        <v>27</v>
      </c>
      <c r="E69" s="5" t="n">
        <v>9</v>
      </c>
      <c r="F69" s="9" t="s">
        <v>1469</v>
      </c>
      <c r="G69" s="94" t="s">
        <v>2252</v>
      </c>
      <c r="H69" s="15"/>
    </row>
    <row r="70" customFormat="false" ht="18" hidden="false" customHeight="true" outlineLevel="0" collapsed="false">
      <c r="A70" s="16" t="n">
        <v>68</v>
      </c>
      <c r="B70" s="17" t="s">
        <v>1490</v>
      </c>
      <c r="C70" s="22" t="s">
        <v>1500</v>
      </c>
      <c r="D70" s="17" t="s">
        <v>27</v>
      </c>
      <c r="E70" s="16" t="n">
        <v>9</v>
      </c>
      <c r="F70" s="20" t="s">
        <v>1501</v>
      </c>
      <c r="G70" s="94" t="s">
        <v>2252</v>
      </c>
      <c r="H70" s="25"/>
    </row>
    <row r="71" customFormat="false" ht="18" hidden="false" customHeight="true" outlineLevel="0" collapsed="false">
      <c r="A71" s="5" t="n">
        <v>69</v>
      </c>
      <c r="B71" s="6" t="s">
        <v>504</v>
      </c>
      <c r="C71" s="11" t="s">
        <v>510</v>
      </c>
      <c r="D71" s="6" t="s">
        <v>27</v>
      </c>
      <c r="E71" s="5" t="n">
        <v>9</v>
      </c>
      <c r="F71" s="9" t="s">
        <v>511</v>
      </c>
      <c r="G71" s="94" t="s">
        <v>2252</v>
      </c>
      <c r="H71" s="15"/>
    </row>
    <row r="72" customFormat="false" ht="18" hidden="false" customHeight="true" outlineLevel="0" collapsed="false">
      <c r="A72" s="16" t="n">
        <v>70</v>
      </c>
      <c r="B72" s="17" t="s">
        <v>1023</v>
      </c>
      <c r="C72" s="22" t="s">
        <v>2274</v>
      </c>
      <c r="D72" s="17" t="s">
        <v>27</v>
      </c>
      <c r="E72" s="16" t="n">
        <v>9</v>
      </c>
      <c r="F72" s="20" t="s">
        <v>1039</v>
      </c>
      <c r="G72" s="94" t="s">
        <v>2252</v>
      </c>
      <c r="H72" s="25"/>
    </row>
    <row r="73" customFormat="false" ht="18" hidden="false" customHeight="true" outlineLevel="0" collapsed="false">
      <c r="A73" s="5" t="n">
        <v>71</v>
      </c>
      <c r="B73" s="6" t="s">
        <v>1023</v>
      </c>
      <c r="C73" s="11" t="s">
        <v>2275</v>
      </c>
      <c r="D73" s="6" t="s">
        <v>27</v>
      </c>
      <c r="E73" s="5" t="n">
        <v>9</v>
      </c>
      <c r="F73" s="9" t="s">
        <v>1042</v>
      </c>
      <c r="G73" s="94" t="s">
        <v>2252</v>
      </c>
      <c r="H73" s="15"/>
    </row>
    <row r="74" customFormat="false" ht="18" hidden="false" customHeight="true" outlineLevel="0" collapsed="false">
      <c r="A74" s="16" t="n">
        <v>72</v>
      </c>
      <c r="B74" s="17" t="s">
        <v>1023</v>
      </c>
      <c r="C74" s="22" t="s">
        <v>2276</v>
      </c>
      <c r="D74" s="17" t="s">
        <v>27</v>
      </c>
      <c r="E74" s="16" t="n">
        <v>9</v>
      </c>
      <c r="F74" s="20" t="s">
        <v>1060</v>
      </c>
      <c r="G74" s="94" t="s">
        <v>2252</v>
      </c>
      <c r="H74" s="25"/>
    </row>
    <row r="75" customFormat="false" ht="18" hidden="false" customHeight="true" outlineLevel="0" collapsed="false">
      <c r="A75" s="5" t="n">
        <v>73</v>
      </c>
      <c r="B75" s="6" t="s">
        <v>1023</v>
      </c>
      <c r="C75" s="11" t="s">
        <v>2277</v>
      </c>
      <c r="D75" s="6" t="s">
        <v>27</v>
      </c>
      <c r="E75" s="5" t="n">
        <v>9</v>
      </c>
      <c r="F75" s="9" t="s">
        <v>1066</v>
      </c>
      <c r="G75" s="94" t="s">
        <v>2252</v>
      </c>
      <c r="H75" s="15"/>
    </row>
    <row r="76" customFormat="false" ht="18" hidden="false" customHeight="true" outlineLevel="0" collapsed="false">
      <c r="A76" s="16" t="n">
        <v>74</v>
      </c>
      <c r="B76" s="17" t="s">
        <v>1023</v>
      </c>
      <c r="C76" s="22" t="s">
        <v>2278</v>
      </c>
      <c r="D76" s="17" t="s">
        <v>27</v>
      </c>
      <c r="E76" s="16" t="n">
        <v>9</v>
      </c>
      <c r="F76" s="20" t="s">
        <v>1077</v>
      </c>
      <c r="G76" s="94" t="s">
        <v>2252</v>
      </c>
      <c r="H76" s="25"/>
    </row>
    <row r="77" customFormat="false" ht="18" hidden="false" customHeight="true" outlineLevel="0" collapsed="false">
      <c r="A77" s="5" t="n">
        <v>75</v>
      </c>
      <c r="B77" s="6" t="s">
        <v>1023</v>
      </c>
      <c r="C77" s="11" t="s">
        <v>1089</v>
      </c>
      <c r="D77" s="6" t="s">
        <v>27</v>
      </c>
      <c r="E77" s="5" t="n">
        <v>9</v>
      </c>
      <c r="F77" s="9" t="s">
        <v>1090</v>
      </c>
      <c r="G77" s="94" t="s">
        <v>2252</v>
      </c>
      <c r="H77" s="15"/>
    </row>
    <row r="78" customFormat="false" ht="18" hidden="false" customHeight="true" outlineLevel="0" collapsed="false">
      <c r="A78" s="16" t="n">
        <v>76</v>
      </c>
      <c r="B78" s="17" t="s">
        <v>1023</v>
      </c>
      <c r="C78" s="22" t="s">
        <v>1095</v>
      </c>
      <c r="D78" s="17" t="s">
        <v>27</v>
      </c>
      <c r="E78" s="16" t="n">
        <v>9</v>
      </c>
      <c r="F78" s="20" t="s">
        <v>1096</v>
      </c>
      <c r="G78" s="94" t="s">
        <v>2252</v>
      </c>
      <c r="H78" s="25"/>
    </row>
    <row r="79" customFormat="false" ht="18" hidden="false" customHeight="true" outlineLevel="0" collapsed="false">
      <c r="A79" s="5" t="n">
        <v>77</v>
      </c>
      <c r="B79" s="6" t="s">
        <v>1023</v>
      </c>
      <c r="C79" s="11" t="s">
        <v>2279</v>
      </c>
      <c r="D79" s="6" t="s">
        <v>27</v>
      </c>
      <c r="E79" s="5" t="n">
        <v>9</v>
      </c>
      <c r="F79" s="9" t="s">
        <v>1099</v>
      </c>
      <c r="G79" s="94" t="s">
        <v>2252</v>
      </c>
      <c r="H79" s="15"/>
    </row>
    <row r="80" customFormat="false" ht="18" hidden="false" customHeight="true" outlineLevel="0" collapsed="false">
      <c r="A80" s="16" t="n">
        <v>78</v>
      </c>
      <c r="B80" s="17" t="s">
        <v>1023</v>
      </c>
      <c r="C80" s="22" t="s">
        <v>2280</v>
      </c>
      <c r="D80" s="17" t="s">
        <v>27</v>
      </c>
      <c r="E80" s="16" t="n">
        <v>9</v>
      </c>
      <c r="F80" s="20" t="s">
        <v>1105</v>
      </c>
      <c r="G80" s="94" t="s">
        <v>2252</v>
      </c>
      <c r="H80" s="25"/>
    </row>
    <row r="81" customFormat="false" ht="18" hidden="false" customHeight="true" outlineLevel="0" collapsed="false">
      <c r="A81" s="5" t="n">
        <v>79</v>
      </c>
      <c r="B81" s="6" t="s">
        <v>1023</v>
      </c>
      <c r="C81" s="11" t="s">
        <v>2281</v>
      </c>
      <c r="D81" s="6" t="s">
        <v>27</v>
      </c>
      <c r="E81" s="5" t="n">
        <v>9</v>
      </c>
      <c r="F81" s="9" t="s">
        <v>1108</v>
      </c>
      <c r="G81" s="94" t="s">
        <v>2252</v>
      </c>
      <c r="H81" s="15"/>
    </row>
    <row r="82" customFormat="false" ht="18" hidden="false" customHeight="true" outlineLevel="0" collapsed="false">
      <c r="A82" s="16" t="n">
        <v>80</v>
      </c>
      <c r="B82" s="17" t="s">
        <v>1023</v>
      </c>
      <c r="C82" s="22" t="s">
        <v>2282</v>
      </c>
      <c r="D82" s="17" t="s">
        <v>27</v>
      </c>
      <c r="E82" s="16" t="n">
        <v>9</v>
      </c>
      <c r="F82" s="20" t="s">
        <v>1111</v>
      </c>
      <c r="G82" s="94" t="s">
        <v>2252</v>
      </c>
      <c r="H82" s="25"/>
    </row>
    <row r="83" customFormat="false" ht="18" hidden="false" customHeight="true" outlineLevel="0" collapsed="false">
      <c r="A83" s="5" t="n">
        <v>81</v>
      </c>
      <c r="B83" s="6" t="s">
        <v>1023</v>
      </c>
      <c r="C83" s="11" t="s">
        <v>2283</v>
      </c>
      <c r="D83" s="6" t="s">
        <v>27</v>
      </c>
      <c r="E83" s="5" t="n">
        <v>9</v>
      </c>
      <c r="F83" s="9" t="s">
        <v>1131</v>
      </c>
      <c r="G83" s="94" t="s">
        <v>2252</v>
      </c>
      <c r="H83" s="15"/>
    </row>
    <row r="84" customFormat="false" ht="18" hidden="false" customHeight="true" outlineLevel="0" collapsed="false">
      <c r="A84" s="16" t="n">
        <v>82</v>
      </c>
      <c r="B84" s="17" t="s">
        <v>950</v>
      </c>
      <c r="C84" s="30" t="s">
        <v>954</v>
      </c>
      <c r="D84" s="17" t="s">
        <v>27</v>
      </c>
      <c r="E84" s="16" t="n">
        <v>9</v>
      </c>
      <c r="F84" s="20" t="s">
        <v>955</v>
      </c>
      <c r="G84" s="94" t="s">
        <v>2252</v>
      </c>
      <c r="H84" s="25"/>
    </row>
    <row r="85" customFormat="false" ht="18" hidden="false" customHeight="true" outlineLevel="0" collapsed="false">
      <c r="A85" s="5" t="n">
        <v>83</v>
      </c>
      <c r="B85" s="6" t="s">
        <v>950</v>
      </c>
      <c r="C85" s="11" t="s">
        <v>980</v>
      </c>
      <c r="D85" s="6" t="s">
        <v>27</v>
      </c>
      <c r="E85" s="5" t="n">
        <v>9</v>
      </c>
      <c r="F85" s="9" t="s">
        <v>981</v>
      </c>
      <c r="G85" s="94" t="s">
        <v>2252</v>
      </c>
      <c r="H85" s="15"/>
    </row>
    <row r="86" customFormat="false" ht="18" hidden="false" customHeight="true" outlineLevel="0" collapsed="false">
      <c r="A86" s="16" t="n">
        <v>84</v>
      </c>
      <c r="B86" s="17" t="s">
        <v>950</v>
      </c>
      <c r="C86" s="22" t="s">
        <v>983</v>
      </c>
      <c r="D86" s="17" t="s">
        <v>27</v>
      </c>
      <c r="E86" s="16" t="n">
        <v>9</v>
      </c>
      <c r="F86" s="20" t="s">
        <v>984</v>
      </c>
      <c r="G86" s="94" t="s">
        <v>2252</v>
      </c>
      <c r="H86" s="25"/>
    </row>
    <row r="87" customFormat="false" ht="18" hidden="false" customHeight="true" outlineLevel="0" collapsed="false">
      <c r="A87" s="5" t="n">
        <v>85</v>
      </c>
      <c r="B87" s="6" t="s">
        <v>950</v>
      </c>
      <c r="C87" s="11" t="s">
        <v>2284</v>
      </c>
      <c r="D87" s="6" t="s">
        <v>27</v>
      </c>
      <c r="E87" s="5" t="n">
        <v>9</v>
      </c>
      <c r="F87" s="9" t="s">
        <v>998</v>
      </c>
      <c r="G87" s="94" t="s">
        <v>2252</v>
      </c>
      <c r="H87" s="15"/>
    </row>
    <row r="88" customFormat="false" ht="18" hidden="false" customHeight="true" outlineLevel="0" collapsed="false">
      <c r="A88" s="16" t="n">
        <v>86</v>
      </c>
      <c r="B88" s="17" t="s">
        <v>950</v>
      </c>
      <c r="C88" s="22" t="s">
        <v>2285</v>
      </c>
      <c r="D88" s="17" t="s">
        <v>27</v>
      </c>
      <c r="E88" s="16" t="n">
        <v>10</v>
      </c>
      <c r="F88" s="20" t="s">
        <v>1001</v>
      </c>
      <c r="G88" s="94" t="s">
        <v>2252</v>
      </c>
      <c r="H88" s="25"/>
    </row>
    <row r="89" customFormat="false" ht="18" hidden="false" customHeight="true" outlineLevel="0" collapsed="false">
      <c r="A89" s="5" t="n">
        <v>87</v>
      </c>
      <c r="B89" s="6" t="s">
        <v>950</v>
      </c>
      <c r="C89" s="11" t="s">
        <v>1014</v>
      </c>
      <c r="D89" s="6" t="s">
        <v>27</v>
      </c>
      <c r="E89" s="5" t="n">
        <v>9</v>
      </c>
      <c r="F89" s="9" t="s">
        <v>1015</v>
      </c>
      <c r="G89" s="94" t="s">
        <v>2252</v>
      </c>
      <c r="H89" s="15"/>
    </row>
    <row r="90" customFormat="false" ht="18" hidden="false" customHeight="true" outlineLevel="0" collapsed="false">
      <c r="A90" s="16" t="n">
        <v>88</v>
      </c>
      <c r="B90" s="17" t="s">
        <v>950</v>
      </c>
      <c r="C90" s="22" t="s">
        <v>1017</v>
      </c>
      <c r="D90" s="17" t="s">
        <v>27</v>
      </c>
      <c r="E90" s="16" t="n">
        <v>9</v>
      </c>
      <c r="F90" s="20" t="s">
        <v>1018</v>
      </c>
      <c r="G90" s="94" t="s">
        <v>2252</v>
      </c>
      <c r="H90" s="25"/>
    </row>
    <row r="91" customFormat="false" ht="18" hidden="false" customHeight="true" outlineLevel="0" collapsed="false">
      <c r="A91" s="5" t="n">
        <v>89</v>
      </c>
      <c r="B91" s="6" t="s">
        <v>1506</v>
      </c>
      <c r="C91" s="11" t="s">
        <v>2286</v>
      </c>
      <c r="D91" s="6" t="s">
        <v>27</v>
      </c>
      <c r="E91" s="5" t="n">
        <v>9</v>
      </c>
      <c r="F91" s="9" t="s">
        <v>1581</v>
      </c>
      <c r="G91" s="94" t="s">
        <v>2252</v>
      </c>
      <c r="H91" s="15"/>
    </row>
    <row r="92" customFormat="false" ht="18" hidden="false" customHeight="true" outlineLevel="0" collapsed="false">
      <c r="A92" s="16" t="n">
        <v>90</v>
      </c>
      <c r="B92" s="17" t="s">
        <v>1506</v>
      </c>
      <c r="C92" s="22" t="s">
        <v>2287</v>
      </c>
      <c r="D92" s="17" t="s">
        <v>27</v>
      </c>
      <c r="E92" s="16" t="n">
        <v>9</v>
      </c>
      <c r="F92" s="20" t="s">
        <v>1610</v>
      </c>
      <c r="G92" s="94" t="s">
        <v>2252</v>
      </c>
      <c r="H92" s="25"/>
    </row>
    <row r="93" customFormat="false" ht="18" hidden="false" customHeight="true" outlineLevel="0" collapsed="false">
      <c r="A93" s="5" t="n">
        <v>91</v>
      </c>
      <c r="B93" s="6" t="s">
        <v>732</v>
      </c>
      <c r="C93" s="11" t="s">
        <v>736</v>
      </c>
      <c r="D93" s="6" t="s">
        <v>27</v>
      </c>
      <c r="E93" s="5" t="n">
        <v>9</v>
      </c>
      <c r="F93" s="9" t="s">
        <v>737</v>
      </c>
      <c r="G93" s="94" t="s">
        <v>2252</v>
      </c>
      <c r="H93" s="15"/>
    </row>
    <row r="94" customFormat="false" ht="18" hidden="false" customHeight="true" outlineLevel="0" collapsed="false">
      <c r="A94" s="16" t="n">
        <v>92</v>
      </c>
      <c r="B94" s="17" t="s">
        <v>732</v>
      </c>
      <c r="C94" s="22" t="s">
        <v>2288</v>
      </c>
      <c r="D94" s="17" t="s">
        <v>27</v>
      </c>
      <c r="E94" s="16" t="n">
        <v>9</v>
      </c>
      <c r="F94" s="20" t="s">
        <v>739</v>
      </c>
      <c r="G94" s="94" t="s">
        <v>2252</v>
      </c>
      <c r="H94" s="25"/>
    </row>
    <row r="95" customFormat="false" ht="18" hidden="false" customHeight="true" outlineLevel="0" collapsed="false">
      <c r="A95" s="5" t="n">
        <v>93</v>
      </c>
      <c r="B95" s="6" t="s">
        <v>732</v>
      </c>
      <c r="C95" s="11" t="s">
        <v>751</v>
      </c>
      <c r="D95" s="6" t="s">
        <v>27</v>
      </c>
      <c r="E95" s="5" t="n">
        <v>9</v>
      </c>
      <c r="F95" s="9" t="s">
        <v>752</v>
      </c>
      <c r="G95" s="94" t="s">
        <v>2252</v>
      </c>
      <c r="H95" s="15"/>
    </row>
    <row r="96" customFormat="false" ht="18" hidden="false" customHeight="true" outlineLevel="0" collapsed="false">
      <c r="A96" s="16" t="n">
        <v>94</v>
      </c>
      <c r="B96" s="17" t="s">
        <v>732</v>
      </c>
      <c r="C96" s="22" t="s">
        <v>2289</v>
      </c>
      <c r="D96" s="17" t="s">
        <v>27</v>
      </c>
      <c r="E96" s="16" t="n">
        <v>9</v>
      </c>
      <c r="F96" s="20" t="s">
        <v>765</v>
      </c>
      <c r="G96" s="94" t="s">
        <v>2252</v>
      </c>
      <c r="H96" s="25"/>
    </row>
    <row r="97" customFormat="false" ht="18" hidden="false" customHeight="true" outlineLevel="0" collapsed="false">
      <c r="A97" s="5" t="n">
        <v>95</v>
      </c>
      <c r="B97" s="6" t="s">
        <v>732</v>
      </c>
      <c r="C97" s="11" t="s">
        <v>783</v>
      </c>
      <c r="D97" s="6" t="s">
        <v>27</v>
      </c>
      <c r="E97" s="5" t="n">
        <v>9</v>
      </c>
      <c r="F97" s="9" t="s">
        <v>784</v>
      </c>
      <c r="G97" s="94" t="s">
        <v>2252</v>
      </c>
      <c r="H97" s="15"/>
    </row>
    <row r="98" customFormat="false" ht="18" hidden="false" customHeight="true" outlineLevel="0" collapsed="false">
      <c r="A98" s="16" t="n">
        <v>96</v>
      </c>
      <c r="B98" s="17" t="s">
        <v>732</v>
      </c>
      <c r="C98" s="22" t="s">
        <v>798</v>
      </c>
      <c r="D98" s="17" t="s">
        <v>27</v>
      </c>
      <c r="E98" s="16" t="n">
        <v>9</v>
      </c>
      <c r="F98" s="20" t="s">
        <v>799</v>
      </c>
      <c r="G98" s="94" t="s">
        <v>2252</v>
      </c>
      <c r="H98" s="25"/>
    </row>
    <row r="99" customFormat="false" ht="18" hidden="false" customHeight="true" outlineLevel="0" collapsed="false">
      <c r="A99" s="5" t="n">
        <v>97</v>
      </c>
      <c r="B99" s="6" t="s">
        <v>807</v>
      </c>
      <c r="C99" s="11" t="s">
        <v>811</v>
      </c>
      <c r="D99" s="6" t="s">
        <v>27</v>
      </c>
      <c r="E99" s="5" t="n">
        <v>9</v>
      </c>
      <c r="F99" s="9" t="s">
        <v>812</v>
      </c>
      <c r="G99" s="94" t="s">
        <v>2252</v>
      </c>
      <c r="H99" s="15"/>
    </row>
    <row r="100" customFormat="false" ht="18" hidden="false" customHeight="true" outlineLevel="0" collapsed="false">
      <c r="A100" s="16" t="n">
        <v>98</v>
      </c>
      <c r="B100" s="17" t="s">
        <v>807</v>
      </c>
      <c r="C100" s="22" t="s">
        <v>879</v>
      </c>
      <c r="D100" s="17" t="s">
        <v>27</v>
      </c>
      <c r="E100" s="16" t="n">
        <v>9</v>
      </c>
      <c r="F100" s="20" t="s">
        <v>880</v>
      </c>
      <c r="G100" s="94" t="s">
        <v>2252</v>
      </c>
      <c r="H100" s="25"/>
    </row>
    <row r="101" customFormat="false" ht="18" hidden="false" customHeight="true" outlineLevel="0" collapsed="false">
      <c r="A101" s="5" t="n">
        <v>99</v>
      </c>
      <c r="B101" s="6" t="s">
        <v>807</v>
      </c>
      <c r="C101" s="11" t="s">
        <v>885</v>
      </c>
      <c r="D101" s="6" t="s">
        <v>27</v>
      </c>
      <c r="E101" s="5" t="n">
        <v>9</v>
      </c>
      <c r="F101" s="9" t="s">
        <v>886</v>
      </c>
      <c r="G101" s="94" t="s">
        <v>2252</v>
      </c>
      <c r="H101" s="15"/>
    </row>
    <row r="102" customFormat="false" ht="18" hidden="false" customHeight="true" outlineLevel="0" collapsed="false">
      <c r="A102" s="16" t="n">
        <v>100</v>
      </c>
      <c r="B102" s="17" t="s">
        <v>807</v>
      </c>
      <c r="C102" s="22" t="s">
        <v>906</v>
      </c>
      <c r="D102" s="17" t="s">
        <v>27</v>
      </c>
      <c r="E102" s="16" t="n">
        <v>9</v>
      </c>
      <c r="F102" s="20" t="s">
        <v>911</v>
      </c>
      <c r="G102" s="94" t="s">
        <v>2252</v>
      </c>
      <c r="H102" s="25"/>
    </row>
    <row r="103" customFormat="false" ht="18" hidden="false" customHeight="true" outlineLevel="0" collapsed="false">
      <c r="A103" s="5" t="n">
        <v>101</v>
      </c>
      <c r="B103" s="6" t="s">
        <v>544</v>
      </c>
      <c r="C103" s="11" t="s">
        <v>548</v>
      </c>
      <c r="D103" s="6" t="s">
        <v>27</v>
      </c>
      <c r="E103" s="5" t="n">
        <v>18</v>
      </c>
      <c r="F103" s="9" t="s">
        <v>549</v>
      </c>
      <c r="G103" s="95" t="s">
        <v>2290</v>
      </c>
      <c r="H103" s="15"/>
    </row>
    <row r="104" customFormat="false" ht="18" hidden="false" customHeight="true" outlineLevel="0" collapsed="false">
      <c r="A104" s="16" t="n">
        <v>102</v>
      </c>
      <c r="B104" s="17" t="s">
        <v>544</v>
      </c>
      <c r="C104" s="22" t="s">
        <v>553</v>
      </c>
      <c r="D104" s="17" t="s">
        <v>27</v>
      </c>
      <c r="E104" s="16" t="n">
        <v>27</v>
      </c>
      <c r="F104" s="20" t="s">
        <v>554</v>
      </c>
      <c r="G104" s="95" t="s">
        <v>2290</v>
      </c>
      <c r="H104" s="25"/>
    </row>
    <row r="105" customFormat="false" ht="18" hidden="false" customHeight="true" outlineLevel="0" collapsed="false">
      <c r="A105" s="5" t="n">
        <v>103</v>
      </c>
      <c r="B105" s="6" t="s">
        <v>544</v>
      </c>
      <c r="C105" s="11" t="s">
        <v>564</v>
      </c>
      <c r="D105" s="6" t="s">
        <v>27</v>
      </c>
      <c r="E105" s="5" t="n">
        <v>18</v>
      </c>
      <c r="F105" s="9" t="s">
        <v>565</v>
      </c>
      <c r="G105" s="95" t="s">
        <v>2290</v>
      </c>
      <c r="H105" s="15"/>
    </row>
    <row r="106" customFormat="false" ht="18" hidden="false" customHeight="true" outlineLevel="0" collapsed="false">
      <c r="A106" s="16" t="n">
        <v>104</v>
      </c>
      <c r="B106" s="17" t="s">
        <v>544</v>
      </c>
      <c r="C106" s="22" t="s">
        <v>572</v>
      </c>
      <c r="D106" s="17" t="s">
        <v>27</v>
      </c>
      <c r="E106" s="16" t="n">
        <v>36</v>
      </c>
      <c r="F106" s="20" t="s">
        <v>573</v>
      </c>
      <c r="G106" s="95" t="s">
        <v>2290</v>
      </c>
      <c r="H106" s="25"/>
    </row>
    <row r="107" customFormat="false" ht="18" hidden="false" customHeight="true" outlineLevel="0" collapsed="false">
      <c r="A107" s="5" t="n">
        <v>105</v>
      </c>
      <c r="B107" s="6" t="s">
        <v>544</v>
      </c>
      <c r="C107" s="11" t="s">
        <v>577</v>
      </c>
      <c r="D107" s="6" t="s">
        <v>27</v>
      </c>
      <c r="E107" s="5" t="n">
        <v>27</v>
      </c>
      <c r="F107" s="9" t="s">
        <v>578</v>
      </c>
      <c r="G107" s="95" t="s">
        <v>2290</v>
      </c>
      <c r="H107" s="15"/>
    </row>
    <row r="108" customFormat="false" ht="18" hidden="false" customHeight="true" outlineLevel="0" collapsed="false">
      <c r="A108" s="16" t="n">
        <v>106</v>
      </c>
      <c r="B108" s="17" t="s">
        <v>544</v>
      </c>
      <c r="C108" s="22" t="s">
        <v>2291</v>
      </c>
      <c r="D108" s="17" t="s">
        <v>27</v>
      </c>
      <c r="E108" s="16" t="n">
        <v>18</v>
      </c>
      <c r="F108" s="20" t="s">
        <v>581</v>
      </c>
      <c r="G108" s="95" t="s">
        <v>2290</v>
      </c>
      <c r="H108" s="25"/>
    </row>
    <row r="109" customFormat="false" ht="18" hidden="false" customHeight="true" outlineLevel="0" collapsed="false">
      <c r="A109" s="5" t="n">
        <v>107</v>
      </c>
      <c r="B109" s="6" t="s">
        <v>544</v>
      </c>
      <c r="C109" s="11" t="s">
        <v>583</v>
      </c>
      <c r="D109" s="6" t="s">
        <v>27</v>
      </c>
      <c r="E109" s="5" t="n">
        <v>18</v>
      </c>
      <c r="F109" s="9" t="s">
        <v>584</v>
      </c>
      <c r="G109" s="95" t="s">
        <v>2290</v>
      </c>
      <c r="H109" s="15"/>
    </row>
    <row r="110" customFormat="false" ht="18" hidden="false" customHeight="true" outlineLevel="0" collapsed="false">
      <c r="A110" s="16" t="n">
        <v>108</v>
      </c>
      <c r="B110" s="17" t="s">
        <v>544</v>
      </c>
      <c r="C110" s="22" t="s">
        <v>586</v>
      </c>
      <c r="D110" s="17" t="s">
        <v>27</v>
      </c>
      <c r="E110" s="16" t="n">
        <v>18</v>
      </c>
      <c r="F110" s="20" t="s">
        <v>587</v>
      </c>
      <c r="G110" s="95" t="s">
        <v>2290</v>
      </c>
      <c r="H110" s="25"/>
    </row>
    <row r="111" customFormat="false" ht="18" hidden="false" customHeight="true" outlineLevel="0" collapsed="false">
      <c r="A111" s="5" t="n">
        <v>109</v>
      </c>
      <c r="B111" s="6" t="s">
        <v>544</v>
      </c>
      <c r="C111" s="11" t="s">
        <v>589</v>
      </c>
      <c r="D111" s="6" t="s">
        <v>27</v>
      </c>
      <c r="E111" s="5" t="n">
        <v>18</v>
      </c>
      <c r="F111" s="9" t="s">
        <v>590</v>
      </c>
      <c r="G111" s="95" t="s">
        <v>2290</v>
      </c>
      <c r="H111" s="15"/>
    </row>
    <row r="112" customFormat="false" ht="18" hidden="false" customHeight="true" outlineLevel="0" collapsed="false">
      <c r="A112" s="16" t="n">
        <v>110</v>
      </c>
      <c r="B112" s="17" t="s">
        <v>544</v>
      </c>
      <c r="C112" s="22" t="s">
        <v>592</v>
      </c>
      <c r="D112" s="17" t="s">
        <v>27</v>
      </c>
      <c r="E112" s="16" t="n">
        <v>18</v>
      </c>
      <c r="F112" s="20" t="s">
        <v>593</v>
      </c>
      <c r="G112" s="95" t="s">
        <v>2290</v>
      </c>
      <c r="H112" s="25"/>
    </row>
    <row r="113" customFormat="false" ht="18" hidden="false" customHeight="true" outlineLevel="0" collapsed="false">
      <c r="A113" s="5" t="n">
        <v>111</v>
      </c>
      <c r="B113" s="6" t="s">
        <v>544</v>
      </c>
      <c r="C113" s="11" t="s">
        <v>2292</v>
      </c>
      <c r="D113" s="6" t="s">
        <v>27</v>
      </c>
      <c r="E113" s="5" t="n">
        <v>27</v>
      </c>
      <c r="F113" s="9" t="s">
        <v>599</v>
      </c>
      <c r="G113" s="95" t="s">
        <v>2290</v>
      </c>
      <c r="H113" s="15"/>
    </row>
    <row r="114" customFormat="false" ht="18" hidden="false" customHeight="true" outlineLevel="0" collapsed="false">
      <c r="A114" s="16" t="n">
        <v>112</v>
      </c>
      <c r="B114" s="17" t="s">
        <v>544</v>
      </c>
      <c r="C114" s="22" t="s">
        <v>603</v>
      </c>
      <c r="D114" s="17" t="s">
        <v>27</v>
      </c>
      <c r="E114" s="16" t="n">
        <v>27</v>
      </c>
      <c r="F114" s="20" t="s">
        <v>604</v>
      </c>
      <c r="G114" s="95" t="s">
        <v>2290</v>
      </c>
      <c r="H114" s="25"/>
    </row>
    <row r="115" customFormat="false" ht="18" hidden="false" customHeight="true" outlineLevel="0" collapsed="false">
      <c r="A115" s="5" t="n">
        <v>113</v>
      </c>
      <c r="B115" s="6" t="s">
        <v>544</v>
      </c>
      <c r="C115" s="11" t="s">
        <v>609</v>
      </c>
      <c r="D115" s="6" t="s">
        <v>27</v>
      </c>
      <c r="E115" s="5" t="n">
        <v>27</v>
      </c>
      <c r="F115" s="9" t="s">
        <v>610</v>
      </c>
      <c r="G115" s="95" t="s">
        <v>2290</v>
      </c>
      <c r="H115" s="15"/>
    </row>
    <row r="116" customFormat="false" ht="18" hidden="false" customHeight="true" outlineLevel="0" collapsed="false">
      <c r="A116" s="16" t="n">
        <v>114</v>
      </c>
      <c r="B116" s="17" t="s">
        <v>544</v>
      </c>
      <c r="C116" s="22" t="s">
        <v>614</v>
      </c>
      <c r="D116" s="17" t="s">
        <v>27</v>
      </c>
      <c r="E116" s="16" t="n">
        <v>18</v>
      </c>
      <c r="F116" s="20" t="s">
        <v>610</v>
      </c>
      <c r="G116" s="95" t="s">
        <v>2290</v>
      </c>
      <c r="H116" s="25"/>
    </row>
    <row r="117" customFormat="false" ht="18" hidden="false" customHeight="true" outlineLevel="0" collapsed="false">
      <c r="A117" s="5" t="n">
        <v>115</v>
      </c>
      <c r="B117" s="6" t="s">
        <v>544</v>
      </c>
      <c r="C117" s="11" t="s">
        <v>2293</v>
      </c>
      <c r="D117" s="6" t="s">
        <v>27</v>
      </c>
      <c r="E117" s="5" t="n">
        <v>27</v>
      </c>
      <c r="F117" s="9" t="s">
        <v>617</v>
      </c>
      <c r="G117" s="95" t="s">
        <v>2290</v>
      </c>
      <c r="H117" s="15"/>
    </row>
    <row r="118" customFormat="false" ht="18" hidden="false" customHeight="true" outlineLevel="0" collapsed="false">
      <c r="A118" s="16" t="n">
        <v>116</v>
      </c>
      <c r="B118" s="17" t="s">
        <v>544</v>
      </c>
      <c r="C118" s="22" t="s">
        <v>2294</v>
      </c>
      <c r="D118" s="17" t="s">
        <v>27</v>
      </c>
      <c r="E118" s="16" t="n">
        <v>18</v>
      </c>
      <c r="F118" s="20" t="s">
        <v>620</v>
      </c>
      <c r="G118" s="95" t="s">
        <v>2290</v>
      </c>
      <c r="H118" s="25"/>
    </row>
    <row r="119" customFormat="false" ht="18" hidden="false" customHeight="true" outlineLevel="0" collapsed="false">
      <c r="A119" s="5" t="n">
        <v>117</v>
      </c>
      <c r="B119" s="6" t="s">
        <v>544</v>
      </c>
      <c r="C119" s="11" t="s">
        <v>624</v>
      </c>
      <c r="D119" s="6" t="s">
        <v>27</v>
      </c>
      <c r="E119" s="5" t="n">
        <v>18</v>
      </c>
      <c r="F119" s="9" t="s">
        <v>625</v>
      </c>
      <c r="G119" s="95" t="s">
        <v>2290</v>
      </c>
      <c r="H119" s="15"/>
    </row>
    <row r="120" customFormat="false" ht="18" hidden="false" customHeight="true" outlineLevel="0" collapsed="false">
      <c r="A120" s="16" t="n">
        <v>118</v>
      </c>
      <c r="B120" s="17" t="s">
        <v>544</v>
      </c>
      <c r="C120" s="22" t="s">
        <v>629</v>
      </c>
      <c r="D120" s="17" t="s">
        <v>27</v>
      </c>
      <c r="E120" s="16" t="n">
        <v>18</v>
      </c>
      <c r="F120" s="20" t="s">
        <v>630</v>
      </c>
      <c r="G120" s="95" t="s">
        <v>2290</v>
      </c>
      <c r="H120" s="25"/>
    </row>
    <row r="121" customFormat="false" ht="18" hidden="false" customHeight="true" outlineLevel="0" collapsed="false">
      <c r="A121" s="5" t="n">
        <v>119</v>
      </c>
      <c r="B121" s="6" t="s">
        <v>544</v>
      </c>
      <c r="C121" s="11" t="s">
        <v>631</v>
      </c>
      <c r="D121" s="6" t="s">
        <v>27</v>
      </c>
      <c r="E121" s="5" t="n">
        <v>18</v>
      </c>
      <c r="F121" s="9" t="s">
        <v>632</v>
      </c>
      <c r="G121" s="95" t="s">
        <v>2290</v>
      </c>
      <c r="H121" s="15"/>
    </row>
    <row r="122" customFormat="false" ht="18" hidden="false" customHeight="true" outlineLevel="0" collapsed="false">
      <c r="A122" s="16" t="n">
        <v>120</v>
      </c>
      <c r="B122" s="17" t="s">
        <v>544</v>
      </c>
      <c r="C122" s="22" t="s">
        <v>2295</v>
      </c>
      <c r="D122" s="17" t="s">
        <v>27</v>
      </c>
      <c r="E122" s="16" t="n">
        <v>18</v>
      </c>
      <c r="F122" s="20" t="s">
        <v>637</v>
      </c>
      <c r="G122" s="95" t="s">
        <v>2290</v>
      </c>
      <c r="H122" s="25"/>
    </row>
    <row r="123" customFormat="false" ht="18" hidden="false" customHeight="true" outlineLevel="0" collapsed="false">
      <c r="A123" s="5" t="n">
        <v>121</v>
      </c>
      <c r="B123" s="6" t="s">
        <v>544</v>
      </c>
      <c r="C123" s="11" t="s">
        <v>642</v>
      </c>
      <c r="D123" s="6" t="s">
        <v>27</v>
      </c>
      <c r="E123" s="5" t="n">
        <v>18</v>
      </c>
      <c r="F123" s="9" t="s">
        <v>643</v>
      </c>
      <c r="G123" s="95" t="s">
        <v>2290</v>
      </c>
      <c r="H123" s="15"/>
    </row>
    <row r="124" customFormat="false" ht="18" hidden="false" customHeight="true" outlineLevel="0" collapsed="false">
      <c r="A124" s="16" t="n">
        <v>122</v>
      </c>
      <c r="B124" s="17" t="s">
        <v>544</v>
      </c>
      <c r="C124" s="22" t="s">
        <v>2296</v>
      </c>
      <c r="D124" s="17" t="s">
        <v>27</v>
      </c>
      <c r="E124" s="16" t="n">
        <v>18</v>
      </c>
      <c r="F124" s="20" t="s">
        <v>646</v>
      </c>
      <c r="G124" s="95" t="s">
        <v>2290</v>
      </c>
      <c r="H124" s="25"/>
    </row>
    <row r="125" customFormat="false" ht="18" hidden="false" customHeight="true" outlineLevel="0" collapsed="false">
      <c r="A125" s="5" t="n">
        <v>123</v>
      </c>
      <c r="B125" s="6" t="s">
        <v>544</v>
      </c>
      <c r="C125" s="11" t="s">
        <v>662</v>
      </c>
      <c r="D125" s="6" t="s">
        <v>27</v>
      </c>
      <c r="E125" s="5" t="n">
        <v>18</v>
      </c>
      <c r="F125" s="9" t="s">
        <v>663</v>
      </c>
      <c r="G125" s="95" t="s">
        <v>2290</v>
      </c>
      <c r="H125" s="15"/>
    </row>
    <row r="126" customFormat="false" ht="18" hidden="false" customHeight="true" outlineLevel="0" collapsed="false">
      <c r="A126" s="16" t="n">
        <v>124</v>
      </c>
      <c r="B126" s="17" t="s">
        <v>544</v>
      </c>
      <c r="C126" s="22" t="s">
        <v>2297</v>
      </c>
      <c r="D126" s="17" t="s">
        <v>27</v>
      </c>
      <c r="E126" s="16" t="n">
        <v>18</v>
      </c>
      <c r="F126" s="20" t="s">
        <v>673</v>
      </c>
      <c r="G126" s="95" t="s">
        <v>2290</v>
      </c>
      <c r="H126" s="25"/>
    </row>
    <row r="127" customFormat="false" ht="18" hidden="false" customHeight="true" outlineLevel="0" collapsed="false">
      <c r="A127" s="5" t="n">
        <v>125</v>
      </c>
      <c r="B127" s="6" t="s">
        <v>544</v>
      </c>
      <c r="C127" s="11" t="s">
        <v>2298</v>
      </c>
      <c r="D127" s="6" t="s">
        <v>27</v>
      </c>
      <c r="E127" s="5" t="n">
        <v>27</v>
      </c>
      <c r="F127" s="9" t="s">
        <v>694</v>
      </c>
      <c r="G127" s="95" t="s">
        <v>2290</v>
      </c>
      <c r="H127" s="15"/>
    </row>
    <row r="128" customFormat="false" ht="18" hidden="false" customHeight="true" outlineLevel="0" collapsed="false">
      <c r="A128" s="16" t="n">
        <v>126</v>
      </c>
      <c r="B128" s="17" t="s">
        <v>544</v>
      </c>
      <c r="C128" s="22" t="s">
        <v>696</v>
      </c>
      <c r="D128" s="17" t="s">
        <v>27</v>
      </c>
      <c r="E128" s="16" t="n">
        <v>18</v>
      </c>
      <c r="F128" s="20" t="s">
        <v>697</v>
      </c>
      <c r="G128" s="95" t="s">
        <v>2290</v>
      </c>
      <c r="H128" s="25"/>
    </row>
    <row r="129" customFormat="false" ht="18" hidden="false" customHeight="true" outlineLevel="0" collapsed="false">
      <c r="A129" s="5" t="n">
        <v>127</v>
      </c>
      <c r="B129" s="6" t="s">
        <v>544</v>
      </c>
      <c r="C129" s="11" t="s">
        <v>701</v>
      </c>
      <c r="D129" s="6" t="s">
        <v>27</v>
      </c>
      <c r="E129" s="5" t="n">
        <v>27</v>
      </c>
      <c r="F129" s="9" t="s">
        <v>702</v>
      </c>
      <c r="G129" s="95" t="s">
        <v>2290</v>
      </c>
      <c r="H129" s="15"/>
    </row>
    <row r="130" customFormat="false" ht="18" hidden="false" customHeight="true" outlineLevel="0" collapsed="false">
      <c r="A130" s="16" t="n">
        <v>128</v>
      </c>
      <c r="B130" s="17" t="s">
        <v>544</v>
      </c>
      <c r="C130" s="22" t="s">
        <v>704</v>
      </c>
      <c r="D130" s="17" t="s">
        <v>27</v>
      </c>
      <c r="E130" s="16" t="n">
        <v>18</v>
      </c>
      <c r="F130" s="20" t="s">
        <v>705</v>
      </c>
      <c r="G130" s="95" t="s">
        <v>2290</v>
      </c>
      <c r="H130" s="25"/>
    </row>
    <row r="131" customFormat="false" ht="18" hidden="false" customHeight="true" outlineLevel="0" collapsed="false">
      <c r="A131" s="5" t="n">
        <v>129</v>
      </c>
      <c r="B131" s="6" t="s">
        <v>544</v>
      </c>
      <c r="C131" s="11" t="s">
        <v>707</v>
      </c>
      <c r="D131" s="6" t="s">
        <v>27</v>
      </c>
      <c r="E131" s="5" t="n">
        <v>18</v>
      </c>
      <c r="F131" s="9" t="s">
        <v>708</v>
      </c>
      <c r="G131" s="95" t="s">
        <v>2290</v>
      </c>
      <c r="H131" s="15"/>
    </row>
    <row r="132" customFormat="false" ht="18" hidden="false" customHeight="true" outlineLevel="0" collapsed="false">
      <c r="A132" s="16" t="n">
        <v>130</v>
      </c>
      <c r="B132" s="17" t="s">
        <v>544</v>
      </c>
      <c r="C132" s="22" t="s">
        <v>710</v>
      </c>
      <c r="D132" s="17" t="s">
        <v>27</v>
      </c>
      <c r="E132" s="16" t="n">
        <v>18</v>
      </c>
      <c r="F132" s="20" t="s">
        <v>711</v>
      </c>
      <c r="G132" s="95" t="s">
        <v>2290</v>
      </c>
      <c r="H132" s="25"/>
    </row>
    <row r="133" customFormat="false" ht="18" hidden="false" customHeight="true" outlineLevel="0" collapsed="false">
      <c r="A133" s="5" t="n">
        <v>131</v>
      </c>
      <c r="B133" s="6" t="s">
        <v>544</v>
      </c>
      <c r="C133" s="11" t="s">
        <v>715</v>
      </c>
      <c r="D133" s="6" t="s">
        <v>27</v>
      </c>
      <c r="E133" s="5" t="n">
        <v>18</v>
      </c>
      <c r="F133" s="9" t="s">
        <v>716</v>
      </c>
      <c r="G133" s="95" t="s">
        <v>2290</v>
      </c>
      <c r="H133" s="15"/>
    </row>
    <row r="134" customFormat="false" ht="18" hidden="false" customHeight="true" outlineLevel="0" collapsed="false">
      <c r="A134" s="16" t="n">
        <v>132</v>
      </c>
      <c r="B134" s="17" t="s">
        <v>544</v>
      </c>
      <c r="C134" s="22" t="s">
        <v>727</v>
      </c>
      <c r="D134" s="17" t="s">
        <v>27</v>
      </c>
      <c r="E134" s="16" t="n">
        <v>18</v>
      </c>
      <c r="F134" s="20" t="s">
        <v>728</v>
      </c>
      <c r="G134" s="95" t="s">
        <v>2290</v>
      </c>
      <c r="H134" s="25"/>
    </row>
    <row r="135" customFormat="false" ht="18" hidden="false" customHeight="true" outlineLevel="0" collapsed="false">
      <c r="A135" s="5" t="n">
        <v>133</v>
      </c>
      <c r="B135" s="6" t="s">
        <v>25</v>
      </c>
      <c r="C135" s="40" t="s">
        <v>2299</v>
      </c>
      <c r="D135" s="6" t="s">
        <v>27</v>
      </c>
      <c r="E135" s="5" t="n">
        <v>18</v>
      </c>
      <c r="F135" s="9" t="s">
        <v>28</v>
      </c>
      <c r="G135" s="95" t="s">
        <v>2290</v>
      </c>
      <c r="H135" s="15"/>
    </row>
    <row r="136" customFormat="false" ht="18" hidden="false" customHeight="true" outlineLevel="0" collapsed="false">
      <c r="A136" s="16" t="n">
        <v>134</v>
      </c>
      <c r="B136" s="17" t="s">
        <v>25</v>
      </c>
      <c r="C136" s="30" t="s">
        <v>37</v>
      </c>
      <c r="D136" s="17" t="s">
        <v>27</v>
      </c>
      <c r="E136" s="16" t="n">
        <v>18</v>
      </c>
      <c r="F136" s="20" t="s">
        <v>38</v>
      </c>
      <c r="G136" s="95" t="s">
        <v>2290</v>
      </c>
      <c r="H136" s="25"/>
    </row>
    <row r="137" customFormat="false" ht="18" hidden="false" customHeight="true" outlineLevel="0" collapsed="false">
      <c r="A137" s="5" t="n">
        <v>135</v>
      </c>
      <c r="B137" s="6" t="s">
        <v>25</v>
      </c>
      <c r="C137" s="11" t="s">
        <v>2300</v>
      </c>
      <c r="D137" s="6" t="s">
        <v>27</v>
      </c>
      <c r="E137" s="5" t="n">
        <v>18</v>
      </c>
      <c r="F137" s="9" t="s">
        <v>58</v>
      </c>
      <c r="G137" s="95" t="s">
        <v>2290</v>
      </c>
      <c r="H137" s="15"/>
    </row>
    <row r="138" customFormat="false" ht="18" hidden="false" customHeight="true" outlineLevel="0" collapsed="false">
      <c r="A138" s="16" t="n">
        <v>136</v>
      </c>
      <c r="B138" s="17" t="s">
        <v>25</v>
      </c>
      <c r="C138" s="22" t="s">
        <v>2301</v>
      </c>
      <c r="D138" s="17" t="s">
        <v>27</v>
      </c>
      <c r="E138" s="16" t="n">
        <v>18</v>
      </c>
      <c r="F138" s="20" t="s">
        <v>63</v>
      </c>
      <c r="G138" s="95" t="s">
        <v>2290</v>
      </c>
      <c r="H138" s="25"/>
    </row>
    <row r="139" customFormat="false" ht="18" hidden="false" customHeight="true" outlineLevel="0" collapsed="false">
      <c r="A139" s="5" t="n">
        <v>137</v>
      </c>
      <c r="B139" s="6" t="s">
        <v>25</v>
      </c>
      <c r="C139" s="11" t="s">
        <v>97</v>
      </c>
      <c r="D139" s="6" t="s">
        <v>27</v>
      </c>
      <c r="E139" s="5" t="n">
        <v>27</v>
      </c>
      <c r="F139" s="9" t="s">
        <v>98</v>
      </c>
      <c r="G139" s="95" t="s">
        <v>2290</v>
      </c>
      <c r="H139" s="15"/>
    </row>
    <row r="140" customFormat="false" ht="18" hidden="false" customHeight="true" outlineLevel="0" collapsed="false">
      <c r="A140" s="16" t="n">
        <v>138</v>
      </c>
      <c r="B140" s="17" t="s">
        <v>25</v>
      </c>
      <c r="C140" s="22" t="s">
        <v>103</v>
      </c>
      <c r="D140" s="17" t="s">
        <v>27</v>
      </c>
      <c r="E140" s="16" t="n">
        <v>18</v>
      </c>
      <c r="F140" s="20" t="s">
        <v>104</v>
      </c>
      <c r="G140" s="95" t="s">
        <v>2290</v>
      </c>
      <c r="H140" s="25"/>
    </row>
    <row r="141" customFormat="false" ht="18" hidden="false" customHeight="true" outlineLevel="0" collapsed="false">
      <c r="A141" s="5" t="n">
        <v>139</v>
      </c>
      <c r="B141" s="6" t="s">
        <v>25</v>
      </c>
      <c r="C141" s="11" t="s">
        <v>122</v>
      </c>
      <c r="D141" s="6" t="s">
        <v>27</v>
      </c>
      <c r="E141" s="5" t="n">
        <v>27</v>
      </c>
      <c r="F141" s="9" t="s">
        <v>123</v>
      </c>
      <c r="G141" s="95" t="s">
        <v>2290</v>
      </c>
      <c r="H141" s="15"/>
    </row>
    <row r="142" customFormat="false" ht="18" hidden="false" customHeight="true" outlineLevel="0" collapsed="false">
      <c r="A142" s="16" t="n">
        <v>140</v>
      </c>
      <c r="B142" s="17" t="s">
        <v>25</v>
      </c>
      <c r="C142" s="22" t="s">
        <v>128</v>
      </c>
      <c r="D142" s="17" t="s">
        <v>27</v>
      </c>
      <c r="E142" s="16" t="n">
        <v>27</v>
      </c>
      <c r="F142" s="20" t="s">
        <v>129</v>
      </c>
      <c r="G142" s="95" t="s">
        <v>2290</v>
      </c>
      <c r="H142" s="25"/>
    </row>
    <row r="143" customFormat="false" ht="18" hidden="false" customHeight="true" outlineLevel="0" collapsed="false">
      <c r="A143" s="5" t="n">
        <v>141</v>
      </c>
      <c r="B143" s="6" t="s">
        <v>25</v>
      </c>
      <c r="C143" s="11" t="s">
        <v>147</v>
      </c>
      <c r="D143" s="6" t="s">
        <v>27</v>
      </c>
      <c r="E143" s="5" t="n">
        <v>18</v>
      </c>
      <c r="F143" s="9" t="s">
        <v>148</v>
      </c>
      <c r="G143" s="95" t="s">
        <v>2290</v>
      </c>
      <c r="H143" s="15"/>
    </row>
    <row r="144" customFormat="false" ht="18" hidden="false" customHeight="true" outlineLevel="0" collapsed="false">
      <c r="A144" s="16" t="n">
        <v>142</v>
      </c>
      <c r="B144" s="17" t="s">
        <v>25</v>
      </c>
      <c r="C144" s="22" t="s">
        <v>2302</v>
      </c>
      <c r="D144" s="17" t="s">
        <v>27</v>
      </c>
      <c r="E144" s="16" t="n">
        <v>27</v>
      </c>
      <c r="F144" s="20" t="s">
        <v>154</v>
      </c>
      <c r="G144" s="95" t="s">
        <v>2290</v>
      </c>
      <c r="H144" s="25"/>
    </row>
    <row r="145" customFormat="false" ht="18" hidden="false" customHeight="true" outlineLevel="0" collapsed="false">
      <c r="A145" s="5" t="n">
        <v>143</v>
      </c>
      <c r="B145" s="6" t="s">
        <v>25</v>
      </c>
      <c r="C145" s="11" t="s">
        <v>2303</v>
      </c>
      <c r="D145" s="6" t="s">
        <v>27</v>
      </c>
      <c r="E145" s="5" t="n">
        <v>18</v>
      </c>
      <c r="F145" s="9" t="s">
        <v>160</v>
      </c>
      <c r="G145" s="95" t="s">
        <v>2290</v>
      </c>
      <c r="H145" s="15"/>
    </row>
    <row r="146" customFormat="false" ht="18" hidden="false" customHeight="true" outlineLevel="0" collapsed="false">
      <c r="A146" s="16" t="n">
        <v>144</v>
      </c>
      <c r="B146" s="17" t="s">
        <v>25</v>
      </c>
      <c r="C146" s="22" t="s">
        <v>2304</v>
      </c>
      <c r="D146" s="17" t="s">
        <v>27</v>
      </c>
      <c r="E146" s="16" t="n">
        <v>27</v>
      </c>
      <c r="F146" s="20" t="s">
        <v>175</v>
      </c>
      <c r="G146" s="95" t="s">
        <v>2290</v>
      </c>
      <c r="H146" s="25"/>
    </row>
    <row r="147" customFormat="false" ht="18" hidden="false" customHeight="true" outlineLevel="0" collapsed="false">
      <c r="A147" s="5" t="n">
        <v>145</v>
      </c>
      <c r="B147" s="6" t="s">
        <v>25</v>
      </c>
      <c r="C147" s="11" t="s">
        <v>180</v>
      </c>
      <c r="D147" s="6" t="s">
        <v>27</v>
      </c>
      <c r="E147" s="5" t="n">
        <v>36</v>
      </c>
      <c r="F147" s="9" t="s">
        <v>181</v>
      </c>
      <c r="G147" s="95" t="s">
        <v>2290</v>
      </c>
      <c r="H147" s="15"/>
    </row>
    <row r="148" customFormat="false" ht="18" hidden="false" customHeight="true" outlineLevel="0" collapsed="false">
      <c r="A148" s="16" t="n">
        <v>146</v>
      </c>
      <c r="B148" s="17" t="s">
        <v>25</v>
      </c>
      <c r="C148" s="22" t="s">
        <v>2305</v>
      </c>
      <c r="D148" s="17" t="s">
        <v>27</v>
      </c>
      <c r="E148" s="16" t="n">
        <v>18</v>
      </c>
      <c r="F148" s="20" t="s">
        <v>208</v>
      </c>
      <c r="G148" s="95" t="s">
        <v>2290</v>
      </c>
      <c r="H148" s="25"/>
    </row>
    <row r="149" customFormat="false" ht="18" hidden="false" customHeight="true" outlineLevel="0" collapsed="false">
      <c r="A149" s="5" t="n">
        <v>147</v>
      </c>
      <c r="B149" s="6" t="s">
        <v>25</v>
      </c>
      <c r="C149" s="11" t="s">
        <v>2306</v>
      </c>
      <c r="D149" s="6" t="s">
        <v>27</v>
      </c>
      <c r="E149" s="5" t="n">
        <v>27</v>
      </c>
      <c r="F149" s="9" t="s">
        <v>214</v>
      </c>
      <c r="G149" s="95" t="s">
        <v>2290</v>
      </c>
      <c r="H149" s="15"/>
    </row>
    <row r="150" customFormat="false" ht="18" hidden="false" customHeight="true" outlineLevel="0" collapsed="false">
      <c r="A150" s="16" t="n">
        <v>148</v>
      </c>
      <c r="B150" s="17" t="s">
        <v>25</v>
      </c>
      <c r="C150" s="22" t="s">
        <v>216</v>
      </c>
      <c r="D150" s="17" t="s">
        <v>27</v>
      </c>
      <c r="E150" s="16" t="n">
        <v>18</v>
      </c>
      <c r="F150" s="20" t="s">
        <v>217</v>
      </c>
      <c r="G150" s="95" t="s">
        <v>2290</v>
      </c>
      <c r="H150" s="25"/>
    </row>
    <row r="151" customFormat="false" ht="18" hidden="false" customHeight="true" outlineLevel="0" collapsed="false">
      <c r="A151" s="5" t="n">
        <v>149</v>
      </c>
      <c r="B151" s="6" t="s">
        <v>25</v>
      </c>
      <c r="C151" s="11" t="s">
        <v>2307</v>
      </c>
      <c r="D151" s="6" t="s">
        <v>27</v>
      </c>
      <c r="E151" s="5" t="n">
        <v>18</v>
      </c>
      <c r="F151" s="9" t="s">
        <v>233</v>
      </c>
      <c r="G151" s="95" t="s">
        <v>2290</v>
      </c>
      <c r="H151" s="15"/>
    </row>
    <row r="152" customFormat="false" ht="18" hidden="false" customHeight="true" outlineLevel="0" collapsed="false">
      <c r="A152" s="16" t="n">
        <v>150</v>
      </c>
      <c r="B152" s="17" t="s">
        <v>25</v>
      </c>
      <c r="C152" s="22" t="s">
        <v>2308</v>
      </c>
      <c r="D152" s="17" t="s">
        <v>27</v>
      </c>
      <c r="E152" s="16" t="n">
        <v>18</v>
      </c>
      <c r="F152" s="20" t="s">
        <v>238</v>
      </c>
      <c r="G152" s="95" t="s">
        <v>2290</v>
      </c>
      <c r="H152" s="25"/>
    </row>
    <row r="153" customFormat="false" ht="18" hidden="false" customHeight="true" outlineLevel="0" collapsed="false">
      <c r="A153" s="5" t="n">
        <v>151</v>
      </c>
      <c r="B153" s="6" t="s">
        <v>25</v>
      </c>
      <c r="C153" s="11" t="s">
        <v>240</v>
      </c>
      <c r="D153" s="6" t="s">
        <v>27</v>
      </c>
      <c r="E153" s="5" t="n">
        <v>27</v>
      </c>
      <c r="F153" s="9" t="s">
        <v>241</v>
      </c>
      <c r="G153" s="95" t="s">
        <v>2290</v>
      </c>
      <c r="H153" s="15"/>
    </row>
    <row r="154" customFormat="false" ht="18" hidden="false" customHeight="true" outlineLevel="0" collapsed="false">
      <c r="A154" s="16" t="n">
        <v>152</v>
      </c>
      <c r="B154" s="17" t="s">
        <v>25</v>
      </c>
      <c r="C154" s="22" t="s">
        <v>246</v>
      </c>
      <c r="D154" s="17" t="s">
        <v>27</v>
      </c>
      <c r="E154" s="16" t="n">
        <v>18</v>
      </c>
      <c r="F154" s="20" t="s">
        <v>247</v>
      </c>
      <c r="G154" s="95" t="s">
        <v>2290</v>
      </c>
      <c r="H154" s="25"/>
    </row>
    <row r="155" customFormat="false" ht="18" hidden="false" customHeight="true" outlineLevel="0" collapsed="false">
      <c r="A155" s="5" t="n">
        <v>153</v>
      </c>
      <c r="B155" s="6" t="s">
        <v>25</v>
      </c>
      <c r="C155" s="11" t="s">
        <v>2309</v>
      </c>
      <c r="D155" s="6" t="s">
        <v>27</v>
      </c>
      <c r="E155" s="5" t="n">
        <v>27</v>
      </c>
      <c r="F155" s="9" t="s">
        <v>256</v>
      </c>
      <c r="G155" s="95" t="s">
        <v>2290</v>
      </c>
      <c r="H155" s="15"/>
    </row>
    <row r="156" customFormat="false" ht="18" hidden="false" customHeight="true" outlineLevel="0" collapsed="false">
      <c r="A156" s="16" t="n">
        <v>154</v>
      </c>
      <c r="B156" s="17" t="s">
        <v>25</v>
      </c>
      <c r="C156" s="22" t="s">
        <v>263</v>
      </c>
      <c r="D156" s="17" t="s">
        <v>27</v>
      </c>
      <c r="E156" s="16" t="n">
        <v>27</v>
      </c>
      <c r="F156" s="20" t="s">
        <v>264</v>
      </c>
      <c r="G156" s="95" t="s">
        <v>2290</v>
      </c>
      <c r="H156" s="25"/>
    </row>
    <row r="157" customFormat="false" ht="18" hidden="false" customHeight="true" outlineLevel="0" collapsed="false">
      <c r="A157" s="5" t="n">
        <v>155</v>
      </c>
      <c r="B157" s="6" t="s">
        <v>25</v>
      </c>
      <c r="C157" s="11" t="s">
        <v>2310</v>
      </c>
      <c r="D157" s="6" t="s">
        <v>27</v>
      </c>
      <c r="E157" s="5" t="n">
        <v>27</v>
      </c>
      <c r="F157" s="9" t="s">
        <v>278</v>
      </c>
      <c r="G157" s="95" t="s">
        <v>2290</v>
      </c>
      <c r="H157" s="15"/>
    </row>
    <row r="158" customFormat="false" ht="18" hidden="false" customHeight="true" outlineLevel="0" collapsed="false">
      <c r="A158" s="16" t="n">
        <v>156</v>
      </c>
      <c r="B158" s="17" t="s">
        <v>25</v>
      </c>
      <c r="C158" s="22" t="s">
        <v>2311</v>
      </c>
      <c r="D158" s="17" t="s">
        <v>27</v>
      </c>
      <c r="E158" s="16" t="n">
        <v>18</v>
      </c>
      <c r="F158" s="20" t="s">
        <v>281</v>
      </c>
      <c r="G158" s="95" t="s">
        <v>2290</v>
      </c>
      <c r="H158" s="25"/>
    </row>
    <row r="159" customFormat="false" ht="18" hidden="false" customHeight="true" outlineLevel="0" collapsed="false">
      <c r="A159" s="5" t="n">
        <v>157</v>
      </c>
      <c r="B159" s="6" t="s">
        <v>25</v>
      </c>
      <c r="C159" s="11" t="s">
        <v>2312</v>
      </c>
      <c r="D159" s="6" t="s">
        <v>27</v>
      </c>
      <c r="E159" s="5" t="n">
        <v>18</v>
      </c>
      <c r="F159" s="9" t="s">
        <v>284</v>
      </c>
      <c r="G159" s="95" t="s">
        <v>2290</v>
      </c>
      <c r="H159" s="15"/>
    </row>
    <row r="160" customFormat="false" ht="18" hidden="false" customHeight="true" outlineLevel="0" collapsed="false">
      <c r="A160" s="16" t="n">
        <v>158</v>
      </c>
      <c r="B160" s="17" t="s">
        <v>25</v>
      </c>
      <c r="C160" s="22" t="s">
        <v>290</v>
      </c>
      <c r="D160" s="17" t="s">
        <v>27</v>
      </c>
      <c r="E160" s="16" t="n">
        <v>27</v>
      </c>
      <c r="F160" s="20" t="s">
        <v>291</v>
      </c>
      <c r="G160" s="95" t="s">
        <v>2290</v>
      </c>
      <c r="H160" s="25"/>
    </row>
    <row r="161" customFormat="false" ht="18" hidden="false" customHeight="true" outlineLevel="0" collapsed="false">
      <c r="A161" s="5" t="n">
        <v>159</v>
      </c>
      <c r="B161" s="6" t="s">
        <v>25</v>
      </c>
      <c r="C161" s="11" t="s">
        <v>301</v>
      </c>
      <c r="D161" s="6" t="s">
        <v>27</v>
      </c>
      <c r="E161" s="5" t="n">
        <v>27</v>
      </c>
      <c r="F161" s="9" t="s">
        <v>302</v>
      </c>
      <c r="G161" s="95" t="s">
        <v>2290</v>
      </c>
      <c r="H161" s="15"/>
    </row>
    <row r="162" customFormat="false" ht="18" hidden="false" customHeight="true" outlineLevel="0" collapsed="false">
      <c r="A162" s="16" t="n">
        <v>160</v>
      </c>
      <c r="B162" s="17" t="s">
        <v>25</v>
      </c>
      <c r="C162" s="22" t="s">
        <v>2313</v>
      </c>
      <c r="D162" s="17" t="s">
        <v>27</v>
      </c>
      <c r="E162" s="16" t="n">
        <v>27</v>
      </c>
      <c r="F162" s="20" t="s">
        <v>315</v>
      </c>
      <c r="G162" s="95" t="s">
        <v>2290</v>
      </c>
      <c r="H162" s="25"/>
    </row>
    <row r="163" customFormat="false" ht="18" hidden="false" customHeight="true" outlineLevel="0" collapsed="false">
      <c r="A163" s="5" t="n">
        <v>161</v>
      </c>
      <c r="B163" s="6" t="s">
        <v>25</v>
      </c>
      <c r="C163" s="11" t="s">
        <v>317</v>
      </c>
      <c r="D163" s="6" t="s">
        <v>27</v>
      </c>
      <c r="E163" s="5" t="n">
        <v>27</v>
      </c>
      <c r="F163" s="9" t="s">
        <v>318</v>
      </c>
      <c r="G163" s="95" t="s">
        <v>2290</v>
      </c>
      <c r="H163" s="15"/>
    </row>
    <row r="164" customFormat="false" ht="18" hidden="false" customHeight="true" outlineLevel="0" collapsed="false">
      <c r="A164" s="16" t="n">
        <v>162</v>
      </c>
      <c r="B164" s="17" t="s">
        <v>25</v>
      </c>
      <c r="C164" s="22" t="s">
        <v>341</v>
      </c>
      <c r="D164" s="17" t="s">
        <v>27</v>
      </c>
      <c r="E164" s="16" t="n">
        <v>18</v>
      </c>
      <c r="F164" s="20" t="s">
        <v>342</v>
      </c>
      <c r="G164" s="95" t="s">
        <v>2290</v>
      </c>
      <c r="H164" s="25"/>
    </row>
    <row r="165" customFormat="false" ht="18" hidden="false" customHeight="true" outlineLevel="0" collapsed="false">
      <c r="A165" s="5" t="n">
        <v>163</v>
      </c>
      <c r="B165" s="6" t="s">
        <v>25</v>
      </c>
      <c r="C165" s="11" t="s">
        <v>354</v>
      </c>
      <c r="D165" s="6" t="s">
        <v>27</v>
      </c>
      <c r="E165" s="5" t="n">
        <v>27</v>
      </c>
      <c r="F165" s="9" t="s">
        <v>355</v>
      </c>
      <c r="G165" s="95" t="s">
        <v>2290</v>
      </c>
      <c r="H165" s="15"/>
    </row>
    <row r="166" customFormat="false" ht="18" hidden="false" customHeight="true" outlineLevel="0" collapsed="false">
      <c r="A166" s="16" t="n">
        <v>164</v>
      </c>
      <c r="B166" s="17" t="s">
        <v>25</v>
      </c>
      <c r="C166" s="22" t="s">
        <v>377</v>
      </c>
      <c r="D166" s="17" t="s">
        <v>27</v>
      </c>
      <c r="E166" s="16" t="n">
        <v>27</v>
      </c>
      <c r="F166" s="20" t="s">
        <v>378</v>
      </c>
      <c r="G166" s="95" t="s">
        <v>2290</v>
      </c>
      <c r="H166" s="25"/>
    </row>
    <row r="167" customFormat="false" ht="18" hidden="false" customHeight="true" outlineLevel="0" collapsed="false">
      <c r="A167" s="5" t="n">
        <v>165</v>
      </c>
      <c r="B167" s="6" t="s">
        <v>25</v>
      </c>
      <c r="C167" s="11" t="s">
        <v>389</v>
      </c>
      <c r="D167" s="6" t="s">
        <v>27</v>
      </c>
      <c r="E167" s="5" t="n">
        <v>18</v>
      </c>
      <c r="F167" s="9" t="s">
        <v>390</v>
      </c>
      <c r="G167" s="95" t="s">
        <v>2290</v>
      </c>
      <c r="H167" s="15"/>
    </row>
    <row r="168" customFormat="false" ht="18" hidden="false" customHeight="true" outlineLevel="0" collapsed="false">
      <c r="A168" s="16" t="n">
        <v>166</v>
      </c>
      <c r="B168" s="17" t="s">
        <v>25</v>
      </c>
      <c r="C168" s="22" t="s">
        <v>395</v>
      </c>
      <c r="D168" s="17" t="s">
        <v>27</v>
      </c>
      <c r="E168" s="16" t="n">
        <v>18</v>
      </c>
      <c r="F168" s="20" t="s">
        <v>396</v>
      </c>
      <c r="G168" s="95" t="s">
        <v>2290</v>
      </c>
      <c r="H168" s="25"/>
    </row>
    <row r="169" customFormat="false" ht="18" hidden="false" customHeight="true" outlineLevel="0" collapsed="false">
      <c r="A169" s="5" t="n">
        <v>167</v>
      </c>
      <c r="B169" s="6" t="s">
        <v>25</v>
      </c>
      <c r="C169" s="11" t="s">
        <v>2314</v>
      </c>
      <c r="D169" s="6" t="s">
        <v>27</v>
      </c>
      <c r="E169" s="5" t="n">
        <v>27</v>
      </c>
      <c r="F169" s="9" t="s">
        <v>406</v>
      </c>
      <c r="G169" s="95" t="s">
        <v>2290</v>
      </c>
      <c r="H169" s="15"/>
    </row>
    <row r="170" customFormat="false" ht="18" hidden="false" customHeight="true" outlineLevel="0" collapsed="false">
      <c r="A170" s="16" t="n">
        <v>168</v>
      </c>
      <c r="B170" s="17" t="s">
        <v>25</v>
      </c>
      <c r="C170" s="22" t="s">
        <v>2315</v>
      </c>
      <c r="D170" s="17" t="s">
        <v>27</v>
      </c>
      <c r="E170" s="16" t="n">
        <v>18</v>
      </c>
      <c r="F170" s="20" t="s">
        <v>414</v>
      </c>
      <c r="G170" s="95" t="s">
        <v>2290</v>
      </c>
      <c r="H170" s="25"/>
    </row>
    <row r="171" customFormat="false" ht="18" hidden="false" customHeight="true" outlineLevel="0" collapsed="false">
      <c r="A171" s="5" t="n">
        <v>169</v>
      </c>
      <c r="B171" s="6" t="s">
        <v>25</v>
      </c>
      <c r="C171" s="11" t="s">
        <v>2316</v>
      </c>
      <c r="D171" s="6" t="s">
        <v>27</v>
      </c>
      <c r="E171" s="5" t="n">
        <v>27</v>
      </c>
      <c r="F171" s="9" t="s">
        <v>423</v>
      </c>
      <c r="G171" s="95" t="s">
        <v>2290</v>
      </c>
      <c r="H171" s="15"/>
    </row>
    <row r="172" customFormat="false" ht="18" hidden="false" customHeight="true" outlineLevel="0" collapsed="false">
      <c r="A172" s="16" t="n">
        <v>170</v>
      </c>
      <c r="B172" s="17" t="s">
        <v>25</v>
      </c>
      <c r="C172" s="22" t="s">
        <v>2317</v>
      </c>
      <c r="D172" s="17" t="s">
        <v>27</v>
      </c>
      <c r="E172" s="16" t="n">
        <v>18</v>
      </c>
      <c r="F172" s="20" t="s">
        <v>426</v>
      </c>
      <c r="G172" s="95" t="s">
        <v>2290</v>
      </c>
      <c r="H172" s="25"/>
    </row>
    <row r="173" customFormat="false" ht="18" hidden="false" customHeight="true" outlineLevel="0" collapsed="false">
      <c r="A173" s="5" t="n">
        <v>171</v>
      </c>
      <c r="B173" s="6" t="s">
        <v>25</v>
      </c>
      <c r="C173" s="11" t="s">
        <v>428</v>
      </c>
      <c r="D173" s="6" t="s">
        <v>27</v>
      </c>
      <c r="E173" s="5" t="n">
        <v>18</v>
      </c>
      <c r="F173" s="9" t="s">
        <v>429</v>
      </c>
      <c r="G173" s="95" t="s">
        <v>2290</v>
      </c>
      <c r="H173" s="15"/>
    </row>
    <row r="174" customFormat="false" ht="18" hidden="false" customHeight="true" outlineLevel="0" collapsed="false">
      <c r="A174" s="16" t="n">
        <v>172</v>
      </c>
      <c r="B174" s="17" t="s">
        <v>25</v>
      </c>
      <c r="C174" s="22" t="s">
        <v>2318</v>
      </c>
      <c r="D174" s="17" t="s">
        <v>27</v>
      </c>
      <c r="E174" s="16" t="n">
        <v>24</v>
      </c>
      <c r="F174" s="20" t="s">
        <v>434</v>
      </c>
      <c r="G174" s="95" t="s">
        <v>2290</v>
      </c>
      <c r="H174" s="25"/>
    </row>
    <row r="175" customFormat="false" ht="18" hidden="false" customHeight="true" outlineLevel="0" collapsed="false">
      <c r="A175" s="5" t="n">
        <v>173</v>
      </c>
      <c r="B175" s="6" t="s">
        <v>25</v>
      </c>
      <c r="C175" s="11" t="s">
        <v>441</v>
      </c>
      <c r="D175" s="6" t="s">
        <v>27</v>
      </c>
      <c r="E175" s="5" t="n">
        <v>27</v>
      </c>
      <c r="F175" s="9" t="s">
        <v>442</v>
      </c>
      <c r="G175" s="95" t="s">
        <v>2290</v>
      </c>
      <c r="H175" s="15"/>
    </row>
    <row r="176" customFormat="false" ht="18" hidden="false" customHeight="true" outlineLevel="0" collapsed="false">
      <c r="A176" s="16" t="n">
        <v>174</v>
      </c>
      <c r="B176" s="17" t="s">
        <v>25</v>
      </c>
      <c r="C176" s="22" t="s">
        <v>446</v>
      </c>
      <c r="D176" s="17" t="s">
        <v>27</v>
      </c>
      <c r="E176" s="16" t="n">
        <v>27</v>
      </c>
      <c r="F176" s="20" t="s">
        <v>447</v>
      </c>
      <c r="G176" s="95" t="s">
        <v>2290</v>
      </c>
      <c r="H176" s="25"/>
    </row>
    <row r="177" customFormat="false" ht="18" hidden="false" customHeight="true" outlineLevel="0" collapsed="false">
      <c r="A177" s="5" t="n">
        <v>175</v>
      </c>
      <c r="B177" s="6" t="s">
        <v>25</v>
      </c>
      <c r="C177" s="11" t="s">
        <v>455</v>
      </c>
      <c r="D177" s="6" t="s">
        <v>27</v>
      </c>
      <c r="E177" s="5" t="n">
        <v>27</v>
      </c>
      <c r="F177" s="9" t="s">
        <v>456</v>
      </c>
      <c r="G177" s="95" t="s">
        <v>2290</v>
      </c>
      <c r="H177" s="15"/>
    </row>
    <row r="178" customFormat="false" ht="18" hidden="false" customHeight="true" outlineLevel="0" collapsed="false">
      <c r="A178" s="16" t="n">
        <v>176</v>
      </c>
      <c r="B178" s="17" t="s">
        <v>25</v>
      </c>
      <c r="C178" s="22" t="s">
        <v>2319</v>
      </c>
      <c r="D178" s="17" t="s">
        <v>27</v>
      </c>
      <c r="E178" s="16" t="n">
        <v>27</v>
      </c>
      <c r="F178" s="20" t="s">
        <v>465</v>
      </c>
      <c r="G178" s="95" t="s">
        <v>2290</v>
      </c>
      <c r="H178" s="25"/>
    </row>
    <row r="179" customFormat="false" ht="18" hidden="false" customHeight="true" outlineLevel="0" collapsed="false">
      <c r="A179" s="5" t="n">
        <v>177</v>
      </c>
      <c r="B179" s="6" t="s">
        <v>25</v>
      </c>
      <c r="C179" s="11" t="s">
        <v>2320</v>
      </c>
      <c r="D179" s="6" t="s">
        <v>27</v>
      </c>
      <c r="E179" s="5" t="n">
        <v>27</v>
      </c>
      <c r="F179" s="9" t="s">
        <v>485</v>
      </c>
      <c r="G179" s="95" t="s">
        <v>2290</v>
      </c>
      <c r="H179" s="15"/>
    </row>
    <row r="180" customFormat="false" ht="18" hidden="false" customHeight="true" outlineLevel="0" collapsed="false">
      <c r="A180" s="16" t="n">
        <v>178</v>
      </c>
      <c r="B180" s="17" t="s">
        <v>1314</v>
      </c>
      <c r="C180" s="22" t="s">
        <v>1325</v>
      </c>
      <c r="D180" s="17" t="s">
        <v>27</v>
      </c>
      <c r="E180" s="16" t="n">
        <v>18</v>
      </c>
      <c r="F180" s="20" t="s">
        <v>1326</v>
      </c>
      <c r="G180" s="95" t="s">
        <v>2290</v>
      </c>
      <c r="H180" s="25"/>
    </row>
    <row r="181" customFormat="false" ht="18" hidden="false" customHeight="true" outlineLevel="0" collapsed="false">
      <c r="A181" s="5" t="n">
        <v>179</v>
      </c>
      <c r="B181" s="6" t="s">
        <v>1314</v>
      </c>
      <c r="C181" s="11" t="s">
        <v>2321</v>
      </c>
      <c r="D181" s="6" t="s">
        <v>27</v>
      </c>
      <c r="E181" s="5" t="n">
        <v>18</v>
      </c>
      <c r="F181" s="9" t="s">
        <v>1332</v>
      </c>
      <c r="G181" s="95" t="s">
        <v>2290</v>
      </c>
      <c r="H181" s="15"/>
    </row>
    <row r="182" customFormat="false" ht="18" hidden="false" customHeight="true" outlineLevel="0" collapsed="false">
      <c r="A182" s="16" t="n">
        <v>180</v>
      </c>
      <c r="B182" s="17" t="s">
        <v>1314</v>
      </c>
      <c r="C182" s="22" t="s">
        <v>1340</v>
      </c>
      <c r="D182" s="17" t="s">
        <v>27</v>
      </c>
      <c r="E182" s="16" t="n">
        <v>18</v>
      </c>
      <c r="F182" s="20" t="s">
        <v>1341</v>
      </c>
      <c r="G182" s="95" t="s">
        <v>2290</v>
      </c>
      <c r="H182" s="25"/>
    </row>
    <row r="183" customFormat="false" ht="18" hidden="false" customHeight="true" outlineLevel="0" collapsed="false">
      <c r="A183" s="5" t="n">
        <v>181</v>
      </c>
      <c r="B183" s="6" t="s">
        <v>1314</v>
      </c>
      <c r="C183" s="11" t="s">
        <v>1343</v>
      </c>
      <c r="D183" s="6" t="s">
        <v>27</v>
      </c>
      <c r="E183" s="5" t="n">
        <v>27</v>
      </c>
      <c r="F183" s="9" t="s">
        <v>1344</v>
      </c>
      <c r="G183" s="95" t="s">
        <v>2290</v>
      </c>
      <c r="H183" s="15"/>
    </row>
    <row r="184" customFormat="false" ht="18" hidden="false" customHeight="true" outlineLevel="0" collapsed="false">
      <c r="A184" s="16" t="n">
        <v>182</v>
      </c>
      <c r="B184" s="17" t="s">
        <v>1314</v>
      </c>
      <c r="C184" s="22" t="s">
        <v>1346</v>
      </c>
      <c r="D184" s="17" t="s">
        <v>27</v>
      </c>
      <c r="E184" s="16" t="n">
        <v>18</v>
      </c>
      <c r="F184" s="20" t="s">
        <v>1347</v>
      </c>
      <c r="G184" s="95" t="s">
        <v>2290</v>
      </c>
      <c r="H184" s="25"/>
    </row>
    <row r="185" customFormat="false" ht="18" hidden="false" customHeight="true" outlineLevel="0" collapsed="false">
      <c r="A185" s="5" t="n">
        <v>183</v>
      </c>
      <c r="B185" s="6" t="s">
        <v>1314</v>
      </c>
      <c r="C185" s="11" t="s">
        <v>1352</v>
      </c>
      <c r="D185" s="6" t="s">
        <v>27</v>
      </c>
      <c r="E185" s="5" t="n">
        <v>18</v>
      </c>
      <c r="F185" s="9" t="s">
        <v>1353</v>
      </c>
      <c r="G185" s="95" t="s">
        <v>2290</v>
      </c>
      <c r="H185" s="15"/>
    </row>
    <row r="186" customFormat="false" ht="18" hidden="false" customHeight="true" outlineLevel="0" collapsed="false">
      <c r="A186" s="16" t="n">
        <v>184</v>
      </c>
      <c r="B186" s="17" t="s">
        <v>1314</v>
      </c>
      <c r="C186" s="22" t="s">
        <v>1361</v>
      </c>
      <c r="D186" s="17" t="s">
        <v>27</v>
      </c>
      <c r="E186" s="16" t="n">
        <v>27</v>
      </c>
      <c r="F186" s="20" t="s">
        <v>1362</v>
      </c>
      <c r="G186" s="95" t="s">
        <v>2290</v>
      </c>
      <c r="H186" s="25"/>
    </row>
    <row r="187" customFormat="false" ht="18" hidden="false" customHeight="true" outlineLevel="0" collapsed="false">
      <c r="A187" s="5" t="n">
        <v>185</v>
      </c>
      <c r="B187" s="6" t="s">
        <v>1314</v>
      </c>
      <c r="C187" s="11" t="s">
        <v>1364</v>
      </c>
      <c r="D187" s="6" t="s">
        <v>27</v>
      </c>
      <c r="E187" s="5" t="n">
        <v>18</v>
      </c>
      <c r="F187" s="9" t="s">
        <v>1365</v>
      </c>
      <c r="G187" s="95" t="s">
        <v>2290</v>
      </c>
      <c r="H187" s="15"/>
    </row>
    <row r="188" customFormat="false" ht="18" hidden="false" customHeight="true" outlineLevel="0" collapsed="false">
      <c r="A188" s="16" t="n">
        <v>186</v>
      </c>
      <c r="B188" s="17" t="s">
        <v>1314</v>
      </c>
      <c r="C188" s="22" t="s">
        <v>1375</v>
      </c>
      <c r="D188" s="17" t="s">
        <v>27</v>
      </c>
      <c r="E188" s="16" t="n">
        <v>18</v>
      </c>
      <c r="F188" s="20" t="s">
        <v>1376</v>
      </c>
      <c r="G188" s="95" t="s">
        <v>2290</v>
      </c>
      <c r="H188" s="25"/>
    </row>
    <row r="189" customFormat="false" ht="18" hidden="false" customHeight="true" outlineLevel="0" collapsed="false">
      <c r="A189" s="5" t="n">
        <v>187</v>
      </c>
      <c r="B189" s="6" t="s">
        <v>1314</v>
      </c>
      <c r="C189" s="11" t="s">
        <v>2322</v>
      </c>
      <c r="D189" s="6" t="s">
        <v>27</v>
      </c>
      <c r="E189" s="5" t="n">
        <v>27</v>
      </c>
      <c r="F189" s="9" t="s">
        <v>1383</v>
      </c>
      <c r="G189" s="95" t="s">
        <v>2290</v>
      </c>
      <c r="H189" s="15"/>
    </row>
    <row r="190" customFormat="false" ht="18" hidden="false" customHeight="true" outlineLevel="0" collapsed="false">
      <c r="A190" s="16" t="n">
        <v>188</v>
      </c>
      <c r="B190" s="17" t="s">
        <v>1314</v>
      </c>
      <c r="C190" s="22" t="s">
        <v>1389</v>
      </c>
      <c r="D190" s="17" t="s">
        <v>27</v>
      </c>
      <c r="E190" s="16" t="n">
        <v>27</v>
      </c>
      <c r="F190" s="20" t="s">
        <v>1390</v>
      </c>
      <c r="G190" s="95" t="s">
        <v>2290</v>
      </c>
      <c r="H190" s="25"/>
    </row>
    <row r="191" customFormat="false" ht="18" hidden="false" customHeight="true" outlineLevel="0" collapsed="false">
      <c r="A191" s="5" t="n">
        <v>189</v>
      </c>
      <c r="B191" s="6" t="s">
        <v>1314</v>
      </c>
      <c r="C191" s="11" t="s">
        <v>1392</v>
      </c>
      <c r="D191" s="6" t="s">
        <v>27</v>
      </c>
      <c r="E191" s="5" t="n">
        <v>36</v>
      </c>
      <c r="F191" s="9" t="s">
        <v>1393</v>
      </c>
      <c r="G191" s="95" t="s">
        <v>2290</v>
      </c>
      <c r="H191" s="15"/>
    </row>
    <row r="192" customFormat="false" ht="18" hidden="false" customHeight="true" outlineLevel="0" collapsed="false">
      <c r="A192" s="16" t="n">
        <v>190</v>
      </c>
      <c r="B192" s="17" t="s">
        <v>1314</v>
      </c>
      <c r="C192" s="22" t="s">
        <v>2323</v>
      </c>
      <c r="D192" s="17" t="s">
        <v>27</v>
      </c>
      <c r="E192" s="16" t="n">
        <v>18</v>
      </c>
      <c r="F192" s="20" t="s">
        <v>1398</v>
      </c>
      <c r="G192" s="95" t="s">
        <v>2290</v>
      </c>
      <c r="H192" s="25"/>
    </row>
    <row r="193" customFormat="false" ht="18" hidden="false" customHeight="true" outlineLevel="0" collapsed="false">
      <c r="A193" s="5" t="n">
        <v>191</v>
      </c>
      <c r="B193" s="6" t="s">
        <v>1314</v>
      </c>
      <c r="C193" s="11" t="s">
        <v>1402</v>
      </c>
      <c r="D193" s="6" t="s">
        <v>27</v>
      </c>
      <c r="E193" s="5" t="n">
        <v>27</v>
      </c>
      <c r="F193" s="9" t="s">
        <v>1403</v>
      </c>
      <c r="G193" s="95" t="s">
        <v>2290</v>
      </c>
      <c r="H193" s="15"/>
    </row>
    <row r="194" customFormat="false" ht="18" hidden="false" customHeight="true" outlineLevel="0" collapsed="false">
      <c r="A194" s="16" t="n">
        <v>192</v>
      </c>
      <c r="B194" s="17" t="s">
        <v>1314</v>
      </c>
      <c r="C194" s="22" t="s">
        <v>1413</v>
      </c>
      <c r="D194" s="17" t="s">
        <v>27</v>
      </c>
      <c r="E194" s="16" t="n">
        <v>27</v>
      </c>
      <c r="F194" s="20" t="s">
        <v>1414</v>
      </c>
      <c r="G194" s="95" t="s">
        <v>2290</v>
      </c>
      <c r="H194" s="25"/>
    </row>
    <row r="195" customFormat="false" ht="18" hidden="false" customHeight="true" outlineLevel="0" collapsed="false">
      <c r="A195" s="5" t="n">
        <v>193</v>
      </c>
      <c r="B195" s="6" t="s">
        <v>1314</v>
      </c>
      <c r="C195" s="11" t="s">
        <v>1419</v>
      </c>
      <c r="D195" s="6" t="s">
        <v>27</v>
      </c>
      <c r="E195" s="5" t="n">
        <v>18</v>
      </c>
      <c r="F195" s="9" t="s">
        <v>1420</v>
      </c>
      <c r="G195" s="95" t="s">
        <v>2290</v>
      </c>
      <c r="H195" s="15"/>
    </row>
    <row r="196" customFormat="false" ht="18" hidden="false" customHeight="true" outlineLevel="0" collapsed="false">
      <c r="A196" s="16" t="n">
        <v>194</v>
      </c>
      <c r="B196" s="17" t="s">
        <v>1314</v>
      </c>
      <c r="C196" s="22" t="s">
        <v>1425</v>
      </c>
      <c r="D196" s="17" t="s">
        <v>27</v>
      </c>
      <c r="E196" s="16" t="n">
        <v>27</v>
      </c>
      <c r="F196" s="20" t="s">
        <v>1426</v>
      </c>
      <c r="G196" s="95" t="s">
        <v>2290</v>
      </c>
      <c r="H196" s="25"/>
    </row>
    <row r="197" customFormat="false" ht="18" hidden="false" customHeight="true" outlineLevel="0" collapsed="false">
      <c r="A197" s="5" t="n">
        <v>195</v>
      </c>
      <c r="B197" s="6" t="s">
        <v>1314</v>
      </c>
      <c r="C197" s="11" t="s">
        <v>1433</v>
      </c>
      <c r="D197" s="6" t="s">
        <v>27</v>
      </c>
      <c r="E197" s="5" t="n">
        <v>18</v>
      </c>
      <c r="F197" s="9" t="s">
        <v>1434</v>
      </c>
      <c r="G197" s="95" t="s">
        <v>2290</v>
      </c>
      <c r="H197" s="15"/>
    </row>
    <row r="198" customFormat="false" ht="18" hidden="false" customHeight="true" outlineLevel="0" collapsed="false">
      <c r="A198" s="16" t="n">
        <v>196</v>
      </c>
      <c r="B198" s="17" t="s">
        <v>1154</v>
      </c>
      <c r="C198" s="22" t="s">
        <v>2324</v>
      </c>
      <c r="D198" s="17" t="s">
        <v>27</v>
      </c>
      <c r="E198" s="16" t="n">
        <v>27</v>
      </c>
      <c r="F198" s="20" t="s">
        <v>1161</v>
      </c>
      <c r="G198" s="95" t="s">
        <v>2290</v>
      </c>
      <c r="H198" s="25"/>
    </row>
    <row r="199" customFormat="false" ht="18" hidden="false" customHeight="true" outlineLevel="0" collapsed="false">
      <c r="A199" s="5" t="n">
        <v>197</v>
      </c>
      <c r="B199" s="6" t="s">
        <v>1154</v>
      </c>
      <c r="C199" s="11" t="s">
        <v>1166</v>
      </c>
      <c r="D199" s="6" t="s">
        <v>27</v>
      </c>
      <c r="E199" s="5" t="n">
        <v>18</v>
      </c>
      <c r="F199" s="9" t="s">
        <v>1167</v>
      </c>
      <c r="G199" s="95" t="s">
        <v>2290</v>
      </c>
      <c r="H199" s="15"/>
    </row>
    <row r="200" customFormat="false" ht="18" hidden="false" customHeight="true" outlineLevel="0" collapsed="false">
      <c r="A200" s="16" t="n">
        <v>198</v>
      </c>
      <c r="B200" s="17" t="s">
        <v>1154</v>
      </c>
      <c r="C200" s="22" t="s">
        <v>1169</v>
      </c>
      <c r="D200" s="17" t="s">
        <v>27</v>
      </c>
      <c r="E200" s="16" t="n">
        <v>18</v>
      </c>
      <c r="F200" s="20" t="s">
        <v>1170</v>
      </c>
      <c r="G200" s="95" t="s">
        <v>2290</v>
      </c>
      <c r="H200" s="25"/>
    </row>
    <row r="201" customFormat="false" ht="18" hidden="false" customHeight="true" outlineLevel="0" collapsed="false">
      <c r="A201" s="5" t="n">
        <v>199</v>
      </c>
      <c r="B201" s="6" t="s">
        <v>1154</v>
      </c>
      <c r="C201" s="11" t="s">
        <v>2325</v>
      </c>
      <c r="D201" s="6" t="s">
        <v>27</v>
      </c>
      <c r="E201" s="5" t="n">
        <v>18</v>
      </c>
      <c r="F201" s="9" t="s">
        <v>1176</v>
      </c>
      <c r="G201" s="95" t="s">
        <v>2290</v>
      </c>
      <c r="H201" s="15"/>
    </row>
    <row r="202" customFormat="false" ht="18" hidden="false" customHeight="true" outlineLevel="0" collapsed="false">
      <c r="A202" s="16" t="n">
        <v>200</v>
      </c>
      <c r="B202" s="17" t="s">
        <v>1154</v>
      </c>
      <c r="C202" s="22" t="s">
        <v>2326</v>
      </c>
      <c r="D202" s="17" t="s">
        <v>27</v>
      </c>
      <c r="E202" s="16" t="n">
        <v>27</v>
      </c>
      <c r="F202" s="20" t="s">
        <v>1179</v>
      </c>
      <c r="G202" s="95" t="s">
        <v>2290</v>
      </c>
      <c r="H202" s="25"/>
    </row>
    <row r="203" customFormat="false" ht="18" hidden="false" customHeight="true" outlineLevel="0" collapsed="false">
      <c r="A203" s="5" t="n">
        <v>201</v>
      </c>
      <c r="B203" s="6" t="s">
        <v>1154</v>
      </c>
      <c r="C203" s="11" t="s">
        <v>2327</v>
      </c>
      <c r="D203" s="6" t="s">
        <v>27</v>
      </c>
      <c r="E203" s="5" t="n">
        <v>18</v>
      </c>
      <c r="F203" s="9" t="s">
        <v>1182</v>
      </c>
      <c r="G203" s="95" t="s">
        <v>2290</v>
      </c>
      <c r="H203" s="15"/>
    </row>
    <row r="204" customFormat="false" ht="18" hidden="false" customHeight="true" outlineLevel="0" collapsed="false">
      <c r="A204" s="16" t="n">
        <v>202</v>
      </c>
      <c r="B204" s="17" t="s">
        <v>1154</v>
      </c>
      <c r="C204" s="22" t="s">
        <v>2328</v>
      </c>
      <c r="D204" s="17" t="s">
        <v>27</v>
      </c>
      <c r="E204" s="16" t="n">
        <v>27</v>
      </c>
      <c r="F204" s="20" t="s">
        <v>1185</v>
      </c>
      <c r="G204" s="95" t="s">
        <v>2290</v>
      </c>
      <c r="H204" s="25"/>
    </row>
    <row r="205" customFormat="false" ht="18" hidden="false" customHeight="true" outlineLevel="0" collapsed="false">
      <c r="A205" s="5" t="n">
        <v>203</v>
      </c>
      <c r="B205" s="6" t="s">
        <v>1154</v>
      </c>
      <c r="C205" s="11" t="s">
        <v>1190</v>
      </c>
      <c r="D205" s="6" t="s">
        <v>27</v>
      </c>
      <c r="E205" s="5" t="n">
        <v>18</v>
      </c>
      <c r="F205" s="9" t="s">
        <v>1191</v>
      </c>
      <c r="G205" s="95" t="s">
        <v>2290</v>
      </c>
      <c r="H205" s="15"/>
    </row>
    <row r="206" customFormat="false" ht="18" hidden="false" customHeight="true" outlineLevel="0" collapsed="false">
      <c r="A206" s="16" t="n">
        <v>204</v>
      </c>
      <c r="B206" s="17" t="s">
        <v>1154</v>
      </c>
      <c r="C206" s="22" t="s">
        <v>2329</v>
      </c>
      <c r="D206" s="17" t="s">
        <v>27</v>
      </c>
      <c r="E206" s="16" t="n">
        <v>18</v>
      </c>
      <c r="F206" s="20" t="s">
        <v>1194</v>
      </c>
      <c r="G206" s="95" t="s">
        <v>2290</v>
      </c>
      <c r="H206" s="25"/>
    </row>
    <row r="207" customFormat="false" ht="18" hidden="false" customHeight="true" outlineLevel="0" collapsed="false">
      <c r="A207" s="5" t="n">
        <v>205</v>
      </c>
      <c r="B207" s="6" t="s">
        <v>1154</v>
      </c>
      <c r="C207" s="11" t="s">
        <v>2330</v>
      </c>
      <c r="D207" s="6" t="s">
        <v>27</v>
      </c>
      <c r="E207" s="5" t="n">
        <v>24</v>
      </c>
      <c r="F207" s="9" t="s">
        <v>1206</v>
      </c>
      <c r="G207" s="95" t="s">
        <v>2290</v>
      </c>
      <c r="H207" s="15"/>
    </row>
    <row r="208" customFormat="false" ht="18" hidden="false" customHeight="true" outlineLevel="0" collapsed="false">
      <c r="A208" s="16" t="n">
        <v>206</v>
      </c>
      <c r="B208" s="17" t="s">
        <v>1154</v>
      </c>
      <c r="C208" s="22" t="s">
        <v>2331</v>
      </c>
      <c r="D208" s="17" t="s">
        <v>27</v>
      </c>
      <c r="E208" s="16" t="n">
        <v>18</v>
      </c>
      <c r="F208" s="20" t="s">
        <v>1208</v>
      </c>
      <c r="G208" s="95" t="s">
        <v>2290</v>
      </c>
      <c r="H208" s="25"/>
    </row>
    <row r="209" customFormat="false" ht="18" hidden="false" customHeight="true" outlineLevel="0" collapsed="false">
      <c r="A209" s="5" t="n">
        <v>207</v>
      </c>
      <c r="B209" s="6" t="s">
        <v>1154</v>
      </c>
      <c r="C209" s="11" t="s">
        <v>1217</v>
      </c>
      <c r="D209" s="6" t="s">
        <v>27</v>
      </c>
      <c r="E209" s="5" t="n">
        <v>18</v>
      </c>
      <c r="F209" s="9" t="s">
        <v>1218</v>
      </c>
      <c r="G209" s="95" t="s">
        <v>2290</v>
      </c>
      <c r="H209" s="15"/>
    </row>
    <row r="210" customFormat="false" ht="18" hidden="false" customHeight="true" outlineLevel="0" collapsed="false">
      <c r="A210" s="16" t="n">
        <v>208</v>
      </c>
      <c r="B210" s="17" t="s">
        <v>1154</v>
      </c>
      <c r="C210" s="22" t="s">
        <v>2332</v>
      </c>
      <c r="D210" s="17" t="s">
        <v>27</v>
      </c>
      <c r="E210" s="16" t="n">
        <v>18</v>
      </c>
      <c r="F210" s="20" t="s">
        <v>1221</v>
      </c>
      <c r="G210" s="95" t="s">
        <v>2290</v>
      </c>
      <c r="H210" s="25"/>
    </row>
    <row r="211" customFormat="false" ht="18" hidden="false" customHeight="true" outlineLevel="0" collapsed="false">
      <c r="A211" s="5" t="n">
        <v>209</v>
      </c>
      <c r="B211" s="6" t="s">
        <v>1154</v>
      </c>
      <c r="C211" s="11" t="s">
        <v>2333</v>
      </c>
      <c r="D211" s="6" t="s">
        <v>27</v>
      </c>
      <c r="E211" s="5" t="n">
        <v>36</v>
      </c>
      <c r="F211" s="9" t="s">
        <v>1227</v>
      </c>
      <c r="G211" s="95" t="s">
        <v>2290</v>
      </c>
      <c r="H211" s="15"/>
    </row>
    <row r="212" customFormat="false" ht="18" hidden="false" customHeight="true" outlineLevel="0" collapsed="false">
      <c r="A212" s="16" t="n">
        <v>210</v>
      </c>
      <c r="B212" s="17" t="s">
        <v>1154</v>
      </c>
      <c r="C212" s="22" t="s">
        <v>2334</v>
      </c>
      <c r="D212" s="17" t="s">
        <v>27</v>
      </c>
      <c r="E212" s="16" t="n">
        <v>18</v>
      </c>
      <c r="F212" s="20" t="s">
        <v>1233</v>
      </c>
      <c r="G212" s="95" t="s">
        <v>2290</v>
      </c>
      <c r="H212" s="25"/>
    </row>
    <row r="213" customFormat="false" ht="18" hidden="false" customHeight="true" outlineLevel="0" collapsed="false">
      <c r="A213" s="5" t="n">
        <v>211</v>
      </c>
      <c r="B213" s="6" t="s">
        <v>1154</v>
      </c>
      <c r="C213" s="11" t="s">
        <v>1241</v>
      </c>
      <c r="D213" s="6" t="s">
        <v>27</v>
      </c>
      <c r="E213" s="5" t="n">
        <v>18</v>
      </c>
      <c r="F213" s="9" t="s">
        <v>1242</v>
      </c>
      <c r="G213" s="95" t="s">
        <v>2290</v>
      </c>
      <c r="H213" s="15"/>
    </row>
    <row r="214" customFormat="false" ht="18" hidden="false" customHeight="true" outlineLevel="0" collapsed="false">
      <c r="A214" s="16" t="n">
        <v>212</v>
      </c>
      <c r="B214" s="17" t="s">
        <v>1154</v>
      </c>
      <c r="C214" s="22" t="s">
        <v>1249</v>
      </c>
      <c r="D214" s="17" t="s">
        <v>27</v>
      </c>
      <c r="E214" s="16" t="n">
        <v>18</v>
      </c>
      <c r="F214" s="20" t="s">
        <v>1155</v>
      </c>
      <c r="G214" s="95" t="s">
        <v>2290</v>
      </c>
      <c r="H214" s="25"/>
    </row>
    <row r="215" customFormat="false" ht="18" hidden="false" customHeight="true" outlineLevel="0" collapsed="false">
      <c r="A215" s="5" t="n">
        <v>213</v>
      </c>
      <c r="B215" s="6" t="s">
        <v>1154</v>
      </c>
      <c r="C215" s="11" t="s">
        <v>2335</v>
      </c>
      <c r="D215" s="6" t="s">
        <v>27</v>
      </c>
      <c r="E215" s="5" t="n">
        <v>27</v>
      </c>
      <c r="F215" s="9" t="s">
        <v>1255</v>
      </c>
      <c r="G215" s="95" t="s">
        <v>2290</v>
      </c>
      <c r="H215" s="15"/>
    </row>
    <row r="216" customFormat="false" ht="18" hidden="false" customHeight="true" outlineLevel="0" collapsed="false">
      <c r="A216" s="16" t="n">
        <v>214</v>
      </c>
      <c r="B216" s="17" t="s">
        <v>1154</v>
      </c>
      <c r="C216" s="22" t="s">
        <v>2336</v>
      </c>
      <c r="D216" s="17" t="s">
        <v>27</v>
      </c>
      <c r="E216" s="16" t="n">
        <v>18</v>
      </c>
      <c r="F216" s="20" t="s">
        <v>1258</v>
      </c>
      <c r="G216" s="95" t="s">
        <v>2290</v>
      </c>
      <c r="H216" s="25"/>
    </row>
    <row r="217" customFormat="false" ht="18" hidden="false" customHeight="true" outlineLevel="0" collapsed="false">
      <c r="A217" s="5" t="n">
        <v>215</v>
      </c>
      <c r="B217" s="6" t="s">
        <v>1154</v>
      </c>
      <c r="C217" s="11" t="s">
        <v>1270</v>
      </c>
      <c r="D217" s="6" t="s">
        <v>27</v>
      </c>
      <c r="E217" s="5" t="n">
        <v>18</v>
      </c>
      <c r="F217" s="9" t="s">
        <v>1271</v>
      </c>
      <c r="G217" s="95" t="s">
        <v>2290</v>
      </c>
      <c r="H217" s="15"/>
    </row>
    <row r="218" customFormat="false" ht="18" hidden="false" customHeight="true" outlineLevel="0" collapsed="false">
      <c r="A218" s="16" t="n">
        <v>216</v>
      </c>
      <c r="B218" s="17" t="s">
        <v>1154</v>
      </c>
      <c r="C218" s="22" t="s">
        <v>2337</v>
      </c>
      <c r="D218" s="17" t="s">
        <v>27</v>
      </c>
      <c r="E218" s="16" t="n">
        <v>18</v>
      </c>
      <c r="F218" s="20" t="s">
        <v>1277</v>
      </c>
      <c r="G218" s="95" t="s">
        <v>2290</v>
      </c>
      <c r="H218" s="25"/>
    </row>
    <row r="219" customFormat="false" ht="18" hidden="false" customHeight="true" outlineLevel="0" collapsed="false">
      <c r="A219" s="5" t="n">
        <v>217</v>
      </c>
      <c r="B219" s="6" t="s">
        <v>1154</v>
      </c>
      <c r="C219" s="11" t="s">
        <v>2338</v>
      </c>
      <c r="D219" s="6" t="s">
        <v>27</v>
      </c>
      <c r="E219" s="5" t="n">
        <v>18</v>
      </c>
      <c r="F219" s="9" t="s">
        <v>1280</v>
      </c>
      <c r="G219" s="95" t="s">
        <v>2290</v>
      </c>
      <c r="H219" s="15"/>
    </row>
    <row r="220" customFormat="false" ht="18" hidden="false" customHeight="true" outlineLevel="0" collapsed="false">
      <c r="A220" s="16" t="n">
        <v>218</v>
      </c>
      <c r="B220" s="17" t="s">
        <v>1154</v>
      </c>
      <c r="C220" s="22" t="s">
        <v>1285</v>
      </c>
      <c r="D220" s="17" t="s">
        <v>27</v>
      </c>
      <c r="E220" s="16" t="n">
        <v>18</v>
      </c>
      <c r="F220" s="20" t="s">
        <v>1286</v>
      </c>
      <c r="G220" s="95" t="s">
        <v>2290</v>
      </c>
      <c r="H220" s="25"/>
    </row>
    <row r="221" customFormat="false" ht="18" hidden="false" customHeight="true" outlineLevel="0" collapsed="false">
      <c r="A221" s="5" t="n">
        <v>219</v>
      </c>
      <c r="B221" s="6" t="s">
        <v>1154</v>
      </c>
      <c r="C221" s="11" t="s">
        <v>2339</v>
      </c>
      <c r="D221" s="6" t="s">
        <v>27</v>
      </c>
      <c r="E221" s="5" t="n">
        <v>18</v>
      </c>
      <c r="F221" s="9" t="s">
        <v>1297</v>
      </c>
      <c r="G221" s="95" t="s">
        <v>2290</v>
      </c>
      <c r="H221" s="15"/>
    </row>
    <row r="222" customFormat="false" ht="18" hidden="false" customHeight="true" outlineLevel="0" collapsed="false">
      <c r="A222" s="16" t="n">
        <v>220</v>
      </c>
      <c r="B222" s="17" t="s">
        <v>1154</v>
      </c>
      <c r="C222" s="22" t="s">
        <v>2340</v>
      </c>
      <c r="D222" s="17" t="s">
        <v>27</v>
      </c>
      <c r="E222" s="16" t="n">
        <v>27</v>
      </c>
      <c r="F222" s="20" t="s">
        <v>1306</v>
      </c>
      <c r="G222" s="95" t="s">
        <v>2290</v>
      </c>
      <c r="H222" s="25"/>
    </row>
    <row r="223" customFormat="false" ht="18" hidden="false" customHeight="true" outlineLevel="0" collapsed="false">
      <c r="A223" s="5" t="n">
        <v>221</v>
      </c>
      <c r="B223" s="6" t="s">
        <v>1154</v>
      </c>
      <c r="C223" s="11" t="s">
        <v>2341</v>
      </c>
      <c r="D223" s="6" t="s">
        <v>27</v>
      </c>
      <c r="E223" s="5" t="n">
        <v>18</v>
      </c>
      <c r="F223" s="9" t="s">
        <v>1309</v>
      </c>
      <c r="G223" s="95" t="s">
        <v>2290</v>
      </c>
      <c r="H223" s="15"/>
    </row>
    <row r="224" customFormat="false" ht="18" hidden="false" customHeight="true" outlineLevel="0" collapsed="false">
      <c r="A224" s="16" t="n">
        <v>222</v>
      </c>
      <c r="B224" s="17" t="s">
        <v>1154</v>
      </c>
      <c r="C224" s="22" t="s">
        <v>2342</v>
      </c>
      <c r="D224" s="17" t="s">
        <v>27</v>
      </c>
      <c r="E224" s="16" t="n">
        <v>18</v>
      </c>
      <c r="F224" s="20" t="s">
        <v>1312</v>
      </c>
      <c r="G224" s="95" t="s">
        <v>2290</v>
      </c>
      <c r="H224" s="25"/>
    </row>
    <row r="225" customFormat="false" ht="18" hidden="false" customHeight="true" outlineLevel="0" collapsed="false">
      <c r="A225" s="5" t="n">
        <v>223</v>
      </c>
      <c r="B225" s="6" t="s">
        <v>1142</v>
      </c>
      <c r="C225" s="11" t="s">
        <v>1146</v>
      </c>
      <c r="D225" s="6" t="s">
        <v>27</v>
      </c>
      <c r="E225" s="5" t="n">
        <v>27</v>
      </c>
      <c r="F225" s="9" t="s">
        <v>1147</v>
      </c>
      <c r="G225" s="95" t="s">
        <v>2290</v>
      </c>
      <c r="H225" s="15"/>
    </row>
    <row r="226" customFormat="false" ht="18" hidden="false" customHeight="true" outlineLevel="0" collapsed="false">
      <c r="A226" s="16" t="n">
        <v>224</v>
      </c>
      <c r="B226" s="17" t="s">
        <v>1440</v>
      </c>
      <c r="C226" s="22" t="s">
        <v>1457</v>
      </c>
      <c r="D226" s="17" t="s">
        <v>27</v>
      </c>
      <c r="E226" s="16" t="n">
        <v>18</v>
      </c>
      <c r="F226" s="20" t="s">
        <v>1458</v>
      </c>
      <c r="G226" s="95" t="s">
        <v>2290</v>
      </c>
      <c r="H226" s="25"/>
    </row>
    <row r="227" customFormat="false" ht="18" hidden="false" customHeight="true" outlineLevel="0" collapsed="false">
      <c r="A227" s="5" t="n">
        <v>225</v>
      </c>
      <c r="B227" s="6" t="s">
        <v>500</v>
      </c>
      <c r="C227" s="11" t="s">
        <v>2343</v>
      </c>
      <c r="D227" s="6" t="s">
        <v>27</v>
      </c>
      <c r="E227" s="5" t="n">
        <v>27</v>
      </c>
      <c r="F227" s="9" t="s">
        <v>502</v>
      </c>
      <c r="G227" s="95" t="s">
        <v>2290</v>
      </c>
      <c r="H227" s="15"/>
    </row>
    <row r="228" customFormat="false" ht="18" hidden="false" customHeight="true" outlineLevel="0" collapsed="false">
      <c r="A228" s="16" t="n">
        <v>226</v>
      </c>
      <c r="B228" s="17" t="s">
        <v>938</v>
      </c>
      <c r="C228" s="22" t="s">
        <v>939</v>
      </c>
      <c r="D228" s="17" t="s">
        <v>27</v>
      </c>
      <c r="E228" s="16" t="n">
        <v>18</v>
      </c>
      <c r="F228" s="20" t="s">
        <v>940</v>
      </c>
      <c r="G228" s="95" t="s">
        <v>2290</v>
      </c>
      <c r="H228" s="25"/>
    </row>
    <row r="229" customFormat="false" ht="18" hidden="false" customHeight="true" outlineLevel="0" collapsed="false">
      <c r="A229" s="5" t="n">
        <v>227</v>
      </c>
      <c r="B229" s="6" t="s">
        <v>938</v>
      </c>
      <c r="C229" s="11" t="s">
        <v>2344</v>
      </c>
      <c r="D229" s="6" t="s">
        <v>27</v>
      </c>
      <c r="E229" s="5" t="n">
        <v>27</v>
      </c>
      <c r="F229" s="9" t="s">
        <v>945</v>
      </c>
      <c r="G229" s="95" t="s">
        <v>2290</v>
      </c>
      <c r="H229" s="15"/>
    </row>
    <row r="230" customFormat="false" ht="18" hidden="false" customHeight="true" outlineLevel="0" collapsed="false">
      <c r="A230" s="16" t="n">
        <v>228</v>
      </c>
      <c r="B230" s="17" t="s">
        <v>1490</v>
      </c>
      <c r="C230" s="22" t="s">
        <v>1491</v>
      </c>
      <c r="D230" s="17" t="s">
        <v>27</v>
      </c>
      <c r="E230" s="16" t="n">
        <v>18</v>
      </c>
      <c r="F230" s="20" t="s">
        <v>1492</v>
      </c>
      <c r="G230" s="95" t="s">
        <v>2290</v>
      </c>
      <c r="H230" s="25"/>
    </row>
    <row r="231" customFormat="false" ht="18" hidden="false" customHeight="true" outlineLevel="0" collapsed="false">
      <c r="A231" s="5" t="n">
        <v>229</v>
      </c>
      <c r="B231" s="6" t="s">
        <v>1490</v>
      </c>
      <c r="C231" s="11" t="s">
        <v>2345</v>
      </c>
      <c r="D231" s="6" t="s">
        <v>27</v>
      </c>
      <c r="E231" s="5" t="n">
        <v>18</v>
      </c>
      <c r="F231" s="9" t="s">
        <v>1495</v>
      </c>
      <c r="G231" s="95" t="s">
        <v>2290</v>
      </c>
      <c r="H231" s="15"/>
    </row>
    <row r="232" customFormat="false" ht="18" hidden="false" customHeight="true" outlineLevel="0" collapsed="false">
      <c r="A232" s="16" t="n">
        <v>230</v>
      </c>
      <c r="B232" s="17" t="s">
        <v>504</v>
      </c>
      <c r="C232" s="30" t="s">
        <v>2346</v>
      </c>
      <c r="D232" s="17" t="s">
        <v>27</v>
      </c>
      <c r="E232" s="16" t="n">
        <v>63</v>
      </c>
      <c r="F232" s="20" t="s">
        <v>506</v>
      </c>
      <c r="G232" s="95" t="s">
        <v>2290</v>
      </c>
      <c r="H232" s="25"/>
    </row>
    <row r="233" customFormat="false" ht="18" hidden="false" customHeight="true" outlineLevel="0" collapsed="false">
      <c r="A233" s="5" t="n">
        <v>231</v>
      </c>
      <c r="B233" s="6" t="s">
        <v>504</v>
      </c>
      <c r="C233" s="40" t="s">
        <v>2347</v>
      </c>
      <c r="D233" s="6" t="s">
        <v>27</v>
      </c>
      <c r="E233" s="5" t="n">
        <v>18</v>
      </c>
      <c r="F233" s="9" t="s">
        <v>509</v>
      </c>
      <c r="G233" s="95" t="s">
        <v>2290</v>
      </c>
      <c r="H233" s="15"/>
    </row>
    <row r="234" customFormat="false" ht="18" hidden="false" customHeight="true" outlineLevel="0" collapsed="false">
      <c r="A234" s="16" t="n">
        <v>232</v>
      </c>
      <c r="B234" s="17" t="s">
        <v>504</v>
      </c>
      <c r="C234" s="22" t="s">
        <v>513</v>
      </c>
      <c r="D234" s="17" t="s">
        <v>27</v>
      </c>
      <c r="E234" s="16" t="n">
        <v>36</v>
      </c>
      <c r="F234" s="20" t="s">
        <v>514</v>
      </c>
      <c r="G234" s="95" t="s">
        <v>2290</v>
      </c>
      <c r="H234" s="25"/>
    </row>
    <row r="235" customFormat="false" ht="18" hidden="false" customHeight="true" outlineLevel="0" collapsed="false">
      <c r="A235" s="5" t="n">
        <v>233</v>
      </c>
      <c r="B235" s="6" t="s">
        <v>504</v>
      </c>
      <c r="C235" s="11" t="s">
        <v>518</v>
      </c>
      <c r="D235" s="6" t="s">
        <v>27</v>
      </c>
      <c r="E235" s="5" t="n">
        <v>27</v>
      </c>
      <c r="F235" s="9" t="s">
        <v>519</v>
      </c>
      <c r="G235" s="95" t="s">
        <v>2290</v>
      </c>
      <c r="H235" s="15"/>
    </row>
    <row r="236" customFormat="false" ht="18" hidden="false" customHeight="true" outlineLevel="0" collapsed="false">
      <c r="A236" s="16" t="n">
        <v>234</v>
      </c>
      <c r="B236" s="17" t="s">
        <v>504</v>
      </c>
      <c r="C236" s="22" t="s">
        <v>523</v>
      </c>
      <c r="D236" s="17" t="s">
        <v>27</v>
      </c>
      <c r="E236" s="16" t="n">
        <v>18</v>
      </c>
      <c r="F236" s="20" t="s">
        <v>524</v>
      </c>
      <c r="G236" s="95" t="s">
        <v>2290</v>
      </c>
      <c r="H236" s="25"/>
    </row>
    <row r="237" customFormat="false" ht="18" hidden="false" customHeight="true" outlineLevel="0" collapsed="false">
      <c r="A237" s="5" t="n">
        <v>235</v>
      </c>
      <c r="B237" s="6" t="s">
        <v>504</v>
      </c>
      <c r="C237" s="11" t="s">
        <v>526</v>
      </c>
      <c r="D237" s="6" t="s">
        <v>27</v>
      </c>
      <c r="E237" s="5" t="n">
        <v>18</v>
      </c>
      <c r="F237" s="9" t="s">
        <v>527</v>
      </c>
      <c r="G237" s="95" t="s">
        <v>2290</v>
      </c>
      <c r="H237" s="15"/>
    </row>
    <row r="238" customFormat="false" ht="18" hidden="false" customHeight="true" outlineLevel="0" collapsed="false">
      <c r="A238" s="16" t="n">
        <v>236</v>
      </c>
      <c r="B238" s="17" t="s">
        <v>504</v>
      </c>
      <c r="C238" s="22" t="s">
        <v>529</v>
      </c>
      <c r="D238" s="17" t="s">
        <v>27</v>
      </c>
      <c r="E238" s="16" t="n">
        <v>18</v>
      </c>
      <c r="F238" s="20" t="s">
        <v>530</v>
      </c>
      <c r="G238" s="95" t="s">
        <v>2290</v>
      </c>
      <c r="H238" s="25"/>
    </row>
    <row r="239" customFormat="false" ht="18" hidden="false" customHeight="true" outlineLevel="0" collapsed="false">
      <c r="A239" s="5" t="n">
        <v>237</v>
      </c>
      <c r="B239" s="6" t="s">
        <v>504</v>
      </c>
      <c r="C239" s="11" t="s">
        <v>535</v>
      </c>
      <c r="D239" s="6" t="s">
        <v>27</v>
      </c>
      <c r="E239" s="5" t="n">
        <v>18</v>
      </c>
      <c r="F239" s="9" t="s">
        <v>536</v>
      </c>
      <c r="G239" s="95" t="s">
        <v>2290</v>
      </c>
      <c r="H239" s="15"/>
    </row>
    <row r="240" customFormat="false" ht="18" hidden="false" customHeight="true" outlineLevel="0" collapsed="false">
      <c r="A240" s="16" t="n">
        <v>238</v>
      </c>
      <c r="B240" s="17" t="s">
        <v>1023</v>
      </c>
      <c r="C240" s="30" t="s">
        <v>2348</v>
      </c>
      <c r="D240" s="17" t="s">
        <v>27</v>
      </c>
      <c r="E240" s="16" t="n">
        <v>27</v>
      </c>
      <c r="F240" s="20" t="s">
        <v>1025</v>
      </c>
      <c r="G240" s="95" t="s">
        <v>2290</v>
      </c>
      <c r="H240" s="25"/>
    </row>
    <row r="241" customFormat="false" ht="18" hidden="false" customHeight="true" outlineLevel="0" collapsed="false">
      <c r="A241" s="5" t="n">
        <v>239</v>
      </c>
      <c r="B241" s="6" t="s">
        <v>1023</v>
      </c>
      <c r="C241" s="11" t="s">
        <v>2349</v>
      </c>
      <c r="D241" s="6" t="s">
        <v>27</v>
      </c>
      <c r="E241" s="5" t="n">
        <v>18</v>
      </c>
      <c r="F241" s="9" t="s">
        <v>1028</v>
      </c>
      <c r="G241" s="95" t="s">
        <v>2290</v>
      </c>
      <c r="H241" s="15"/>
    </row>
    <row r="242" customFormat="false" ht="18" hidden="false" customHeight="true" outlineLevel="0" collapsed="false">
      <c r="A242" s="16" t="n">
        <v>240</v>
      </c>
      <c r="B242" s="17" t="s">
        <v>1023</v>
      </c>
      <c r="C242" s="22" t="s">
        <v>1032</v>
      </c>
      <c r="D242" s="17" t="s">
        <v>27</v>
      </c>
      <c r="E242" s="16" t="n">
        <v>36</v>
      </c>
      <c r="F242" s="20" t="s">
        <v>1033</v>
      </c>
      <c r="G242" s="95" t="s">
        <v>2290</v>
      </c>
      <c r="H242" s="25"/>
    </row>
    <row r="243" customFormat="false" ht="18" hidden="false" customHeight="true" outlineLevel="0" collapsed="false">
      <c r="A243" s="5" t="n">
        <v>241</v>
      </c>
      <c r="B243" s="6" t="s">
        <v>1023</v>
      </c>
      <c r="C243" s="11" t="s">
        <v>1044</v>
      </c>
      <c r="D243" s="6" t="s">
        <v>27</v>
      </c>
      <c r="E243" s="5" t="n">
        <v>27</v>
      </c>
      <c r="F243" s="9" t="s">
        <v>1045</v>
      </c>
      <c r="G243" s="95" t="s">
        <v>2290</v>
      </c>
      <c r="H243" s="15"/>
    </row>
    <row r="244" customFormat="false" ht="18" hidden="false" customHeight="true" outlineLevel="0" collapsed="false">
      <c r="A244" s="16" t="n">
        <v>242</v>
      </c>
      <c r="B244" s="17" t="s">
        <v>1023</v>
      </c>
      <c r="C244" s="22" t="s">
        <v>2350</v>
      </c>
      <c r="D244" s="17" t="s">
        <v>27</v>
      </c>
      <c r="E244" s="16" t="n">
        <v>18</v>
      </c>
      <c r="F244" s="20" t="s">
        <v>1048</v>
      </c>
      <c r="G244" s="95" t="s">
        <v>2290</v>
      </c>
      <c r="H244" s="25"/>
    </row>
    <row r="245" customFormat="false" ht="18" hidden="false" customHeight="true" outlineLevel="0" collapsed="false">
      <c r="A245" s="5" t="n">
        <v>243</v>
      </c>
      <c r="B245" s="6" t="s">
        <v>1023</v>
      </c>
      <c r="C245" s="11" t="s">
        <v>2351</v>
      </c>
      <c r="D245" s="6" t="s">
        <v>27</v>
      </c>
      <c r="E245" s="5" t="n">
        <v>18</v>
      </c>
      <c r="F245" s="9" t="s">
        <v>1051</v>
      </c>
      <c r="G245" s="95" t="s">
        <v>2290</v>
      </c>
      <c r="H245" s="15"/>
    </row>
    <row r="246" customFormat="false" ht="18" hidden="false" customHeight="true" outlineLevel="0" collapsed="false">
      <c r="A246" s="16" t="n">
        <v>244</v>
      </c>
      <c r="B246" s="17" t="s">
        <v>1023</v>
      </c>
      <c r="C246" s="22" t="s">
        <v>2352</v>
      </c>
      <c r="D246" s="17" t="s">
        <v>27</v>
      </c>
      <c r="E246" s="16" t="n">
        <v>27</v>
      </c>
      <c r="F246" s="20" t="s">
        <v>1054</v>
      </c>
      <c r="G246" s="95" t="s">
        <v>2290</v>
      </c>
      <c r="H246" s="25"/>
    </row>
    <row r="247" customFormat="false" ht="18" hidden="false" customHeight="true" outlineLevel="0" collapsed="false">
      <c r="A247" s="5" t="n">
        <v>245</v>
      </c>
      <c r="B247" s="6" t="s">
        <v>1023</v>
      </c>
      <c r="C247" s="11" t="s">
        <v>2353</v>
      </c>
      <c r="D247" s="6" t="s">
        <v>27</v>
      </c>
      <c r="E247" s="5" t="n">
        <v>54</v>
      </c>
      <c r="F247" s="9" t="s">
        <v>1057</v>
      </c>
      <c r="G247" s="95" t="s">
        <v>2290</v>
      </c>
      <c r="H247" s="15"/>
    </row>
    <row r="248" customFormat="false" ht="18" hidden="false" customHeight="true" outlineLevel="0" collapsed="false">
      <c r="A248" s="16" t="n">
        <v>246</v>
      </c>
      <c r="B248" s="17" t="s">
        <v>1023</v>
      </c>
      <c r="C248" s="22" t="s">
        <v>2354</v>
      </c>
      <c r="D248" s="17" t="s">
        <v>27</v>
      </c>
      <c r="E248" s="16" t="n">
        <v>18</v>
      </c>
      <c r="F248" s="20" t="s">
        <v>1063</v>
      </c>
      <c r="G248" s="95" t="s">
        <v>2290</v>
      </c>
      <c r="H248" s="25"/>
    </row>
    <row r="249" customFormat="false" ht="18" hidden="false" customHeight="true" outlineLevel="0" collapsed="false">
      <c r="A249" s="5" t="n">
        <v>247</v>
      </c>
      <c r="B249" s="6" t="s">
        <v>1023</v>
      </c>
      <c r="C249" s="11" t="s">
        <v>2355</v>
      </c>
      <c r="D249" s="6" t="s">
        <v>27</v>
      </c>
      <c r="E249" s="5" t="n">
        <v>45</v>
      </c>
      <c r="F249" s="9" t="s">
        <v>1069</v>
      </c>
      <c r="G249" s="95" t="s">
        <v>2290</v>
      </c>
      <c r="H249" s="15"/>
    </row>
    <row r="250" customFormat="false" ht="18" hidden="false" customHeight="true" outlineLevel="0" collapsed="false">
      <c r="A250" s="16" t="n">
        <v>248</v>
      </c>
      <c r="B250" s="17" t="s">
        <v>1023</v>
      </c>
      <c r="C250" s="22" t="s">
        <v>1071</v>
      </c>
      <c r="D250" s="17" t="s">
        <v>27</v>
      </c>
      <c r="E250" s="16" t="n">
        <v>27</v>
      </c>
      <c r="F250" s="20" t="s">
        <v>1072</v>
      </c>
      <c r="G250" s="95" t="s">
        <v>2290</v>
      </c>
      <c r="H250" s="25"/>
    </row>
    <row r="251" customFormat="false" ht="18" hidden="false" customHeight="true" outlineLevel="0" collapsed="false">
      <c r="A251" s="5" t="n">
        <v>249</v>
      </c>
      <c r="B251" s="6" t="s">
        <v>1023</v>
      </c>
      <c r="C251" s="11" t="s">
        <v>2356</v>
      </c>
      <c r="D251" s="6" t="s">
        <v>27</v>
      </c>
      <c r="E251" s="5" t="n">
        <v>18</v>
      </c>
      <c r="F251" s="9" t="s">
        <v>1074</v>
      </c>
      <c r="G251" s="95" t="s">
        <v>2290</v>
      </c>
      <c r="H251" s="15"/>
    </row>
    <row r="252" customFormat="false" ht="18" hidden="false" customHeight="true" outlineLevel="0" collapsed="false">
      <c r="A252" s="16" t="n">
        <v>250</v>
      </c>
      <c r="B252" s="17" t="s">
        <v>1023</v>
      </c>
      <c r="C252" s="22" t="s">
        <v>2357</v>
      </c>
      <c r="D252" s="17" t="s">
        <v>27</v>
      </c>
      <c r="E252" s="16" t="n">
        <v>18</v>
      </c>
      <c r="F252" s="20" t="s">
        <v>1081</v>
      </c>
      <c r="G252" s="95" t="s">
        <v>2290</v>
      </c>
      <c r="H252" s="25"/>
    </row>
    <row r="253" customFormat="false" ht="18" hidden="false" customHeight="true" outlineLevel="0" collapsed="false">
      <c r="A253" s="5" t="n">
        <v>251</v>
      </c>
      <c r="B253" s="6" t="s">
        <v>1023</v>
      </c>
      <c r="C253" s="11" t="s">
        <v>2358</v>
      </c>
      <c r="D253" s="6" t="s">
        <v>27</v>
      </c>
      <c r="E253" s="5" t="n">
        <v>27</v>
      </c>
      <c r="F253" s="9" t="s">
        <v>1087</v>
      </c>
      <c r="G253" s="95" t="s">
        <v>2290</v>
      </c>
      <c r="H253" s="15"/>
    </row>
    <row r="254" customFormat="false" ht="18" hidden="false" customHeight="true" outlineLevel="0" collapsed="false">
      <c r="A254" s="16" t="n">
        <v>252</v>
      </c>
      <c r="B254" s="17" t="s">
        <v>1023</v>
      </c>
      <c r="C254" s="22" t="s">
        <v>2359</v>
      </c>
      <c r="D254" s="17" t="s">
        <v>27</v>
      </c>
      <c r="E254" s="16" t="n">
        <v>18</v>
      </c>
      <c r="F254" s="20" t="s">
        <v>1093</v>
      </c>
      <c r="G254" s="95" t="s">
        <v>2290</v>
      </c>
      <c r="H254" s="25"/>
    </row>
    <row r="255" customFormat="false" ht="18" hidden="false" customHeight="true" outlineLevel="0" collapsed="false">
      <c r="A255" s="5" t="n">
        <v>253</v>
      </c>
      <c r="B255" s="6" t="s">
        <v>1023</v>
      </c>
      <c r="C255" s="11" t="s">
        <v>2360</v>
      </c>
      <c r="D255" s="6" t="s">
        <v>27</v>
      </c>
      <c r="E255" s="5" t="n">
        <v>18</v>
      </c>
      <c r="F255" s="9" t="s">
        <v>1102</v>
      </c>
      <c r="G255" s="95" t="s">
        <v>2290</v>
      </c>
      <c r="H255" s="15"/>
    </row>
    <row r="256" customFormat="false" ht="18" hidden="false" customHeight="true" outlineLevel="0" collapsed="false">
      <c r="A256" s="16" t="n">
        <v>254</v>
      </c>
      <c r="B256" s="17" t="s">
        <v>1023</v>
      </c>
      <c r="C256" s="22" t="s">
        <v>2361</v>
      </c>
      <c r="D256" s="17" t="s">
        <v>27</v>
      </c>
      <c r="E256" s="16" t="n">
        <v>18</v>
      </c>
      <c r="F256" s="20" t="s">
        <v>1114</v>
      </c>
      <c r="G256" s="95" t="s">
        <v>2290</v>
      </c>
      <c r="H256" s="25"/>
    </row>
    <row r="257" customFormat="false" ht="18" hidden="false" customHeight="true" outlineLevel="0" collapsed="false">
      <c r="A257" s="5" t="n">
        <v>255</v>
      </c>
      <c r="B257" s="6" t="s">
        <v>1023</v>
      </c>
      <c r="C257" s="11" t="s">
        <v>1116</v>
      </c>
      <c r="D257" s="6" t="s">
        <v>27</v>
      </c>
      <c r="E257" s="5" t="n">
        <v>18</v>
      </c>
      <c r="F257" s="9" t="s">
        <v>1096</v>
      </c>
      <c r="G257" s="95" t="s">
        <v>2290</v>
      </c>
      <c r="H257" s="15"/>
    </row>
    <row r="258" customFormat="false" ht="18" hidden="false" customHeight="true" outlineLevel="0" collapsed="false">
      <c r="A258" s="16" t="n">
        <v>256</v>
      </c>
      <c r="B258" s="17" t="s">
        <v>1023</v>
      </c>
      <c r="C258" s="22" t="s">
        <v>2362</v>
      </c>
      <c r="D258" s="17" t="s">
        <v>27</v>
      </c>
      <c r="E258" s="16" t="n">
        <v>27</v>
      </c>
      <c r="F258" s="20" t="s">
        <v>1122</v>
      </c>
      <c r="G258" s="95" t="s">
        <v>2290</v>
      </c>
      <c r="H258" s="25"/>
    </row>
    <row r="259" customFormat="false" ht="18" hidden="false" customHeight="true" outlineLevel="0" collapsed="false">
      <c r="A259" s="5" t="n">
        <v>257</v>
      </c>
      <c r="B259" s="6" t="s">
        <v>1023</v>
      </c>
      <c r="C259" s="11" t="s">
        <v>1124</v>
      </c>
      <c r="D259" s="6" t="s">
        <v>27</v>
      </c>
      <c r="E259" s="5" t="n">
        <v>27</v>
      </c>
      <c r="F259" s="9" t="s">
        <v>1125</v>
      </c>
      <c r="G259" s="95" t="s">
        <v>2290</v>
      </c>
      <c r="H259" s="15"/>
    </row>
    <row r="260" customFormat="false" ht="18" hidden="false" customHeight="true" outlineLevel="0" collapsed="false">
      <c r="A260" s="16" t="n">
        <v>258</v>
      </c>
      <c r="B260" s="17" t="s">
        <v>1023</v>
      </c>
      <c r="C260" s="22" t="s">
        <v>2363</v>
      </c>
      <c r="D260" s="17" t="s">
        <v>27</v>
      </c>
      <c r="E260" s="16" t="n">
        <v>27</v>
      </c>
      <c r="F260" s="20" t="s">
        <v>1128</v>
      </c>
      <c r="G260" s="95" t="s">
        <v>2290</v>
      </c>
      <c r="H260" s="25"/>
    </row>
    <row r="261" customFormat="false" ht="18" hidden="false" customHeight="true" outlineLevel="0" collapsed="false">
      <c r="A261" s="5" t="n">
        <v>259</v>
      </c>
      <c r="B261" s="6" t="s">
        <v>1023</v>
      </c>
      <c r="C261" s="11" t="s">
        <v>2364</v>
      </c>
      <c r="D261" s="6" t="s">
        <v>27</v>
      </c>
      <c r="E261" s="5" t="n">
        <v>18</v>
      </c>
      <c r="F261" s="9" t="s">
        <v>1134</v>
      </c>
      <c r="G261" s="95" t="s">
        <v>2290</v>
      </c>
      <c r="H261" s="15"/>
    </row>
    <row r="262" customFormat="false" ht="18" hidden="false" customHeight="true" outlineLevel="0" collapsed="false">
      <c r="A262" s="16" t="n">
        <v>260</v>
      </c>
      <c r="B262" s="17" t="s">
        <v>950</v>
      </c>
      <c r="C262" s="30" t="s">
        <v>2365</v>
      </c>
      <c r="D262" s="17" t="s">
        <v>27</v>
      </c>
      <c r="E262" s="16" t="n">
        <v>18</v>
      </c>
      <c r="F262" s="20" t="s">
        <v>952</v>
      </c>
      <c r="G262" s="95" t="s">
        <v>2290</v>
      </c>
      <c r="H262" s="25"/>
    </row>
    <row r="263" customFormat="false" ht="18" hidden="false" customHeight="true" outlineLevel="0" collapsed="false">
      <c r="A263" s="5" t="n">
        <v>261</v>
      </c>
      <c r="B263" s="6" t="s">
        <v>950</v>
      </c>
      <c r="C263" s="11" t="s">
        <v>2366</v>
      </c>
      <c r="D263" s="6" t="s">
        <v>27</v>
      </c>
      <c r="E263" s="5" t="n">
        <v>21</v>
      </c>
      <c r="F263" s="9" t="s">
        <v>958</v>
      </c>
      <c r="G263" s="95" t="s">
        <v>2290</v>
      </c>
      <c r="H263" s="15"/>
    </row>
    <row r="264" customFormat="false" ht="18" hidden="false" customHeight="true" outlineLevel="0" collapsed="false">
      <c r="A264" s="16" t="n">
        <v>262</v>
      </c>
      <c r="B264" s="17" t="s">
        <v>950</v>
      </c>
      <c r="C264" s="22" t="s">
        <v>960</v>
      </c>
      <c r="D264" s="17" t="s">
        <v>27</v>
      </c>
      <c r="E264" s="16" t="n">
        <v>18</v>
      </c>
      <c r="F264" s="20" t="s">
        <v>961</v>
      </c>
      <c r="G264" s="95" t="s">
        <v>2290</v>
      </c>
      <c r="H264" s="25"/>
    </row>
    <row r="265" customFormat="false" ht="18" hidden="false" customHeight="true" outlineLevel="0" collapsed="false">
      <c r="A265" s="5" t="n">
        <v>263</v>
      </c>
      <c r="B265" s="6" t="s">
        <v>950</v>
      </c>
      <c r="C265" s="11" t="s">
        <v>963</v>
      </c>
      <c r="D265" s="6" t="s">
        <v>27</v>
      </c>
      <c r="E265" s="5" t="n">
        <v>18</v>
      </c>
      <c r="F265" s="9" t="s">
        <v>964</v>
      </c>
      <c r="G265" s="95" t="s">
        <v>2290</v>
      </c>
      <c r="H265" s="15"/>
    </row>
    <row r="266" customFormat="false" ht="18" hidden="false" customHeight="true" outlineLevel="0" collapsed="false">
      <c r="A266" s="16" t="n">
        <v>264</v>
      </c>
      <c r="B266" s="17" t="s">
        <v>950</v>
      </c>
      <c r="C266" s="22" t="s">
        <v>966</v>
      </c>
      <c r="D266" s="17" t="s">
        <v>27</v>
      </c>
      <c r="E266" s="16" t="n">
        <v>18</v>
      </c>
      <c r="F266" s="20" t="s">
        <v>967</v>
      </c>
      <c r="G266" s="95" t="s">
        <v>2290</v>
      </c>
      <c r="H266" s="25"/>
    </row>
    <row r="267" customFormat="false" ht="18" hidden="false" customHeight="true" outlineLevel="0" collapsed="false">
      <c r="A267" s="5" t="n">
        <v>265</v>
      </c>
      <c r="B267" s="6" t="s">
        <v>950</v>
      </c>
      <c r="C267" s="11" t="s">
        <v>2367</v>
      </c>
      <c r="D267" s="6" t="s">
        <v>27</v>
      </c>
      <c r="E267" s="5" t="n">
        <v>81</v>
      </c>
      <c r="F267" s="9" t="s">
        <v>969</v>
      </c>
      <c r="G267" s="95" t="s">
        <v>2290</v>
      </c>
      <c r="H267" s="15"/>
    </row>
    <row r="268" customFormat="false" ht="18" hidden="false" customHeight="true" outlineLevel="0" collapsed="false">
      <c r="A268" s="16" t="n">
        <v>266</v>
      </c>
      <c r="B268" s="17" t="s">
        <v>950</v>
      </c>
      <c r="C268" s="22" t="s">
        <v>2368</v>
      </c>
      <c r="D268" s="17" t="s">
        <v>27</v>
      </c>
      <c r="E268" s="16" t="n">
        <v>18</v>
      </c>
      <c r="F268" s="20" t="s">
        <v>972</v>
      </c>
      <c r="G268" s="95" t="s">
        <v>2290</v>
      </c>
      <c r="H268" s="25"/>
    </row>
    <row r="269" customFormat="false" ht="18" hidden="false" customHeight="true" outlineLevel="0" collapsed="false">
      <c r="A269" s="5" t="n">
        <v>267</v>
      </c>
      <c r="B269" s="6" t="s">
        <v>950</v>
      </c>
      <c r="C269" s="11" t="s">
        <v>974</v>
      </c>
      <c r="D269" s="6" t="s">
        <v>27</v>
      </c>
      <c r="E269" s="5" t="n">
        <v>18</v>
      </c>
      <c r="F269" s="9" t="s">
        <v>975</v>
      </c>
      <c r="G269" s="95" t="s">
        <v>2290</v>
      </c>
      <c r="H269" s="15"/>
    </row>
    <row r="270" customFormat="false" ht="18" hidden="false" customHeight="true" outlineLevel="0" collapsed="false">
      <c r="A270" s="16" t="n">
        <v>268</v>
      </c>
      <c r="B270" s="17" t="s">
        <v>950</v>
      </c>
      <c r="C270" s="22" t="s">
        <v>2369</v>
      </c>
      <c r="D270" s="17" t="s">
        <v>27</v>
      </c>
      <c r="E270" s="16" t="n">
        <v>18</v>
      </c>
      <c r="F270" s="20" t="s">
        <v>978</v>
      </c>
      <c r="G270" s="95" t="s">
        <v>2290</v>
      </c>
      <c r="H270" s="25"/>
    </row>
    <row r="271" customFormat="false" ht="18" hidden="false" customHeight="true" outlineLevel="0" collapsed="false">
      <c r="A271" s="5" t="n">
        <v>269</v>
      </c>
      <c r="B271" s="6" t="s">
        <v>950</v>
      </c>
      <c r="C271" s="11" t="s">
        <v>2370</v>
      </c>
      <c r="D271" s="6" t="s">
        <v>27</v>
      </c>
      <c r="E271" s="5" t="n">
        <v>18</v>
      </c>
      <c r="F271" s="9" t="s">
        <v>992</v>
      </c>
      <c r="G271" s="95" t="s">
        <v>2290</v>
      </c>
      <c r="H271" s="15"/>
    </row>
    <row r="272" customFormat="false" ht="18" hidden="false" customHeight="true" outlineLevel="0" collapsed="false">
      <c r="A272" s="16" t="n">
        <v>270</v>
      </c>
      <c r="B272" s="17" t="s">
        <v>950</v>
      </c>
      <c r="C272" s="22" t="s">
        <v>2371</v>
      </c>
      <c r="D272" s="17" t="s">
        <v>27</v>
      </c>
      <c r="E272" s="16" t="n">
        <v>27</v>
      </c>
      <c r="F272" s="20" t="s">
        <v>995</v>
      </c>
      <c r="G272" s="95" t="s">
        <v>2290</v>
      </c>
      <c r="H272" s="25"/>
    </row>
    <row r="273" customFormat="false" ht="18" hidden="false" customHeight="true" outlineLevel="0" collapsed="false">
      <c r="A273" s="5" t="n">
        <v>271</v>
      </c>
      <c r="B273" s="6" t="s">
        <v>950</v>
      </c>
      <c r="C273" s="11" t="s">
        <v>1003</v>
      </c>
      <c r="D273" s="6" t="s">
        <v>27</v>
      </c>
      <c r="E273" s="5" t="n">
        <v>18</v>
      </c>
      <c r="F273" s="9" t="s">
        <v>952</v>
      </c>
      <c r="G273" s="95" t="s">
        <v>2290</v>
      </c>
      <c r="H273" s="15"/>
    </row>
    <row r="274" customFormat="false" ht="18" hidden="false" customHeight="true" outlineLevel="0" collapsed="false">
      <c r="A274" s="16" t="n">
        <v>272</v>
      </c>
      <c r="B274" s="17" t="s">
        <v>950</v>
      </c>
      <c r="C274" s="22" t="s">
        <v>1005</v>
      </c>
      <c r="D274" s="17" t="s">
        <v>27</v>
      </c>
      <c r="E274" s="16" t="n">
        <v>18</v>
      </c>
      <c r="F274" s="20" t="s">
        <v>1006</v>
      </c>
      <c r="G274" s="95" t="s">
        <v>2290</v>
      </c>
      <c r="H274" s="25"/>
    </row>
    <row r="275" customFormat="false" ht="18" hidden="false" customHeight="true" outlineLevel="0" collapsed="false">
      <c r="A275" s="5" t="n">
        <v>273</v>
      </c>
      <c r="B275" s="6" t="s">
        <v>950</v>
      </c>
      <c r="C275" s="11" t="s">
        <v>1008</v>
      </c>
      <c r="D275" s="6" t="s">
        <v>27</v>
      </c>
      <c r="E275" s="5" t="n">
        <v>18</v>
      </c>
      <c r="F275" s="9" t="s">
        <v>1009</v>
      </c>
      <c r="G275" s="95" t="s">
        <v>2290</v>
      </c>
      <c r="H275" s="15"/>
    </row>
    <row r="276" customFormat="false" ht="18" hidden="false" customHeight="true" outlineLevel="0" collapsed="false">
      <c r="A276" s="16" t="n">
        <v>274</v>
      </c>
      <c r="B276" s="17" t="s">
        <v>950</v>
      </c>
      <c r="C276" s="22" t="s">
        <v>2372</v>
      </c>
      <c r="D276" s="17" t="s">
        <v>27</v>
      </c>
      <c r="E276" s="16" t="n">
        <v>18</v>
      </c>
      <c r="F276" s="20" t="s">
        <v>1021</v>
      </c>
      <c r="G276" s="95" t="s">
        <v>2290</v>
      </c>
      <c r="H276" s="25"/>
    </row>
    <row r="277" customFormat="false" ht="18" hidden="false" customHeight="true" outlineLevel="0" collapsed="false">
      <c r="A277" s="5" t="n">
        <v>275</v>
      </c>
      <c r="B277" s="6" t="s">
        <v>1506</v>
      </c>
      <c r="C277" s="11" t="s">
        <v>2373</v>
      </c>
      <c r="D277" s="6" t="s">
        <v>27</v>
      </c>
      <c r="E277" s="5" t="n">
        <v>27</v>
      </c>
      <c r="F277" s="9" t="s">
        <v>1514</v>
      </c>
      <c r="G277" s="95" t="s">
        <v>2290</v>
      </c>
      <c r="H277" s="15"/>
    </row>
    <row r="278" customFormat="false" ht="18" hidden="false" customHeight="true" outlineLevel="0" collapsed="false">
      <c r="A278" s="16" t="n">
        <v>276</v>
      </c>
      <c r="B278" s="17" t="s">
        <v>1506</v>
      </c>
      <c r="C278" s="22" t="s">
        <v>1516</v>
      </c>
      <c r="D278" s="17" t="s">
        <v>27</v>
      </c>
      <c r="E278" s="16" t="n">
        <v>18</v>
      </c>
      <c r="F278" s="20" t="s">
        <v>1517</v>
      </c>
      <c r="G278" s="95" t="s">
        <v>2290</v>
      </c>
      <c r="H278" s="25"/>
    </row>
    <row r="279" customFormat="false" ht="18" hidden="false" customHeight="true" outlineLevel="0" collapsed="false">
      <c r="A279" s="5" t="n">
        <v>277</v>
      </c>
      <c r="B279" s="6" t="s">
        <v>1506</v>
      </c>
      <c r="C279" s="11" t="s">
        <v>2374</v>
      </c>
      <c r="D279" s="6" t="s">
        <v>27</v>
      </c>
      <c r="E279" s="5" t="n">
        <v>18</v>
      </c>
      <c r="F279" s="9" t="s">
        <v>1529</v>
      </c>
      <c r="G279" s="95" t="s">
        <v>2290</v>
      </c>
      <c r="H279" s="15"/>
    </row>
    <row r="280" customFormat="false" ht="18" hidden="false" customHeight="true" outlineLevel="0" collapsed="false">
      <c r="A280" s="16" t="n">
        <v>278</v>
      </c>
      <c r="B280" s="17" t="s">
        <v>1506</v>
      </c>
      <c r="C280" s="22" t="s">
        <v>1531</v>
      </c>
      <c r="D280" s="17" t="s">
        <v>27</v>
      </c>
      <c r="E280" s="16" t="n">
        <v>27</v>
      </c>
      <c r="F280" s="20" t="s">
        <v>1532</v>
      </c>
      <c r="G280" s="95" t="s">
        <v>2290</v>
      </c>
      <c r="H280" s="25"/>
    </row>
    <row r="281" customFormat="false" ht="18" hidden="false" customHeight="true" outlineLevel="0" collapsed="false">
      <c r="A281" s="5" t="n">
        <v>279</v>
      </c>
      <c r="B281" s="6" t="s">
        <v>1506</v>
      </c>
      <c r="C281" s="11" t="s">
        <v>2375</v>
      </c>
      <c r="D281" s="6" t="s">
        <v>27</v>
      </c>
      <c r="E281" s="5" t="n">
        <v>18</v>
      </c>
      <c r="F281" s="9" t="s">
        <v>1549</v>
      </c>
      <c r="G281" s="95" t="s">
        <v>2290</v>
      </c>
      <c r="H281" s="15"/>
    </row>
    <row r="282" customFormat="false" ht="18" hidden="false" customHeight="true" outlineLevel="0" collapsed="false">
      <c r="A282" s="16" t="n">
        <v>280</v>
      </c>
      <c r="B282" s="17" t="s">
        <v>1506</v>
      </c>
      <c r="C282" s="22" t="s">
        <v>1556</v>
      </c>
      <c r="D282" s="17" t="s">
        <v>27</v>
      </c>
      <c r="E282" s="16" t="n">
        <v>18</v>
      </c>
      <c r="F282" s="20" t="s">
        <v>1557</v>
      </c>
      <c r="G282" s="95" t="s">
        <v>2290</v>
      </c>
      <c r="H282" s="25"/>
    </row>
    <row r="283" customFormat="false" ht="18" hidden="false" customHeight="true" outlineLevel="0" collapsed="false">
      <c r="A283" s="5" t="n">
        <v>281</v>
      </c>
      <c r="B283" s="6" t="s">
        <v>1506</v>
      </c>
      <c r="C283" s="11" t="s">
        <v>1559</v>
      </c>
      <c r="D283" s="6" t="s">
        <v>27</v>
      </c>
      <c r="E283" s="5" t="n">
        <v>18</v>
      </c>
      <c r="F283" s="9" t="s">
        <v>1560</v>
      </c>
      <c r="G283" s="95" t="s">
        <v>2290</v>
      </c>
      <c r="H283" s="15"/>
    </row>
    <row r="284" customFormat="false" ht="18" hidden="false" customHeight="true" outlineLevel="0" collapsed="false">
      <c r="A284" s="16" t="n">
        <v>282</v>
      </c>
      <c r="B284" s="17" t="s">
        <v>1506</v>
      </c>
      <c r="C284" s="22" t="s">
        <v>1565</v>
      </c>
      <c r="D284" s="17" t="s">
        <v>27</v>
      </c>
      <c r="E284" s="16" t="n">
        <v>27</v>
      </c>
      <c r="F284" s="20" t="s">
        <v>1566</v>
      </c>
      <c r="G284" s="95" t="s">
        <v>2290</v>
      </c>
      <c r="H284" s="25"/>
    </row>
    <row r="285" customFormat="false" ht="18" hidden="false" customHeight="true" outlineLevel="0" collapsed="false">
      <c r="A285" s="5" t="n">
        <v>283</v>
      </c>
      <c r="B285" s="6" t="s">
        <v>1506</v>
      </c>
      <c r="C285" s="11" t="s">
        <v>2376</v>
      </c>
      <c r="D285" s="6" t="s">
        <v>27</v>
      </c>
      <c r="E285" s="5" t="n">
        <v>18</v>
      </c>
      <c r="F285" s="9" t="s">
        <v>1576</v>
      </c>
      <c r="G285" s="95" t="s">
        <v>2290</v>
      </c>
      <c r="H285" s="15"/>
    </row>
    <row r="286" customFormat="false" ht="18" hidden="false" customHeight="true" outlineLevel="0" collapsed="false">
      <c r="A286" s="16" t="n">
        <v>284</v>
      </c>
      <c r="B286" s="17" t="s">
        <v>1506</v>
      </c>
      <c r="C286" s="22" t="s">
        <v>2377</v>
      </c>
      <c r="D286" s="17" t="s">
        <v>27</v>
      </c>
      <c r="E286" s="16" t="n">
        <v>18</v>
      </c>
      <c r="F286" s="20" t="s">
        <v>1584</v>
      </c>
      <c r="G286" s="95" t="s">
        <v>2290</v>
      </c>
      <c r="H286" s="25"/>
    </row>
    <row r="287" customFormat="false" ht="18" hidden="false" customHeight="true" outlineLevel="0" collapsed="false">
      <c r="A287" s="5" t="n">
        <v>285</v>
      </c>
      <c r="B287" s="6" t="s">
        <v>1506</v>
      </c>
      <c r="C287" s="11" t="s">
        <v>2378</v>
      </c>
      <c r="D287" s="6" t="s">
        <v>27</v>
      </c>
      <c r="E287" s="5" t="n">
        <v>27</v>
      </c>
      <c r="F287" s="9" t="s">
        <v>1590</v>
      </c>
      <c r="G287" s="95" t="s">
        <v>2290</v>
      </c>
      <c r="H287" s="15"/>
    </row>
    <row r="288" customFormat="false" ht="18" hidden="false" customHeight="true" outlineLevel="0" collapsed="false">
      <c r="A288" s="16" t="n">
        <v>286</v>
      </c>
      <c r="B288" s="17" t="s">
        <v>1506</v>
      </c>
      <c r="C288" s="22" t="s">
        <v>2379</v>
      </c>
      <c r="D288" s="17" t="s">
        <v>27</v>
      </c>
      <c r="E288" s="16" t="n">
        <v>18</v>
      </c>
      <c r="F288" s="20" t="s">
        <v>1613</v>
      </c>
      <c r="G288" s="95" t="s">
        <v>2290</v>
      </c>
      <c r="H288" s="25"/>
    </row>
    <row r="289" customFormat="false" ht="18" hidden="false" customHeight="true" outlineLevel="0" collapsed="false">
      <c r="A289" s="5" t="n">
        <v>287</v>
      </c>
      <c r="B289" s="6" t="s">
        <v>732</v>
      </c>
      <c r="C289" s="11" t="s">
        <v>2380</v>
      </c>
      <c r="D289" s="6" t="s">
        <v>27</v>
      </c>
      <c r="E289" s="5" t="n">
        <v>18</v>
      </c>
      <c r="F289" s="9" t="s">
        <v>734</v>
      </c>
      <c r="G289" s="95" t="s">
        <v>2290</v>
      </c>
      <c r="H289" s="15"/>
    </row>
    <row r="290" customFormat="false" ht="18" hidden="false" customHeight="true" outlineLevel="0" collapsed="false">
      <c r="A290" s="16" t="n">
        <v>288</v>
      </c>
      <c r="B290" s="17" t="s">
        <v>732</v>
      </c>
      <c r="C290" s="22" t="s">
        <v>2381</v>
      </c>
      <c r="D290" s="17" t="s">
        <v>27</v>
      </c>
      <c r="E290" s="16" t="n">
        <v>27</v>
      </c>
      <c r="F290" s="20" t="s">
        <v>742</v>
      </c>
      <c r="G290" s="95" t="s">
        <v>2290</v>
      </c>
      <c r="H290" s="25"/>
    </row>
    <row r="291" customFormat="false" ht="18" hidden="false" customHeight="true" outlineLevel="0" collapsed="false">
      <c r="A291" s="5" t="n">
        <v>289</v>
      </c>
      <c r="B291" s="6" t="s">
        <v>732</v>
      </c>
      <c r="C291" s="11" t="s">
        <v>2382</v>
      </c>
      <c r="D291" s="6" t="s">
        <v>27</v>
      </c>
      <c r="E291" s="5" t="n">
        <v>18</v>
      </c>
      <c r="F291" s="9" t="s">
        <v>758</v>
      </c>
      <c r="G291" s="95" t="s">
        <v>2290</v>
      </c>
      <c r="H291" s="15"/>
    </row>
    <row r="292" customFormat="false" ht="18" hidden="false" customHeight="true" outlineLevel="0" collapsed="false">
      <c r="A292" s="16" t="n">
        <v>290</v>
      </c>
      <c r="B292" s="17" t="s">
        <v>732</v>
      </c>
      <c r="C292" s="22" t="s">
        <v>2383</v>
      </c>
      <c r="D292" s="17" t="s">
        <v>27</v>
      </c>
      <c r="E292" s="16" t="n">
        <v>18</v>
      </c>
      <c r="F292" s="20" t="s">
        <v>758</v>
      </c>
      <c r="G292" s="95" t="s">
        <v>2290</v>
      </c>
      <c r="H292" s="25"/>
    </row>
    <row r="293" customFormat="false" ht="18" hidden="false" customHeight="true" outlineLevel="0" collapsed="false">
      <c r="A293" s="5" t="n">
        <v>291</v>
      </c>
      <c r="B293" s="6" t="s">
        <v>732</v>
      </c>
      <c r="C293" s="11" t="s">
        <v>761</v>
      </c>
      <c r="D293" s="6" t="s">
        <v>27</v>
      </c>
      <c r="E293" s="5" t="n">
        <v>27</v>
      </c>
      <c r="F293" s="9" t="s">
        <v>762</v>
      </c>
      <c r="G293" s="95" t="s">
        <v>2290</v>
      </c>
      <c r="H293" s="15"/>
    </row>
    <row r="294" customFormat="false" ht="18" hidden="false" customHeight="true" outlineLevel="0" collapsed="false">
      <c r="A294" s="16" t="n">
        <v>292</v>
      </c>
      <c r="B294" s="17" t="s">
        <v>732</v>
      </c>
      <c r="C294" s="22" t="s">
        <v>767</v>
      </c>
      <c r="D294" s="17" t="s">
        <v>27</v>
      </c>
      <c r="E294" s="16" t="n">
        <v>18</v>
      </c>
      <c r="F294" s="20" t="s">
        <v>768</v>
      </c>
      <c r="G294" s="95" t="s">
        <v>2290</v>
      </c>
      <c r="H294" s="25"/>
    </row>
    <row r="295" customFormat="false" ht="18" hidden="false" customHeight="true" outlineLevel="0" collapsed="false">
      <c r="A295" s="5" t="n">
        <v>293</v>
      </c>
      <c r="B295" s="6" t="s">
        <v>732</v>
      </c>
      <c r="C295" s="11" t="s">
        <v>2384</v>
      </c>
      <c r="D295" s="6" t="s">
        <v>27</v>
      </c>
      <c r="E295" s="5" t="n">
        <v>18</v>
      </c>
      <c r="F295" s="9" t="s">
        <v>771</v>
      </c>
      <c r="G295" s="95" t="s">
        <v>2290</v>
      </c>
      <c r="H295" s="15"/>
    </row>
    <row r="296" customFormat="false" ht="18" hidden="false" customHeight="true" outlineLevel="0" collapsed="false">
      <c r="A296" s="16" t="n">
        <v>294</v>
      </c>
      <c r="B296" s="17" t="s">
        <v>732</v>
      </c>
      <c r="C296" s="22" t="s">
        <v>2385</v>
      </c>
      <c r="D296" s="17" t="s">
        <v>27</v>
      </c>
      <c r="E296" s="16" t="n">
        <v>18</v>
      </c>
      <c r="F296" s="20" t="s">
        <v>771</v>
      </c>
      <c r="G296" s="95" t="s">
        <v>2290</v>
      </c>
      <c r="H296" s="25"/>
    </row>
    <row r="297" customFormat="false" ht="18" hidden="false" customHeight="true" outlineLevel="0" collapsed="false">
      <c r="A297" s="5" t="n">
        <v>295</v>
      </c>
      <c r="B297" s="6" t="s">
        <v>732</v>
      </c>
      <c r="C297" s="11" t="s">
        <v>774</v>
      </c>
      <c r="D297" s="6" t="s">
        <v>27</v>
      </c>
      <c r="E297" s="5" t="n">
        <v>18</v>
      </c>
      <c r="F297" s="9" t="s">
        <v>775</v>
      </c>
      <c r="G297" s="95" t="s">
        <v>2290</v>
      </c>
      <c r="H297" s="15"/>
    </row>
    <row r="298" customFormat="false" ht="18" hidden="false" customHeight="true" outlineLevel="0" collapsed="false">
      <c r="A298" s="16" t="n">
        <v>296</v>
      </c>
      <c r="B298" s="17" t="s">
        <v>732</v>
      </c>
      <c r="C298" s="22" t="s">
        <v>2386</v>
      </c>
      <c r="D298" s="17" t="s">
        <v>27</v>
      </c>
      <c r="E298" s="16" t="n">
        <v>18</v>
      </c>
      <c r="F298" s="20" t="s">
        <v>778</v>
      </c>
      <c r="G298" s="95" t="s">
        <v>2290</v>
      </c>
      <c r="H298" s="25"/>
    </row>
    <row r="299" customFormat="false" ht="18" hidden="false" customHeight="true" outlineLevel="0" collapsed="false">
      <c r="A299" s="5" t="n">
        <v>297</v>
      </c>
      <c r="B299" s="6" t="s">
        <v>732</v>
      </c>
      <c r="C299" s="11" t="s">
        <v>2387</v>
      </c>
      <c r="D299" s="6" t="s">
        <v>27</v>
      </c>
      <c r="E299" s="5" t="n">
        <v>27</v>
      </c>
      <c r="F299" s="9" t="s">
        <v>787</v>
      </c>
      <c r="G299" s="95" t="s">
        <v>2290</v>
      </c>
      <c r="H299" s="15"/>
    </row>
    <row r="300" customFormat="false" ht="18" hidden="false" customHeight="true" outlineLevel="0" collapsed="false">
      <c r="A300" s="16" t="n">
        <v>298</v>
      </c>
      <c r="B300" s="17" t="s">
        <v>732</v>
      </c>
      <c r="C300" s="22" t="s">
        <v>795</v>
      </c>
      <c r="D300" s="17" t="s">
        <v>27</v>
      </c>
      <c r="E300" s="16" t="n">
        <v>27</v>
      </c>
      <c r="F300" s="20" t="s">
        <v>796</v>
      </c>
      <c r="G300" s="95" t="s">
        <v>2290</v>
      </c>
      <c r="H300" s="25"/>
    </row>
    <row r="301" customFormat="false" ht="18" hidden="false" customHeight="true" outlineLevel="0" collapsed="false">
      <c r="A301" s="5" t="n">
        <v>299</v>
      </c>
      <c r="B301" s="6" t="s">
        <v>732</v>
      </c>
      <c r="C301" s="11" t="s">
        <v>801</v>
      </c>
      <c r="D301" s="6" t="s">
        <v>27</v>
      </c>
      <c r="E301" s="5" t="n">
        <v>18</v>
      </c>
      <c r="F301" s="9" t="s">
        <v>802</v>
      </c>
      <c r="G301" s="95" t="s">
        <v>2290</v>
      </c>
      <c r="H301" s="15"/>
    </row>
    <row r="302" customFormat="false" ht="18" hidden="false" customHeight="true" outlineLevel="0" collapsed="false">
      <c r="A302" s="16" t="n">
        <v>300</v>
      </c>
      <c r="B302" s="17" t="s">
        <v>732</v>
      </c>
      <c r="C302" s="22" t="s">
        <v>804</v>
      </c>
      <c r="D302" s="17" t="s">
        <v>27</v>
      </c>
      <c r="E302" s="16" t="n">
        <v>18</v>
      </c>
      <c r="F302" s="20" t="s">
        <v>805</v>
      </c>
      <c r="G302" s="95" t="s">
        <v>2290</v>
      </c>
      <c r="H302" s="25"/>
    </row>
    <row r="303" customFormat="false" ht="18" hidden="false" customHeight="true" outlineLevel="0" collapsed="false">
      <c r="A303" s="5" t="n">
        <v>301</v>
      </c>
      <c r="B303" s="6" t="s">
        <v>807</v>
      </c>
      <c r="C303" s="11" t="s">
        <v>2388</v>
      </c>
      <c r="D303" s="6" t="s">
        <v>27</v>
      </c>
      <c r="E303" s="5" t="n">
        <v>18</v>
      </c>
      <c r="F303" s="9" t="s">
        <v>809</v>
      </c>
      <c r="G303" s="95" t="s">
        <v>2290</v>
      </c>
      <c r="H303" s="15"/>
    </row>
    <row r="304" customFormat="false" ht="18" hidden="false" customHeight="true" outlineLevel="0" collapsed="false">
      <c r="A304" s="16" t="n">
        <v>302</v>
      </c>
      <c r="B304" s="17" t="s">
        <v>807</v>
      </c>
      <c r="C304" s="22" t="s">
        <v>814</v>
      </c>
      <c r="D304" s="17" t="s">
        <v>27</v>
      </c>
      <c r="E304" s="16" t="n">
        <v>27</v>
      </c>
      <c r="F304" s="20" t="s">
        <v>815</v>
      </c>
      <c r="G304" s="95" t="s">
        <v>2290</v>
      </c>
      <c r="H304" s="25"/>
    </row>
    <row r="305" customFormat="false" ht="18" hidden="false" customHeight="true" outlineLevel="0" collapsed="false">
      <c r="A305" s="5" t="n">
        <v>303</v>
      </c>
      <c r="B305" s="6" t="s">
        <v>807</v>
      </c>
      <c r="C305" s="11" t="s">
        <v>817</v>
      </c>
      <c r="D305" s="6" t="s">
        <v>27</v>
      </c>
      <c r="E305" s="5" t="n">
        <v>18</v>
      </c>
      <c r="F305" s="9" t="s">
        <v>818</v>
      </c>
      <c r="G305" s="95" t="s">
        <v>2290</v>
      </c>
      <c r="H305" s="15"/>
    </row>
    <row r="306" customFormat="false" ht="18" hidden="false" customHeight="true" outlineLevel="0" collapsed="false">
      <c r="A306" s="16" t="n">
        <v>304</v>
      </c>
      <c r="B306" s="17" t="s">
        <v>807</v>
      </c>
      <c r="C306" s="22" t="s">
        <v>823</v>
      </c>
      <c r="D306" s="17" t="s">
        <v>27</v>
      </c>
      <c r="E306" s="16" t="n">
        <v>18</v>
      </c>
      <c r="F306" s="20" t="s">
        <v>824</v>
      </c>
      <c r="G306" s="95" t="s">
        <v>2290</v>
      </c>
      <c r="H306" s="25"/>
    </row>
    <row r="307" customFormat="false" ht="18" hidden="false" customHeight="true" outlineLevel="0" collapsed="false">
      <c r="A307" s="5" t="n">
        <v>305</v>
      </c>
      <c r="B307" s="6" t="s">
        <v>807</v>
      </c>
      <c r="C307" s="11" t="s">
        <v>826</v>
      </c>
      <c r="D307" s="6" t="s">
        <v>27</v>
      </c>
      <c r="E307" s="5" t="n">
        <v>27</v>
      </c>
      <c r="F307" s="9" t="s">
        <v>827</v>
      </c>
      <c r="G307" s="95" t="s">
        <v>2290</v>
      </c>
      <c r="H307" s="15"/>
    </row>
    <row r="308" customFormat="false" ht="18" hidden="false" customHeight="true" outlineLevel="0" collapsed="false">
      <c r="A308" s="16" t="n">
        <v>306</v>
      </c>
      <c r="B308" s="17" t="s">
        <v>807</v>
      </c>
      <c r="C308" s="22" t="s">
        <v>828</v>
      </c>
      <c r="D308" s="17" t="s">
        <v>27</v>
      </c>
      <c r="E308" s="16" t="n">
        <v>18</v>
      </c>
      <c r="F308" s="20" t="s">
        <v>829</v>
      </c>
      <c r="G308" s="95" t="s">
        <v>2290</v>
      </c>
      <c r="H308" s="25"/>
    </row>
    <row r="309" customFormat="false" ht="18" hidden="false" customHeight="true" outlineLevel="0" collapsed="false">
      <c r="A309" s="5" t="n">
        <v>307</v>
      </c>
      <c r="B309" s="6" t="s">
        <v>807</v>
      </c>
      <c r="C309" s="11" t="s">
        <v>831</v>
      </c>
      <c r="D309" s="6" t="s">
        <v>27</v>
      </c>
      <c r="E309" s="5" t="n">
        <v>18</v>
      </c>
      <c r="F309" s="9" t="s">
        <v>832</v>
      </c>
      <c r="G309" s="95" t="s">
        <v>2290</v>
      </c>
      <c r="H309" s="15"/>
    </row>
    <row r="310" customFormat="false" ht="18" hidden="false" customHeight="true" outlineLevel="0" collapsed="false">
      <c r="A310" s="16" t="n">
        <v>308</v>
      </c>
      <c r="B310" s="17" t="s">
        <v>807</v>
      </c>
      <c r="C310" s="22" t="s">
        <v>834</v>
      </c>
      <c r="D310" s="17" t="s">
        <v>27</v>
      </c>
      <c r="E310" s="16" t="n">
        <v>36</v>
      </c>
      <c r="F310" s="20" t="s">
        <v>835</v>
      </c>
      <c r="G310" s="95" t="s">
        <v>2290</v>
      </c>
      <c r="H310" s="25"/>
    </row>
    <row r="311" customFormat="false" ht="18" hidden="false" customHeight="true" outlineLevel="0" collapsed="false">
      <c r="A311" s="5" t="n">
        <v>309</v>
      </c>
      <c r="B311" s="6" t="s">
        <v>807</v>
      </c>
      <c r="C311" s="11" t="s">
        <v>837</v>
      </c>
      <c r="D311" s="6" t="s">
        <v>27</v>
      </c>
      <c r="E311" s="5" t="n">
        <v>27</v>
      </c>
      <c r="F311" s="9" t="s">
        <v>838</v>
      </c>
      <c r="G311" s="95" t="s">
        <v>2290</v>
      </c>
      <c r="H311" s="15"/>
    </row>
    <row r="312" customFormat="false" ht="18" hidden="false" customHeight="true" outlineLevel="0" collapsed="false">
      <c r="A312" s="16" t="n">
        <v>310</v>
      </c>
      <c r="B312" s="17" t="s">
        <v>807</v>
      </c>
      <c r="C312" s="22" t="s">
        <v>842</v>
      </c>
      <c r="D312" s="17" t="s">
        <v>27</v>
      </c>
      <c r="E312" s="16" t="n">
        <v>18</v>
      </c>
      <c r="F312" s="20" t="s">
        <v>843</v>
      </c>
      <c r="G312" s="95" t="s">
        <v>2290</v>
      </c>
      <c r="H312" s="25"/>
    </row>
    <row r="313" customFormat="false" ht="18" hidden="false" customHeight="true" outlineLevel="0" collapsed="false">
      <c r="A313" s="5" t="n">
        <v>311</v>
      </c>
      <c r="B313" s="6" t="s">
        <v>807</v>
      </c>
      <c r="C313" s="11" t="s">
        <v>845</v>
      </c>
      <c r="D313" s="6" t="s">
        <v>27</v>
      </c>
      <c r="E313" s="5" t="n">
        <v>18</v>
      </c>
      <c r="F313" s="9" t="s">
        <v>846</v>
      </c>
      <c r="G313" s="95" t="s">
        <v>2290</v>
      </c>
      <c r="H313" s="15"/>
    </row>
    <row r="314" customFormat="false" ht="18" hidden="false" customHeight="true" outlineLevel="0" collapsed="false">
      <c r="A314" s="16" t="n">
        <v>312</v>
      </c>
      <c r="B314" s="17" t="s">
        <v>807</v>
      </c>
      <c r="C314" s="22" t="s">
        <v>853</v>
      </c>
      <c r="D314" s="17" t="s">
        <v>27</v>
      </c>
      <c r="E314" s="16" t="n">
        <v>18</v>
      </c>
      <c r="F314" s="20" t="s">
        <v>854</v>
      </c>
      <c r="G314" s="95" t="s">
        <v>2290</v>
      </c>
      <c r="H314" s="25"/>
    </row>
    <row r="315" customFormat="false" ht="18" hidden="false" customHeight="true" outlineLevel="0" collapsed="false">
      <c r="A315" s="5" t="n">
        <v>313</v>
      </c>
      <c r="B315" s="6" t="s">
        <v>807</v>
      </c>
      <c r="C315" s="11" t="s">
        <v>856</v>
      </c>
      <c r="D315" s="6" t="s">
        <v>27</v>
      </c>
      <c r="E315" s="5" t="n">
        <v>27</v>
      </c>
      <c r="F315" s="9" t="s">
        <v>857</v>
      </c>
      <c r="G315" s="95" t="s">
        <v>2290</v>
      </c>
      <c r="H315" s="15"/>
    </row>
    <row r="316" customFormat="false" ht="18" hidden="false" customHeight="true" outlineLevel="0" collapsed="false">
      <c r="A316" s="16" t="n">
        <v>314</v>
      </c>
      <c r="B316" s="17" t="s">
        <v>807</v>
      </c>
      <c r="C316" s="22" t="s">
        <v>862</v>
      </c>
      <c r="D316" s="17" t="s">
        <v>27</v>
      </c>
      <c r="E316" s="16" t="n">
        <v>18</v>
      </c>
      <c r="F316" s="20" t="s">
        <v>863</v>
      </c>
      <c r="G316" s="95" t="s">
        <v>2290</v>
      </c>
      <c r="H316" s="25"/>
    </row>
    <row r="317" customFormat="false" ht="18" hidden="false" customHeight="true" outlineLevel="0" collapsed="false">
      <c r="A317" s="5" t="n">
        <v>315</v>
      </c>
      <c r="B317" s="6" t="s">
        <v>807</v>
      </c>
      <c r="C317" s="11" t="s">
        <v>865</v>
      </c>
      <c r="D317" s="6" t="s">
        <v>27</v>
      </c>
      <c r="E317" s="5" t="n">
        <v>18</v>
      </c>
      <c r="F317" s="9" t="s">
        <v>866</v>
      </c>
      <c r="G317" s="95" t="s">
        <v>2290</v>
      </c>
      <c r="H317" s="15"/>
    </row>
    <row r="318" customFormat="false" ht="18" hidden="false" customHeight="true" outlineLevel="0" collapsed="false">
      <c r="A318" s="16" t="n">
        <v>316</v>
      </c>
      <c r="B318" s="17" t="s">
        <v>807</v>
      </c>
      <c r="C318" s="22" t="s">
        <v>2389</v>
      </c>
      <c r="D318" s="17" t="s">
        <v>27</v>
      </c>
      <c r="E318" s="16" t="n">
        <v>27</v>
      </c>
      <c r="F318" s="20" t="s">
        <v>872</v>
      </c>
      <c r="G318" s="95" t="s">
        <v>2290</v>
      </c>
      <c r="H318" s="25"/>
    </row>
    <row r="319" customFormat="false" ht="18" hidden="false" customHeight="true" outlineLevel="0" collapsed="false">
      <c r="A319" s="5" t="n">
        <v>317</v>
      </c>
      <c r="B319" s="6" t="s">
        <v>807</v>
      </c>
      <c r="C319" s="11" t="s">
        <v>874</v>
      </c>
      <c r="D319" s="6" t="s">
        <v>27</v>
      </c>
      <c r="E319" s="5" t="n">
        <v>18</v>
      </c>
      <c r="F319" s="9" t="s">
        <v>875</v>
      </c>
      <c r="G319" s="95" t="s">
        <v>2290</v>
      </c>
      <c r="H319" s="15"/>
    </row>
    <row r="320" customFormat="false" ht="18" hidden="false" customHeight="true" outlineLevel="0" collapsed="false">
      <c r="A320" s="16" t="n">
        <v>318</v>
      </c>
      <c r="B320" s="17" t="s">
        <v>807</v>
      </c>
      <c r="C320" s="22" t="s">
        <v>882</v>
      </c>
      <c r="D320" s="17" t="s">
        <v>27</v>
      </c>
      <c r="E320" s="16" t="n">
        <v>18</v>
      </c>
      <c r="F320" s="20" t="s">
        <v>883</v>
      </c>
      <c r="G320" s="95" t="s">
        <v>2290</v>
      </c>
      <c r="H320" s="25"/>
    </row>
    <row r="321" customFormat="false" ht="18" hidden="false" customHeight="true" outlineLevel="0" collapsed="false">
      <c r="A321" s="5" t="n">
        <v>319</v>
      </c>
      <c r="B321" s="6" t="s">
        <v>807</v>
      </c>
      <c r="C321" s="11" t="s">
        <v>888</v>
      </c>
      <c r="D321" s="6" t="s">
        <v>27</v>
      </c>
      <c r="E321" s="5" t="n">
        <v>27</v>
      </c>
      <c r="F321" s="9" t="s">
        <v>889</v>
      </c>
      <c r="G321" s="95" t="s">
        <v>2290</v>
      </c>
      <c r="H321" s="15"/>
    </row>
    <row r="322" customFormat="false" ht="18" hidden="false" customHeight="true" outlineLevel="0" collapsed="false">
      <c r="A322" s="16" t="n">
        <v>320</v>
      </c>
      <c r="B322" s="17" t="s">
        <v>807</v>
      </c>
      <c r="C322" s="22" t="s">
        <v>891</v>
      </c>
      <c r="D322" s="17" t="s">
        <v>27</v>
      </c>
      <c r="E322" s="16" t="n">
        <v>18</v>
      </c>
      <c r="F322" s="20" t="s">
        <v>892</v>
      </c>
      <c r="G322" s="95" t="s">
        <v>2290</v>
      </c>
      <c r="H322" s="25"/>
    </row>
    <row r="323" customFormat="false" ht="18" hidden="false" customHeight="true" outlineLevel="0" collapsed="false">
      <c r="A323" s="5" t="n">
        <v>321</v>
      </c>
      <c r="B323" s="6" t="s">
        <v>807</v>
      </c>
      <c r="C323" s="11" t="s">
        <v>894</v>
      </c>
      <c r="D323" s="6" t="s">
        <v>27</v>
      </c>
      <c r="E323" s="5" t="n">
        <v>18</v>
      </c>
      <c r="F323" s="9" t="s">
        <v>895</v>
      </c>
      <c r="G323" s="95" t="s">
        <v>2290</v>
      </c>
      <c r="H323" s="15"/>
    </row>
    <row r="324" customFormat="false" ht="18" hidden="false" customHeight="true" outlineLevel="0" collapsed="false">
      <c r="A324" s="16" t="n">
        <v>322</v>
      </c>
      <c r="B324" s="17" t="s">
        <v>807</v>
      </c>
      <c r="C324" s="22" t="s">
        <v>897</v>
      </c>
      <c r="D324" s="17" t="s">
        <v>27</v>
      </c>
      <c r="E324" s="16" t="n">
        <v>18</v>
      </c>
      <c r="F324" s="20" t="s">
        <v>898</v>
      </c>
      <c r="G324" s="95" t="s">
        <v>2290</v>
      </c>
      <c r="H324" s="25"/>
    </row>
    <row r="325" customFormat="false" ht="18" hidden="false" customHeight="true" outlineLevel="0" collapsed="false">
      <c r="A325" s="5" t="n">
        <v>323</v>
      </c>
      <c r="B325" s="6" t="s">
        <v>807</v>
      </c>
      <c r="C325" s="11" t="s">
        <v>900</v>
      </c>
      <c r="D325" s="6" t="s">
        <v>27</v>
      </c>
      <c r="E325" s="5" t="n">
        <v>27</v>
      </c>
      <c r="F325" s="9" t="s">
        <v>901</v>
      </c>
      <c r="G325" s="95" t="s">
        <v>2290</v>
      </c>
      <c r="H325" s="15"/>
    </row>
    <row r="326" customFormat="false" ht="18" hidden="false" customHeight="true" outlineLevel="0" collapsed="false">
      <c r="A326" s="16" t="n">
        <v>324</v>
      </c>
      <c r="B326" s="17" t="s">
        <v>807</v>
      </c>
      <c r="C326" s="22" t="s">
        <v>903</v>
      </c>
      <c r="D326" s="17" t="s">
        <v>27</v>
      </c>
      <c r="E326" s="16" t="n">
        <v>27</v>
      </c>
      <c r="F326" s="20" t="s">
        <v>904</v>
      </c>
      <c r="G326" s="95" t="s">
        <v>2290</v>
      </c>
      <c r="H326" s="25"/>
    </row>
    <row r="327" customFormat="false" ht="18" hidden="false" customHeight="true" outlineLevel="0" collapsed="false">
      <c r="A327" s="5" t="n">
        <v>325</v>
      </c>
      <c r="B327" s="6" t="s">
        <v>807</v>
      </c>
      <c r="C327" s="11" t="s">
        <v>912</v>
      </c>
      <c r="D327" s="6" t="s">
        <v>27</v>
      </c>
      <c r="E327" s="5" t="n">
        <v>27</v>
      </c>
      <c r="F327" s="9" t="s">
        <v>913</v>
      </c>
      <c r="G327" s="95" t="s">
        <v>2290</v>
      </c>
      <c r="H327" s="15"/>
    </row>
    <row r="328" customFormat="false" ht="18" hidden="false" customHeight="true" outlineLevel="0" collapsed="false">
      <c r="A328" s="16" t="n">
        <v>326</v>
      </c>
      <c r="B328" s="17" t="s">
        <v>807</v>
      </c>
      <c r="C328" s="22" t="s">
        <v>915</v>
      </c>
      <c r="D328" s="17" t="s">
        <v>27</v>
      </c>
      <c r="E328" s="16" t="n">
        <v>18</v>
      </c>
      <c r="F328" s="20" t="s">
        <v>916</v>
      </c>
      <c r="G328" s="95" t="s">
        <v>2290</v>
      </c>
      <c r="H328" s="25"/>
    </row>
    <row r="329" customFormat="false" ht="18" hidden="false" customHeight="true" outlineLevel="0" collapsed="false">
      <c r="A329" s="5" t="n">
        <v>327</v>
      </c>
      <c r="B329" s="6" t="s">
        <v>807</v>
      </c>
      <c r="C329" s="11" t="s">
        <v>918</v>
      </c>
      <c r="D329" s="6" t="s">
        <v>27</v>
      </c>
      <c r="E329" s="5" t="n">
        <v>18</v>
      </c>
      <c r="F329" s="9" t="s">
        <v>919</v>
      </c>
      <c r="G329" s="95" t="s">
        <v>2290</v>
      </c>
      <c r="H329" s="15"/>
    </row>
    <row r="330" customFormat="false" ht="18" hidden="false" customHeight="true" outlineLevel="0" collapsed="false">
      <c r="A330" s="16" t="n">
        <v>328</v>
      </c>
      <c r="B330" s="17" t="s">
        <v>807</v>
      </c>
      <c r="C330" s="22" t="s">
        <v>920</v>
      </c>
      <c r="D330" s="17" t="s">
        <v>27</v>
      </c>
      <c r="E330" s="16" t="n">
        <v>18</v>
      </c>
      <c r="F330" s="20" t="s">
        <v>921</v>
      </c>
      <c r="G330" s="95" t="s">
        <v>2290</v>
      </c>
      <c r="H330" s="25"/>
    </row>
    <row r="331" customFormat="false" ht="18" hidden="false" customHeight="true" outlineLevel="0" collapsed="false">
      <c r="A331" s="5" t="n">
        <v>329</v>
      </c>
      <c r="B331" s="6" t="s">
        <v>807</v>
      </c>
      <c r="C331" s="11" t="s">
        <v>923</v>
      </c>
      <c r="D331" s="6" t="s">
        <v>27</v>
      </c>
      <c r="E331" s="5" t="n">
        <v>27</v>
      </c>
      <c r="F331" s="9" t="s">
        <v>924</v>
      </c>
      <c r="G331" s="95" t="s">
        <v>2290</v>
      </c>
      <c r="H331" s="15"/>
    </row>
    <row r="332" customFormat="false" ht="18" hidden="false" customHeight="true" outlineLevel="0" collapsed="false">
      <c r="A332" s="16" t="n">
        <v>330</v>
      </c>
      <c r="B332" s="17" t="s">
        <v>544</v>
      </c>
      <c r="C332" s="30" t="s">
        <v>2390</v>
      </c>
      <c r="D332" s="17" t="s">
        <v>32</v>
      </c>
      <c r="E332" s="16" t="n">
        <v>18</v>
      </c>
      <c r="F332" s="20" t="s">
        <v>546</v>
      </c>
      <c r="G332" s="96" t="s">
        <v>2391</v>
      </c>
      <c r="H332" s="25"/>
    </row>
    <row r="333" customFormat="false" ht="18" hidden="false" customHeight="true" outlineLevel="0" collapsed="false">
      <c r="A333" s="5" t="n">
        <v>331</v>
      </c>
      <c r="B333" s="6" t="s">
        <v>544</v>
      </c>
      <c r="C333" s="11" t="s">
        <v>567</v>
      </c>
      <c r="D333" s="6" t="s">
        <v>32</v>
      </c>
      <c r="E333" s="5" t="n">
        <v>27</v>
      </c>
      <c r="F333" s="9" t="s">
        <v>568</v>
      </c>
      <c r="G333" s="96" t="s">
        <v>2391</v>
      </c>
      <c r="H333" s="15"/>
    </row>
    <row r="334" customFormat="false" ht="18" hidden="false" customHeight="true" outlineLevel="0" collapsed="false">
      <c r="A334" s="16" t="n">
        <v>332</v>
      </c>
      <c r="B334" s="17" t="s">
        <v>544</v>
      </c>
      <c r="C334" s="22" t="s">
        <v>595</v>
      </c>
      <c r="D334" s="17" t="s">
        <v>32</v>
      </c>
      <c r="E334" s="16" t="n">
        <v>18</v>
      </c>
      <c r="F334" s="20" t="s">
        <v>596</v>
      </c>
      <c r="G334" s="96" t="s">
        <v>2391</v>
      </c>
      <c r="H334" s="25"/>
    </row>
    <row r="335" customFormat="false" ht="18" hidden="false" customHeight="true" outlineLevel="0" collapsed="false">
      <c r="A335" s="5" t="n">
        <v>333</v>
      </c>
      <c r="B335" s="6" t="s">
        <v>544</v>
      </c>
      <c r="C335" s="11" t="s">
        <v>606</v>
      </c>
      <c r="D335" s="6" t="s">
        <v>32</v>
      </c>
      <c r="E335" s="5" t="n">
        <v>18</v>
      </c>
      <c r="F335" s="9" t="s">
        <v>607</v>
      </c>
      <c r="G335" s="96" t="s">
        <v>2391</v>
      </c>
      <c r="H335" s="15"/>
    </row>
    <row r="336" customFormat="false" ht="18" hidden="false" customHeight="true" outlineLevel="0" collapsed="false">
      <c r="A336" s="16" t="n">
        <v>334</v>
      </c>
      <c r="B336" s="17" t="s">
        <v>544</v>
      </c>
      <c r="C336" s="22" t="s">
        <v>2392</v>
      </c>
      <c r="D336" s="17" t="s">
        <v>32</v>
      </c>
      <c r="E336" s="16" t="n">
        <v>18</v>
      </c>
      <c r="F336" s="20" t="s">
        <v>620</v>
      </c>
      <c r="G336" s="96" t="s">
        <v>2391</v>
      </c>
      <c r="H336" s="25"/>
    </row>
    <row r="337" customFormat="false" ht="18" hidden="false" customHeight="true" outlineLevel="0" collapsed="false">
      <c r="A337" s="5" t="n">
        <v>335</v>
      </c>
      <c r="B337" s="6" t="s">
        <v>544</v>
      </c>
      <c r="C337" s="11" t="s">
        <v>641</v>
      </c>
      <c r="D337" s="6" t="s">
        <v>32</v>
      </c>
      <c r="E337" s="5" t="n">
        <v>27</v>
      </c>
      <c r="F337" s="9" t="s">
        <v>637</v>
      </c>
      <c r="G337" s="96" t="s">
        <v>2391</v>
      </c>
      <c r="H337" s="15"/>
    </row>
    <row r="338" customFormat="false" ht="18" hidden="false" customHeight="true" outlineLevel="0" collapsed="false">
      <c r="A338" s="16" t="n">
        <v>336</v>
      </c>
      <c r="B338" s="17" t="s">
        <v>544</v>
      </c>
      <c r="C338" s="22" t="s">
        <v>671</v>
      </c>
      <c r="D338" s="17" t="s">
        <v>32</v>
      </c>
      <c r="E338" s="16" t="n">
        <v>36</v>
      </c>
      <c r="F338" s="20" t="s">
        <v>668</v>
      </c>
      <c r="G338" s="96" t="s">
        <v>2391</v>
      </c>
      <c r="H338" s="25"/>
    </row>
    <row r="339" customFormat="false" ht="18" hidden="false" customHeight="true" outlineLevel="0" collapsed="false">
      <c r="A339" s="5" t="n">
        <v>337</v>
      </c>
      <c r="B339" s="6" t="s">
        <v>544</v>
      </c>
      <c r="C339" s="11" t="s">
        <v>676</v>
      </c>
      <c r="D339" s="6" t="s">
        <v>32</v>
      </c>
      <c r="E339" s="5" t="n">
        <v>18</v>
      </c>
      <c r="F339" s="9" t="s">
        <v>677</v>
      </c>
      <c r="G339" s="96" t="s">
        <v>2391</v>
      </c>
      <c r="H339" s="15"/>
    </row>
    <row r="340" customFormat="false" ht="18" hidden="false" customHeight="true" outlineLevel="0" collapsed="false">
      <c r="A340" s="16" t="n">
        <v>338</v>
      </c>
      <c r="B340" s="17" t="s">
        <v>544</v>
      </c>
      <c r="C340" s="22" t="s">
        <v>680</v>
      </c>
      <c r="D340" s="17" t="s">
        <v>32</v>
      </c>
      <c r="E340" s="16" t="n">
        <v>18</v>
      </c>
      <c r="F340" s="20" t="s">
        <v>677</v>
      </c>
      <c r="G340" s="96" t="s">
        <v>2391</v>
      </c>
      <c r="H340" s="25"/>
    </row>
    <row r="341" customFormat="false" ht="18" hidden="false" customHeight="true" outlineLevel="0" collapsed="false">
      <c r="A341" s="5" t="n">
        <v>339</v>
      </c>
      <c r="B341" s="6" t="s">
        <v>544</v>
      </c>
      <c r="C341" s="11" t="s">
        <v>683</v>
      </c>
      <c r="D341" s="6" t="s">
        <v>32</v>
      </c>
      <c r="E341" s="5" t="n">
        <v>36</v>
      </c>
      <c r="F341" s="9" t="s">
        <v>684</v>
      </c>
      <c r="G341" s="96" t="s">
        <v>2391</v>
      </c>
      <c r="H341" s="15"/>
    </row>
    <row r="342" customFormat="false" ht="18" hidden="false" customHeight="true" outlineLevel="0" collapsed="false">
      <c r="A342" s="16" t="n">
        <v>340</v>
      </c>
      <c r="B342" s="17" t="s">
        <v>544</v>
      </c>
      <c r="C342" s="22" t="s">
        <v>690</v>
      </c>
      <c r="D342" s="17" t="s">
        <v>32</v>
      </c>
      <c r="E342" s="16" t="n">
        <v>18</v>
      </c>
      <c r="F342" s="20" t="s">
        <v>691</v>
      </c>
      <c r="G342" s="96" t="s">
        <v>2391</v>
      </c>
      <c r="H342" s="25"/>
    </row>
    <row r="343" customFormat="false" ht="18" hidden="false" customHeight="true" outlineLevel="0" collapsed="false">
      <c r="A343" s="5" t="n">
        <v>341</v>
      </c>
      <c r="B343" s="6" t="s">
        <v>544</v>
      </c>
      <c r="C343" s="11" t="s">
        <v>718</v>
      </c>
      <c r="D343" s="6" t="s">
        <v>32</v>
      </c>
      <c r="E343" s="5" t="n">
        <v>18</v>
      </c>
      <c r="F343" s="9" t="s">
        <v>719</v>
      </c>
      <c r="G343" s="96" t="s">
        <v>2391</v>
      </c>
      <c r="H343" s="15"/>
    </row>
    <row r="344" customFormat="false" ht="18" hidden="false" customHeight="true" outlineLevel="0" collapsed="false">
      <c r="A344" s="16" t="n">
        <v>342</v>
      </c>
      <c r="B344" s="17" t="s">
        <v>544</v>
      </c>
      <c r="C344" s="22" t="s">
        <v>721</v>
      </c>
      <c r="D344" s="17" t="s">
        <v>32</v>
      </c>
      <c r="E344" s="16" t="n">
        <v>27</v>
      </c>
      <c r="F344" s="20" t="s">
        <v>722</v>
      </c>
      <c r="G344" s="96" t="s">
        <v>2391</v>
      </c>
      <c r="H344" s="25"/>
    </row>
    <row r="345" customFormat="false" ht="18" hidden="false" customHeight="true" outlineLevel="0" collapsed="false">
      <c r="A345" s="5" t="n">
        <v>343</v>
      </c>
      <c r="B345" s="6" t="s">
        <v>25</v>
      </c>
      <c r="C345" s="40" t="s">
        <v>31</v>
      </c>
      <c r="D345" s="6" t="s">
        <v>32</v>
      </c>
      <c r="E345" s="5" t="n">
        <v>36</v>
      </c>
      <c r="F345" s="9" t="s">
        <v>33</v>
      </c>
      <c r="G345" s="96" t="s">
        <v>2391</v>
      </c>
      <c r="H345" s="15"/>
    </row>
    <row r="346" customFormat="false" ht="18" hidden="false" customHeight="true" outlineLevel="0" collapsed="false">
      <c r="A346" s="16" t="n">
        <v>344</v>
      </c>
      <c r="B346" s="17" t="s">
        <v>25</v>
      </c>
      <c r="C346" s="22" t="s">
        <v>40</v>
      </c>
      <c r="D346" s="17" t="s">
        <v>32</v>
      </c>
      <c r="E346" s="16" t="n">
        <v>18</v>
      </c>
      <c r="F346" s="20" t="s">
        <v>41</v>
      </c>
      <c r="G346" s="96" t="s">
        <v>2391</v>
      </c>
      <c r="H346" s="25"/>
    </row>
    <row r="347" customFormat="false" ht="18" hidden="false" customHeight="true" outlineLevel="0" collapsed="false">
      <c r="A347" s="5" t="n">
        <v>345</v>
      </c>
      <c r="B347" s="6" t="s">
        <v>25</v>
      </c>
      <c r="C347" s="11" t="s">
        <v>2393</v>
      </c>
      <c r="D347" s="6" t="s">
        <v>32</v>
      </c>
      <c r="E347" s="5" t="n">
        <v>18</v>
      </c>
      <c r="F347" s="9" t="s">
        <v>44</v>
      </c>
      <c r="G347" s="96" t="s">
        <v>2391</v>
      </c>
      <c r="H347" s="15"/>
    </row>
    <row r="348" customFormat="false" ht="18" hidden="false" customHeight="true" outlineLevel="0" collapsed="false">
      <c r="A348" s="16" t="n">
        <v>346</v>
      </c>
      <c r="B348" s="17" t="s">
        <v>25</v>
      </c>
      <c r="C348" s="22" t="s">
        <v>2394</v>
      </c>
      <c r="D348" s="17" t="s">
        <v>32</v>
      </c>
      <c r="E348" s="16" t="n">
        <v>18</v>
      </c>
      <c r="F348" s="20" t="s">
        <v>50</v>
      </c>
      <c r="G348" s="96" t="s">
        <v>2391</v>
      </c>
      <c r="H348" s="25"/>
    </row>
    <row r="349" customFormat="false" ht="18" hidden="false" customHeight="true" outlineLevel="0" collapsed="false">
      <c r="A349" s="5" t="n">
        <v>347</v>
      </c>
      <c r="B349" s="6" t="s">
        <v>25</v>
      </c>
      <c r="C349" s="11" t="s">
        <v>2395</v>
      </c>
      <c r="D349" s="6" t="s">
        <v>32</v>
      </c>
      <c r="E349" s="5" t="n">
        <v>36</v>
      </c>
      <c r="F349" s="9" t="s">
        <v>55</v>
      </c>
      <c r="G349" s="96" t="s">
        <v>2391</v>
      </c>
      <c r="H349" s="15"/>
    </row>
    <row r="350" customFormat="false" ht="18" hidden="false" customHeight="true" outlineLevel="0" collapsed="false">
      <c r="A350" s="16" t="n">
        <v>348</v>
      </c>
      <c r="B350" s="17" t="s">
        <v>25</v>
      </c>
      <c r="C350" s="22" t="s">
        <v>65</v>
      </c>
      <c r="D350" s="17" t="s">
        <v>32</v>
      </c>
      <c r="E350" s="16" t="n">
        <v>18</v>
      </c>
      <c r="F350" s="20" t="s">
        <v>66</v>
      </c>
      <c r="G350" s="96" t="s">
        <v>2391</v>
      </c>
      <c r="H350" s="25"/>
    </row>
    <row r="351" customFormat="false" ht="18" hidden="false" customHeight="true" outlineLevel="0" collapsed="false">
      <c r="A351" s="5" t="n">
        <v>349</v>
      </c>
      <c r="B351" s="6" t="s">
        <v>25</v>
      </c>
      <c r="C351" s="11" t="s">
        <v>71</v>
      </c>
      <c r="D351" s="6" t="s">
        <v>32</v>
      </c>
      <c r="E351" s="5" t="n">
        <v>18</v>
      </c>
      <c r="F351" s="9" t="s">
        <v>72</v>
      </c>
      <c r="G351" s="96" t="s">
        <v>2391</v>
      </c>
      <c r="H351" s="15"/>
    </row>
    <row r="352" customFormat="false" ht="18" hidden="false" customHeight="true" outlineLevel="0" collapsed="false">
      <c r="A352" s="16" t="n">
        <v>350</v>
      </c>
      <c r="B352" s="17" t="s">
        <v>25</v>
      </c>
      <c r="C352" s="22" t="s">
        <v>2396</v>
      </c>
      <c r="D352" s="17" t="s">
        <v>32</v>
      </c>
      <c r="E352" s="16" t="n">
        <v>36</v>
      </c>
      <c r="F352" s="20" t="s">
        <v>75</v>
      </c>
      <c r="G352" s="96" t="s">
        <v>2391</v>
      </c>
      <c r="H352" s="25"/>
    </row>
    <row r="353" customFormat="false" ht="18" hidden="false" customHeight="true" outlineLevel="0" collapsed="false">
      <c r="A353" s="5" t="n">
        <v>351</v>
      </c>
      <c r="B353" s="6" t="s">
        <v>25</v>
      </c>
      <c r="C353" s="11" t="s">
        <v>2397</v>
      </c>
      <c r="D353" s="6" t="s">
        <v>32</v>
      </c>
      <c r="E353" s="5" t="n">
        <v>18</v>
      </c>
      <c r="F353" s="9" t="s">
        <v>80</v>
      </c>
      <c r="G353" s="96" t="s">
        <v>2391</v>
      </c>
      <c r="H353" s="15"/>
    </row>
    <row r="354" customFormat="false" ht="18" hidden="false" customHeight="true" outlineLevel="0" collapsed="false">
      <c r="A354" s="16" t="n">
        <v>352</v>
      </c>
      <c r="B354" s="17" t="s">
        <v>25</v>
      </c>
      <c r="C354" s="22" t="s">
        <v>2398</v>
      </c>
      <c r="D354" s="17" t="s">
        <v>32</v>
      </c>
      <c r="E354" s="16" t="n">
        <v>18</v>
      </c>
      <c r="F354" s="20" t="s">
        <v>83</v>
      </c>
      <c r="G354" s="96" t="s">
        <v>2391</v>
      </c>
      <c r="H354" s="25"/>
    </row>
    <row r="355" customFormat="false" ht="18" hidden="false" customHeight="true" outlineLevel="0" collapsed="false">
      <c r="A355" s="5" t="n">
        <v>353</v>
      </c>
      <c r="B355" s="6" t="s">
        <v>25</v>
      </c>
      <c r="C355" s="11" t="s">
        <v>100</v>
      </c>
      <c r="D355" s="6" t="s">
        <v>32</v>
      </c>
      <c r="E355" s="5" t="n">
        <v>18</v>
      </c>
      <c r="F355" s="9" t="s">
        <v>101</v>
      </c>
      <c r="G355" s="96" t="s">
        <v>2391</v>
      </c>
      <c r="H355" s="15"/>
    </row>
    <row r="356" customFormat="false" ht="18" hidden="false" customHeight="true" outlineLevel="0" collapsed="false">
      <c r="A356" s="16" t="n">
        <v>354</v>
      </c>
      <c r="B356" s="17" t="s">
        <v>25</v>
      </c>
      <c r="C356" s="22" t="s">
        <v>106</v>
      </c>
      <c r="D356" s="17" t="s">
        <v>32</v>
      </c>
      <c r="E356" s="16" t="n">
        <v>36</v>
      </c>
      <c r="F356" s="20" t="s">
        <v>107</v>
      </c>
      <c r="G356" s="96" t="s">
        <v>2391</v>
      </c>
      <c r="H356" s="25"/>
    </row>
    <row r="357" customFormat="false" ht="18" hidden="false" customHeight="true" outlineLevel="0" collapsed="false">
      <c r="A357" s="5" t="n">
        <v>355</v>
      </c>
      <c r="B357" s="6" t="s">
        <v>25</v>
      </c>
      <c r="C357" s="11" t="s">
        <v>2399</v>
      </c>
      <c r="D357" s="6" t="s">
        <v>32</v>
      </c>
      <c r="E357" s="5" t="n">
        <v>36</v>
      </c>
      <c r="F357" s="9" t="s">
        <v>112</v>
      </c>
      <c r="G357" s="96" t="s">
        <v>2391</v>
      </c>
      <c r="H357" s="15"/>
    </row>
    <row r="358" customFormat="false" ht="18" hidden="false" customHeight="true" outlineLevel="0" collapsed="false">
      <c r="A358" s="16" t="n">
        <v>356</v>
      </c>
      <c r="B358" s="17" t="s">
        <v>25</v>
      </c>
      <c r="C358" s="22" t="s">
        <v>114</v>
      </c>
      <c r="D358" s="17" t="s">
        <v>32</v>
      </c>
      <c r="E358" s="16" t="n">
        <v>18</v>
      </c>
      <c r="F358" s="20" t="s">
        <v>115</v>
      </c>
      <c r="G358" s="96" t="s">
        <v>2391</v>
      </c>
      <c r="H358" s="25"/>
    </row>
    <row r="359" customFormat="false" ht="18" hidden="false" customHeight="true" outlineLevel="0" collapsed="false">
      <c r="A359" s="5" t="n">
        <v>357</v>
      </c>
      <c r="B359" s="6" t="s">
        <v>25</v>
      </c>
      <c r="C359" s="11" t="s">
        <v>141</v>
      </c>
      <c r="D359" s="6" t="s">
        <v>32</v>
      </c>
      <c r="E359" s="5" t="n">
        <v>18</v>
      </c>
      <c r="F359" s="9" t="s">
        <v>142</v>
      </c>
      <c r="G359" s="96" t="s">
        <v>2391</v>
      </c>
      <c r="H359" s="15"/>
    </row>
    <row r="360" customFormat="false" ht="18" hidden="false" customHeight="true" outlineLevel="0" collapsed="false">
      <c r="A360" s="16" t="n">
        <v>358</v>
      </c>
      <c r="B360" s="17" t="s">
        <v>25</v>
      </c>
      <c r="C360" s="22" t="s">
        <v>146</v>
      </c>
      <c r="D360" s="17" t="s">
        <v>32</v>
      </c>
      <c r="E360" s="16" t="n">
        <v>27</v>
      </c>
      <c r="F360" s="20" t="s">
        <v>137</v>
      </c>
      <c r="G360" s="96" t="s">
        <v>2391</v>
      </c>
      <c r="H360" s="25"/>
    </row>
    <row r="361" customFormat="false" ht="18" hidden="false" customHeight="true" outlineLevel="0" collapsed="false">
      <c r="A361" s="5" t="n">
        <v>359</v>
      </c>
      <c r="B361" s="6" t="s">
        <v>25</v>
      </c>
      <c r="C361" s="11" t="s">
        <v>2400</v>
      </c>
      <c r="D361" s="6" t="s">
        <v>32</v>
      </c>
      <c r="E361" s="5" t="n">
        <v>36</v>
      </c>
      <c r="F361" s="9" t="s">
        <v>151</v>
      </c>
      <c r="G361" s="96" t="s">
        <v>2391</v>
      </c>
      <c r="H361" s="15"/>
    </row>
    <row r="362" customFormat="false" ht="18" hidden="false" customHeight="true" outlineLevel="0" collapsed="false">
      <c r="A362" s="16" t="n">
        <v>360</v>
      </c>
      <c r="B362" s="17" t="s">
        <v>25</v>
      </c>
      <c r="C362" s="22" t="s">
        <v>162</v>
      </c>
      <c r="D362" s="17" t="s">
        <v>32</v>
      </c>
      <c r="E362" s="16" t="n">
        <v>18</v>
      </c>
      <c r="F362" s="20" t="s">
        <v>163</v>
      </c>
      <c r="G362" s="96" t="s">
        <v>2391</v>
      </c>
      <c r="H362" s="25"/>
    </row>
    <row r="363" customFormat="false" ht="18" hidden="false" customHeight="true" outlineLevel="0" collapsed="false">
      <c r="A363" s="5" t="n">
        <v>361</v>
      </c>
      <c r="B363" s="6" t="s">
        <v>25</v>
      </c>
      <c r="C363" s="11" t="s">
        <v>2401</v>
      </c>
      <c r="D363" s="6" t="s">
        <v>32</v>
      </c>
      <c r="E363" s="5" t="n">
        <v>18</v>
      </c>
      <c r="F363" s="9" t="s">
        <v>168</v>
      </c>
      <c r="G363" s="96" t="s">
        <v>2391</v>
      </c>
      <c r="H363" s="15"/>
    </row>
    <row r="364" customFormat="false" ht="18" hidden="false" customHeight="true" outlineLevel="0" collapsed="false">
      <c r="A364" s="16" t="n">
        <v>362</v>
      </c>
      <c r="B364" s="17" t="s">
        <v>25</v>
      </c>
      <c r="C364" s="22" t="s">
        <v>2402</v>
      </c>
      <c r="D364" s="17" t="s">
        <v>32</v>
      </c>
      <c r="E364" s="16" t="n">
        <v>27</v>
      </c>
      <c r="F364" s="20" t="s">
        <v>172</v>
      </c>
      <c r="G364" s="96" t="s">
        <v>2391</v>
      </c>
      <c r="H364" s="25"/>
    </row>
    <row r="365" customFormat="false" ht="18" hidden="false" customHeight="true" outlineLevel="0" collapsed="false">
      <c r="A365" s="5" t="n">
        <v>363</v>
      </c>
      <c r="B365" s="6" t="s">
        <v>25</v>
      </c>
      <c r="C365" s="11" t="s">
        <v>185</v>
      </c>
      <c r="D365" s="6" t="s">
        <v>32</v>
      </c>
      <c r="E365" s="5" t="n">
        <v>18</v>
      </c>
      <c r="F365" s="9" t="s">
        <v>186</v>
      </c>
      <c r="G365" s="96" t="s">
        <v>2391</v>
      </c>
      <c r="H365" s="15"/>
    </row>
    <row r="366" customFormat="false" ht="18" hidden="false" customHeight="true" outlineLevel="0" collapsed="false">
      <c r="A366" s="16" t="n">
        <v>364</v>
      </c>
      <c r="B366" s="17" t="s">
        <v>25</v>
      </c>
      <c r="C366" s="22" t="s">
        <v>2403</v>
      </c>
      <c r="D366" s="17" t="s">
        <v>32</v>
      </c>
      <c r="E366" s="16" t="n">
        <v>18</v>
      </c>
      <c r="F366" s="20" t="s">
        <v>189</v>
      </c>
      <c r="G366" s="96" t="s">
        <v>2391</v>
      </c>
      <c r="H366" s="25"/>
    </row>
    <row r="367" customFormat="false" ht="18" hidden="false" customHeight="true" outlineLevel="0" collapsed="false">
      <c r="A367" s="5" t="n">
        <v>365</v>
      </c>
      <c r="B367" s="6" t="s">
        <v>25</v>
      </c>
      <c r="C367" s="11" t="s">
        <v>191</v>
      </c>
      <c r="D367" s="6" t="s">
        <v>32</v>
      </c>
      <c r="E367" s="5" t="n">
        <v>18</v>
      </c>
      <c r="F367" s="9" t="s">
        <v>192</v>
      </c>
      <c r="G367" s="96" t="s">
        <v>2391</v>
      </c>
      <c r="H367" s="15"/>
    </row>
    <row r="368" customFormat="false" ht="18" hidden="false" customHeight="true" outlineLevel="0" collapsed="false">
      <c r="A368" s="16" t="n">
        <v>366</v>
      </c>
      <c r="B368" s="17" t="s">
        <v>25</v>
      </c>
      <c r="C368" s="22" t="s">
        <v>2404</v>
      </c>
      <c r="D368" s="17" t="s">
        <v>32</v>
      </c>
      <c r="E368" s="16" t="n">
        <v>36</v>
      </c>
      <c r="F368" s="20" t="s">
        <v>197</v>
      </c>
      <c r="G368" s="96" t="s">
        <v>2391</v>
      </c>
      <c r="H368" s="25"/>
    </row>
    <row r="369" customFormat="false" ht="18" hidden="false" customHeight="true" outlineLevel="0" collapsed="false">
      <c r="A369" s="5" t="n">
        <v>367</v>
      </c>
      <c r="B369" s="6" t="s">
        <v>25</v>
      </c>
      <c r="C369" s="11" t="s">
        <v>2405</v>
      </c>
      <c r="D369" s="6" t="s">
        <v>32</v>
      </c>
      <c r="E369" s="5" t="n">
        <v>18</v>
      </c>
      <c r="F369" s="9" t="s">
        <v>200</v>
      </c>
      <c r="G369" s="96" t="s">
        <v>2391</v>
      </c>
      <c r="H369" s="15"/>
    </row>
    <row r="370" customFormat="false" ht="18" hidden="false" customHeight="true" outlineLevel="0" collapsed="false">
      <c r="A370" s="16" t="n">
        <v>368</v>
      </c>
      <c r="B370" s="17" t="s">
        <v>25</v>
      </c>
      <c r="C370" s="22" t="s">
        <v>2406</v>
      </c>
      <c r="D370" s="17" t="s">
        <v>32</v>
      </c>
      <c r="E370" s="16" t="n">
        <v>18</v>
      </c>
      <c r="F370" s="20" t="s">
        <v>211</v>
      </c>
      <c r="G370" s="96" t="s">
        <v>2391</v>
      </c>
      <c r="H370" s="25"/>
    </row>
    <row r="371" customFormat="false" ht="18" hidden="false" customHeight="true" outlineLevel="0" collapsed="false">
      <c r="A371" s="5" t="n">
        <v>369</v>
      </c>
      <c r="B371" s="6" t="s">
        <v>25</v>
      </c>
      <c r="C371" s="11" t="s">
        <v>219</v>
      </c>
      <c r="D371" s="6" t="s">
        <v>32</v>
      </c>
      <c r="E371" s="5" t="n">
        <v>18</v>
      </c>
      <c r="F371" s="9" t="s">
        <v>220</v>
      </c>
      <c r="G371" s="96" t="s">
        <v>2391</v>
      </c>
      <c r="H371" s="15"/>
    </row>
    <row r="372" customFormat="false" ht="18" hidden="false" customHeight="true" outlineLevel="0" collapsed="false">
      <c r="A372" s="16" t="n">
        <v>370</v>
      </c>
      <c r="B372" s="17" t="s">
        <v>25</v>
      </c>
      <c r="C372" s="22" t="s">
        <v>224</v>
      </c>
      <c r="D372" s="17" t="s">
        <v>32</v>
      </c>
      <c r="E372" s="16" t="n">
        <v>27</v>
      </c>
      <c r="F372" s="20" t="s">
        <v>225</v>
      </c>
      <c r="G372" s="96" t="s">
        <v>2391</v>
      </c>
      <c r="H372" s="25"/>
    </row>
    <row r="373" customFormat="false" ht="18" hidden="false" customHeight="true" outlineLevel="0" collapsed="false">
      <c r="A373" s="5" t="n">
        <v>371</v>
      </c>
      <c r="B373" s="6" t="s">
        <v>25</v>
      </c>
      <c r="C373" s="11" t="s">
        <v>243</v>
      </c>
      <c r="D373" s="6" t="s">
        <v>32</v>
      </c>
      <c r="E373" s="5" t="n">
        <v>36</v>
      </c>
      <c r="F373" s="9" t="s">
        <v>244</v>
      </c>
      <c r="G373" s="96" t="s">
        <v>2391</v>
      </c>
      <c r="H373" s="15"/>
    </row>
    <row r="374" customFormat="false" ht="18" hidden="false" customHeight="true" outlineLevel="0" collapsed="false">
      <c r="A374" s="16" t="n">
        <v>372</v>
      </c>
      <c r="B374" s="17" t="s">
        <v>25</v>
      </c>
      <c r="C374" s="22" t="s">
        <v>2407</v>
      </c>
      <c r="D374" s="17" t="s">
        <v>32</v>
      </c>
      <c r="E374" s="16" t="n">
        <v>18</v>
      </c>
      <c r="F374" s="20" t="s">
        <v>250</v>
      </c>
      <c r="G374" s="96" t="s">
        <v>2391</v>
      </c>
      <c r="H374" s="25"/>
    </row>
    <row r="375" customFormat="false" ht="18" hidden="false" customHeight="true" outlineLevel="0" collapsed="false">
      <c r="A375" s="5" t="n">
        <v>373</v>
      </c>
      <c r="B375" s="6" t="s">
        <v>25</v>
      </c>
      <c r="C375" s="11" t="s">
        <v>2408</v>
      </c>
      <c r="D375" s="6" t="s">
        <v>32</v>
      </c>
      <c r="E375" s="5" t="n">
        <v>36</v>
      </c>
      <c r="F375" s="9" t="s">
        <v>253</v>
      </c>
      <c r="G375" s="96" t="s">
        <v>2391</v>
      </c>
      <c r="H375" s="15"/>
    </row>
    <row r="376" customFormat="false" ht="18" hidden="false" customHeight="true" outlineLevel="0" collapsed="false">
      <c r="A376" s="16" t="n">
        <v>374</v>
      </c>
      <c r="B376" s="17" t="s">
        <v>25</v>
      </c>
      <c r="C376" s="22" t="s">
        <v>258</v>
      </c>
      <c r="D376" s="17" t="s">
        <v>32</v>
      </c>
      <c r="E376" s="16" t="n">
        <v>18</v>
      </c>
      <c r="F376" s="20" t="s">
        <v>259</v>
      </c>
      <c r="G376" s="96" t="s">
        <v>2391</v>
      </c>
      <c r="H376" s="25"/>
    </row>
    <row r="377" customFormat="false" ht="18" hidden="false" customHeight="true" outlineLevel="0" collapsed="false">
      <c r="A377" s="5" t="n">
        <v>375</v>
      </c>
      <c r="B377" s="6" t="s">
        <v>25</v>
      </c>
      <c r="C377" s="11" t="s">
        <v>271</v>
      </c>
      <c r="D377" s="6" t="s">
        <v>32</v>
      </c>
      <c r="E377" s="5" t="n">
        <v>18</v>
      </c>
      <c r="F377" s="9" t="s">
        <v>269</v>
      </c>
      <c r="G377" s="96" t="s">
        <v>2391</v>
      </c>
      <c r="H377" s="15"/>
    </row>
    <row r="378" customFormat="false" ht="18" hidden="false" customHeight="true" outlineLevel="0" collapsed="false">
      <c r="A378" s="16" t="n">
        <v>376</v>
      </c>
      <c r="B378" s="17" t="s">
        <v>25</v>
      </c>
      <c r="C378" s="22" t="s">
        <v>2409</v>
      </c>
      <c r="D378" s="17" t="s">
        <v>32</v>
      </c>
      <c r="E378" s="16" t="n">
        <v>27</v>
      </c>
      <c r="F378" s="20" t="s">
        <v>273</v>
      </c>
      <c r="G378" s="96" t="s">
        <v>2391</v>
      </c>
      <c r="H378" s="25"/>
    </row>
    <row r="379" customFormat="false" ht="18" hidden="false" customHeight="true" outlineLevel="0" collapsed="false">
      <c r="A379" s="5" t="n">
        <v>377</v>
      </c>
      <c r="B379" s="6" t="s">
        <v>25</v>
      </c>
      <c r="C379" s="11" t="s">
        <v>2410</v>
      </c>
      <c r="D379" s="6" t="s">
        <v>32</v>
      </c>
      <c r="E379" s="5" t="n">
        <v>18</v>
      </c>
      <c r="F379" s="9" t="s">
        <v>284</v>
      </c>
      <c r="G379" s="96" t="s">
        <v>2391</v>
      </c>
      <c r="H379" s="15"/>
    </row>
    <row r="380" customFormat="false" ht="18" hidden="false" customHeight="true" outlineLevel="0" collapsed="false">
      <c r="A380" s="16" t="n">
        <v>378</v>
      </c>
      <c r="B380" s="17" t="s">
        <v>25</v>
      </c>
      <c r="C380" s="22" t="s">
        <v>287</v>
      </c>
      <c r="D380" s="17" t="s">
        <v>32</v>
      </c>
      <c r="E380" s="16" t="n">
        <v>27</v>
      </c>
      <c r="F380" s="20" t="s">
        <v>288</v>
      </c>
      <c r="G380" s="96" t="s">
        <v>2391</v>
      </c>
      <c r="H380" s="25"/>
    </row>
    <row r="381" customFormat="false" ht="18" hidden="false" customHeight="true" outlineLevel="0" collapsed="false">
      <c r="A381" s="5" t="n">
        <v>379</v>
      </c>
      <c r="B381" s="6" t="s">
        <v>25</v>
      </c>
      <c r="C381" s="11" t="s">
        <v>2411</v>
      </c>
      <c r="D381" s="6" t="s">
        <v>32</v>
      </c>
      <c r="E381" s="5" t="n">
        <v>36</v>
      </c>
      <c r="F381" s="9" t="s">
        <v>297</v>
      </c>
      <c r="G381" s="96" t="s">
        <v>2391</v>
      </c>
      <c r="H381" s="15"/>
    </row>
    <row r="382" customFormat="false" ht="18" hidden="false" customHeight="true" outlineLevel="0" collapsed="false">
      <c r="A382" s="16" t="n">
        <v>380</v>
      </c>
      <c r="B382" s="17" t="s">
        <v>25</v>
      </c>
      <c r="C382" s="22" t="s">
        <v>2412</v>
      </c>
      <c r="D382" s="17" t="s">
        <v>32</v>
      </c>
      <c r="E382" s="16" t="n">
        <v>27</v>
      </c>
      <c r="F382" s="20" t="s">
        <v>305</v>
      </c>
      <c r="G382" s="96" t="s">
        <v>2391</v>
      </c>
      <c r="H382" s="25"/>
    </row>
    <row r="383" customFormat="false" ht="18" hidden="false" customHeight="true" outlineLevel="0" collapsed="false">
      <c r="A383" s="5" t="n">
        <v>381</v>
      </c>
      <c r="B383" s="6" t="s">
        <v>25</v>
      </c>
      <c r="C383" s="11" t="s">
        <v>308</v>
      </c>
      <c r="D383" s="6" t="s">
        <v>32</v>
      </c>
      <c r="E383" s="5" t="n">
        <v>18</v>
      </c>
      <c r="F383" s="9" t="s">
        <v>309</v>
      </c>
      <c r="G383" s="96" t="s">
        <v>2391</v>
      </c>
      <c r="H383" s="15"/>
    </row>
    <row r="384" customFormat="false" ht="18" hidden="false" customHeight="true" outlineLevel="0" collapsed="false">
      <c r="A384" s="16" t="n">
        <v>382</v>
      </c>
      <c r="B384" s="17" t="s">
        <v>25</v>
      </c>
      <c r="C384" s="22" t="s">
        <v>2413</v>
      </c>
      <c r="D384" s="17" t="s">
        <v>32</v>
      </c>
      <c r="E384" s="16" t="n">
        <v>18</v>
      </c>
      <c r="F384" s="20" t="s">
        <v>312</v>
      </c>
      <c r="G384" s="96" t="s">
        <v>2391</v>
      </c>
      <c r="H384" s="25"/>
    </row>
    <row r="385" customFormat="false" ht="18" hidden="false" customHeight="true" outlineLevel="0" collapsed="false">
      <c r="A385" s="5" t="n">
        <v>383</v>
      </c>
      <c r="B385" s="6" t="s">
        <v>25</v>
      </c>
      <c r="C385" s="11" t="s">
        <v>320</v>
      </c>
      <c r="D385" s="6" t="s">
        <v>32</v>
      </c>
      <c r="E385" s="5" t="n">
        <v>18</v>
      </c>
      <c r="F385" s="9" t="s">
        <v>321</v>
      </c>
      <c r="G385" s="96" t="s">
        <v>2391</v>
      </c>
      <c r="H385" s="15"/>
    </row>
    <row r="386" customFormat="false" ht="18" hidden="false" customHeight="true" outlineLevel="0" collapsed="false">
      <c r="A386" s="16" t="n">
        <v>384</v>
      </c>
      <c r="B386" s="17" t="s">
        <v>25</v>
      </c>
      <c r="C386" s="22" t="s">
        <v>323</v>
      </c>
      <c r="D386" s="17" t="s">
        <v>32</v>
      </c>
      <c r="E386" s="16" t="n">
        <v>27</v>
      </c>
      <c r="F386" s="20" t="s">
        <v>324</v>
      </c>
      <c r="G386" s="96" t="s">
        <v>2391</v>
      </c>
      <c r="H386" s="25"/>
    </row>
    <row r="387" customFormat="false" ht="18" hidden="false" customHeight="true" outlineLevel="0" collapsed="false">
      <c r="A387" s="5" t="n">
        <v>385</v>
      </c>
      <c r="B387" s="6" t="s">
        <v>25</v>
      </c>
      <c r="C387" s="11" t="s">
        <v>2414</v>
      </c>
      <c r="D387" s="6" t="s">
        <v>32</v>
      </c>
      <c r="E387" s="5" t="n">
        <v>27</v>
      </c>
      <c r="F387" s="9" t="s">
        <v>337</v>
      </c>
      <c r="G387" s="96" t="s">
        <v>2391</v>
      </c>
      <c r="H387" s="15"/>
    </row>
    <row r="388" customFormat="false" ht="18" hidden="false" customHeight="true" outlineLevel="0" collapsed="false">
      <c r="A388" s="16" t="n">
        <v>386</v>
      </c>
      <c r="B388" s="17" t="s">
        <v>25</v>
      </c>
      <c r="C388" s="22" t="s">
        <v>2415</v>
      </c>
      <c r="D388" s="17" t="s">
        <v>32</v>
      </c>
      <c r="E388" s="16" t="n">
        <v>18</v>
      </c>
      <c r="F388" s="20" t="s">
        <v>345</v>
      </c>
      <c r="G388" s="96" t="s">
        <v>2391</v>
      </c>
      <c r="H388" s="25"/>
    </row>
    <row r="389" customFormat="false" ht="18" hidden="false" customHeight="true" outlineLevel="0" collapsed="false">
      <c r="A389" s="5" t="n">
        <v>387</v>
      </c>
      <c r="B389" s="6" t="s">
        <v>25</v>
      </c>
      <c r="C389" s="11" t="s">
        <v>357</v>
      </c>
      <c r="D389" s="6" t="s">
        <v>32</v>
      </c>
      <c r="E389" s="5" t="n">
        <v>18</v>
      </c>
      <c r="F389" s="9" t="s">
        <v>358</v>
      </c>
      <c r="G389" s="96" t="s">
        <v>2391</v>
      </c>
      <c r="H389" s="15"/>
    </row>
    <row r="390" customFormat="false" ht="18" hidden="false" customHeight="true" outlineLevel="0" collapsed="false">
      <c r="A390" s="16" t="n">
        <v>388</v>
      </c>
      <c r="B390" s="17" t="s">
        <v>25</v>
      </c>
      <c r="C390" s="22" t="s">
        <v>362</v>
      </c>
      <c r="D390" s="17" t="s">
        <v>32</v>
      </c>
      <c r="E390" s="16" t="n">
        <v>27</v>
      </c>
      <c r="F390" s="20" t="s">
        <v>363</v>
      </c>
      <c r="G390" s="96" t="s">
        <v>2391</v>
      </c>
      <c r="H390" s="25"/>
    </row>
    <row r="391" customFormat="false" ht="18" hidden="false" customHeight="true" outlineLevel="0" collapsed="false">
      <c r="A391" s="5" t="n">
        <v>389</v>
      </c>
      <c r="B391" s="6" t="s">
        <v>25</v>
      </c>
      <c r="C391" s="11" t="s">
        <v>372</v>
      </c>
      <c r="D391" s="6" t="s">
        <v>32</v>
      </c>
      <c r="E391" s="5" t="n">
        <v>36</v>
      </c>
      <c r="F391" s="9" t="s">
        <v>373</v>
      </c>
      <c r="G391" s="96" t="s">
        <v>2391</v>
      </c>
      <c r="H391" s="15"/>
    </row>
    <row r="392" customFormat="false" ht="18" hidden="false" customHeight="true" outlineLevel="0" collapsed="false">
      <c r="A392" s="16" t="n">
        <v>390</v>
      </c>
      <c r="B392" s="17" t="s">
        <v>25</v>
      </c>
      <c r="C392" s="22" t="s">
        <v>380</v>
      </c>
      <c r="D392" s="17" t="s">
        <v>32</v>
      </c>
      <c r="E392" s="16" t="n">
        <v>27</v>
      </c>
      <c r="F392" s="20" t="s">
        <v>381</v>
      </c>
      <c r="G392" s="96" t="s">
        <v>2391</v>
      </c>
      <c r="H392" s="25"/>
    </row>
    <row r="393" customFormat="false" ht="18" hidden="false" customHeight="true" outlineLevel="0" collapsed="false">
      <c r="A393" s="5" t="n">
        <v>391</v>
      </c>
      <c r="B393" s="6" t="s">
        <v>25</v>
      </c>
      <c r="C393" s="11" t="s">
        <v>383</v>
      </c>
      <c r="D393" s="6" t="s">
        <v>32</v>
      </c>
      <c r="E393" s="5" t="n">
        <v>18</v>
      </c>
      <c r="F393" s="9" t="s">
        <v>384</v>
      </c>
      <c r="G393" s="96" t="s">
        <v>2391</v>
      </c>
      <c r="H393" s="15"/>
    </row>
    <row r="394" customFormat="false" ht="18" hidden="false" customHeight="true" outlineLevel="0" collapsed="false">
      <c r="A394" s="16" t="n">
        <v>392</v>
      </c>
      <c r="B394" s="17" t="s">
        <v>25</v>
      </c>
      <c r="C394" s="22" t="s">
        <v>2416</v>
      </c>
      <c r="D394" s="17" t="s">
        <v>32</v>
      </c>
      <c r="E394" s="16" t="n">
        <v>27</v>
      </c>
      <c r="F394" s="20" t="s">
        <v>387</v>
      </c>
      <c r="G394" s="96" t="s">
        <v>2391</v>
      </c>
      <c r="H394" s="25"/>
    </row>
    <row r="395" customFormat="false" ht="18" hidden="false" customHeight="true" outlineLevel="0" collapsed="false">
      <c r="A395" s="5" t="n">
        <v>393</v>
      </c>
      <c r="B395" s="6" t="s">
        <v>25</v>
      </c>
      <c r="C395" s="11" t="s">
        <v>2417</v>
      </c>
      <c r="D395" s="6" t="s">
        <v>32</v>
      </c>
      <c r="E395" s="5" t="n">
        <v>18</v>
      </c>
      <c r="F395" s="9" t="s">
        <v>393</v>
      </c>
      <c r="G395" s="96" t="s">
        <v>2391</v>
      </c>
      <c r="H395" s="15"/>
    </row>
    <row r="396" customFormat="false" ht="18" hidden="false" customHeight="true" outlineLevel="0" collapsed="false">
      <c r="A396" s="16" t="n">
        <v>394</v>
      </c>
      <c r="B396" s="17" t="s">
        <v>25</v>
      </c>
      <c r="C396" s="22" t="s">
        <v>2418</v>
      </c>
      <c r="D396" s="17" t="s">
        <v>32</v>
      </c>
      <c r="E396" s="16" t="n">
        <v>27</v>
      </c>
      <c r="F396" s="20" t="s">
        <v>399</v>
      </c>
      <c r="G396" s="96" t="s">
        <v>2391</v>
      </c>
      <c r="H396" s="25"/>
    </row>
    <row r="397" customFormat="false" ht="18" hidden="false" customHeight="true" outlineLevel="0" collapsed="false">
      <c r="A397" s="5" t="n">
        <v>395</v>
      </c>
      <c r="B397" s="6" t="s">
        <v>25</v>
      </c>
      <c r="C397" s="11" t="s">
        <v>2419</v>
      </c>
      <c r="D397" s="6" t="s">
        <v>32</v>
      </c>
      <c r="E397" s="5" t="n">
        <v>18</v>
      </c>
      <c r="F397" s="9" t="s">
        <v>409</v>
      </c>
      <c r="G397" s="96" t="s">
        <v>2391</v>
      </c>
      <c r="H397" s="15"/>
    </row>
    <row r="398" customFormat="false" ht="18" hidden="false" customHeight="true" outlineLevel="0" collapsed="false">
      <c r="A398" s="16" t="n">
        <v>396</v>
      </c>
      <c r="B398" s="17" t="s">
        <v>25</v>
      </c>
      <c r="C398" s="22" t="s">
        <v>2420</v>
      </c>
      <c r="D398" s="17" t="s">
        <v>32</v>
      </c>
      <c r="E398" s="16" t="n">
        <v>27</v>
      </c>
      <c r="F398" s="20" t="s">
        <v>417</v>
      </c>
      <c r="G398" s="96" t="s">
        <v>2391</v>
      </c>
      <c r="H398" s="25"/>
    </row>
    <row r="399" customFormat="false" ht="18" hidden="false" customHeight="true" outlineLevel="0" collapsed="false">
      <c r="A399" s="5" t="n">
        <v>397</v>
      </c>
      <c r="B399" s="6" t="s">
        <v>25</v>
      </c>
      <c r="C399" s="11" t="s">
        <v>419</v>
      </c>
      <c r="D399" s="6" t="s">
        <v>32</v>
      </c>
      <c r="E399" s="5" t="n">
        <v>18</v>
      </c>
      <c r="F399" s="9" t="s">
        <v>420</v>
      </c>
      <c r="G399" s="96" t="s">
        <v>2391</v>
      </c>
      <c r="H399" s="15"/>
    </row>
    <row r="400" customFormat="false" ht="18" hidden="false" customHeight="true" outlineLevel="0" collapsed="false">
      <c r="A400" s="16" t="n">
        <v>398</v>
      </c>
      <c r="B400" s="17" t="s">
        <v>25</v>
      </c>
      <c r="C400" s="22" t="s">
        <v>2421</v>
      </c>
      <c r="D400" s="17" t="s">
        <v>32</v>
      </c>
      <c r="E400" s="16" t="n">
        <v>27</v>
      </c>
      <c r="F400" s="20" t="s">
        <v>439</v>
      </c>
      <c r="G400" s="96" t="s">
        <v>2391</v>
      </c>
      <c r="H400" s="25"/>
    </row>
    <row r="401" customFormat="false" ht="18" hidden="false" customHeight="true" outlineLevel="0" collapsed="false">
      <c r="A401" s="5" t="n">
        <v>399</v>
      </c>
      <c r="B401" s="6" t="s">
        <v>25</v>
      </c>
      <c r="C401" s="11" t="s">
        <v>2422</v>
      </c>
      <c r="D401" s="6" t="s">
        <v>32</v>
      </c>
      <c r="E401" s="5" t="n">
        <v>18</v>
      </c>
      <c r="F401" s="9" t="s">
        <v>450</v>
      </c>
      <c r="G401" s="96" t="s">
        <v>2391</v>
      </c>
      <c r="H401" s="15"/>
    </row>
    <row r="402" customFormat="false" ht="18" hidden="false" customHeight="true" outlineLevel="0" collapsed="false">
      <c r="A402" s="16" t="n">
        <v>400</v>
      </c>
      <c r="B402" s="17" t="s">
        <v>25</v>
      </c>
      <c r="C402" s="22" t="s">
        <v>2423</v>
      </c>
      <c r="D402" s="17" t="s">
        <v>32</v>
      </c>
      <c r="E402" s="16" t="n">
        <v>36</v>
      </c>
      <c r="F402" s="20" t="s">
        <v>453</v>
      </c>
      <c r="G402" s="96" t="s">
        <v>2391</v>
      </c>
      <c r="H402" s="25"/>
    </row>
    <row r="403" customFormat="false" ht="18" hidden="false" customHeight="true" outlineLevel="0" collapsed="false">
      <c r="A403" s="5" t="n">
        <v>401</v>
      </c>
      <c r="B403" s="6" t="s">
        <v>25</v>
      </c>
      <c r="C403" s="11" t="s">
        <v>2424</v>
      </c>
      <c r="D403" s="6" t="s">
        <v>32</v>
      </c>
      <c r="E403" s="5" t="n">
        <v>18</v>
      </c>
      <c r="F403" s="9" t="s">
        <v>459</v>
      </c>
      <c r="G403" s="96" t="s">
        <v>2391</v>
      </c>
      <c r="H403" s="15"/>
    </row>
    <row r="404" customFormat="false" ht="18" hidden="false" customHeight="true" outlineLevel="0" collapsed="false">
      <c r="A404" s="16" t="n">
        <v>402</v>
      </c>
      <c r="B404" s="17" t="s">
        <v>25</v>
      </c>
      <c r="C404" s="22" t="s">
        <v>2425</v>
      </c>
      <c r="D404" s="17" t="s">
        <v>32</v>
      </c>
      <c r="E404" s="16" t="n">
        <v>27</v>
      </c>
      <c r="F404" s="20" t="s">
        <v>468</v>
      </c>
      <c r="G404" s="96" t="s">
        <v>2391</v>
      </c>
      <c r="H404" s="25"/>
    </row>
    <row r="405" customFormat="false" ht="18" hidden="false" customHeight="true" outlineLevel="0" collapsed="false">
      <c r="A405" s="5" t="n">
        <v>403</v>
      </c>
      <c r="B405" s="6" t="s">
        <v>25</v>
      </c>
      <c r="C405" s="11" t="s">
        <v>2426</v>
      </c>
      <c r="D405" s="6" t="s">
        <v>32</v>
      </c>
      <c r="E405" s="5" t="n">
        <v>27</v>
      </c>
      <c r="F405" s="9" t="s">
        <v>479</v>
      </c>
      <c r="G405" s="96" t="s">
        <v>2391</v>
      </c>
      <c r="H405" s="15"/>
    </row>
    <row r="406" customFormat="false" ht="18" hidden="false" customHeight="true" outlineLevel="0" collapsed="false">
      <c r="A406" s="16" t="n">
        <v>404</v>
      </c>
      <c r="B406" s="17" t="s">
        <v>25</v>
      </c>
      <c r="C406" s="22" t="s">
        <v>2427</v>
      </c>
      <c r="D406" s="17" t="s">
        <v>32</v>
      </c>
      <c r="E406" s="16" t="n">
        <v>18</v>
      </c>
      <c r="F406" s="20" t="s">
        <v>482</v>
      </c>
      <c r="G406" s="96" t="s">
        <v>2391</v>
      </c>
      <c r="H406" s="25"/>
    </row>
    <row r="407" customFormat="false" ht="18" hidden="false" customHeight="true" outlineLevel="0" collapsed="false">
      <c r="A407" s="5" t="n">
        <v>405</v>
      </c>
      <c r="B407" s="6" t="s">
        <v>25</v>
      </c>
      <c r="C407" s="11" t="s">
        <v>487</v>
      </c>
      <c r="D407" s="6" t="s">
        <v>32</v>
      </c>
      <c r="E407" s="5" t="n">
        <v>18</v>
      </c>
      <c r="F407" s="9" t="s">
        <v>488</v>
      </c>
      <c r="G407" s="96" t="s">
        <v>2391</v>
      </c>
      <c r="H407" s="15"/>
    </row>
    <row r="408" customFormat="false" ht="18" hidden="false" customHeight="true" outlineLevel="0" collapsed="false">
      <c r="A408" s="16" t="n">
        <v>406</v>
      </c>
      <c r="B408" s="17" t="s">
        <v>25</v>
      </c>
      <c r="C408" s="22" t="s">
        <v>2428</v>
      </c>
      <c r="D408" s="17" t="s">
        <v>32</v>
      </c>
      <c r="E408" s="16" t="n">
        <v>18</v>
      </c>
      <c r="F408" s="20" t="s">
        <v>495</v>
      </c>
      <c r="G408" s="96" t="s">
        <v>2391</v>
      </c>
      <c r="H408" s="25"/>
    </row>
    <row r="409" customFormat="false" ht="18" hidden="false" customHeight="true" outlineLevel="0" collapsed="false">
      <c r="A409" s="5" t="n">
        <v>407</v>
      </c>
      <c r="B409" s="6" t="s">
        <v>1314</v>
      </c>
      <c r="C409" s="11" t="s">
        <v>1320</v>
      </c>
      <c r="D409" s="6" t="s">
        <v>32</v>
      </c>
      <c r="E409" s="5" t="n">
        <v>18</v>
      </c>
      <c r="F409" s="9" t="s">
        <v>1321</v>
      </c>
      <c r="G409" s="96" t="s">
        <v>2391</v>
      </c>
      <c r="H409" s="15"/>
    </row>
    <row r="410" customFormat="false" ht="18" hidden="false" customHeight="true" outlineLevel="0" collapsed="false">
      <c r="A410" s="16" t="n">
        <v>408</v>
      </c>
      <c r="B410" s="17" t="s">
        <v>1314</v>
      </c>
      <c r="C410" s="22" t="s">
        <v>1334</v>
      </c>
      <c r="D410" s="17" t="s">
        <v>32</v>
      </c>
      <c r="E410" s="16" t="n">
        <v>27</v>
      </c>
      <c r="F410" s="20" t="s">
        <v>1335</v>
      </c>
      <c r="G410" s="96" t="s">
        <v>2391</v>
      </c>
      <c r="H410" s="25"/>
    </row>
    <row r="411" customFormat="false" ht="18" hidden="false" customHeight="true" outlineLevel="0" collapsed="false">
      <c r="A411" s="5" t="n">
        <v>409</v>
      </c>
      <c r="B411" s="6" t="s">
        <v>1314</v>
      </c>
      <c r="C411" s="11" t="s">
        <v>1349</v>
      </c>
      <c r="D411" s="6" t="s">
        <v>32</v>
      </c>
      <c r="E411" s="5" t="n">
        <v>27</v>
      </c>
      <c r="F411" s="9" t="s">
        <v>1350</v>
      </c>
      <c r="G411" s="96" t="s">
        <v>2391</v>
      </c>
      <c r="H411" s="15"/>
    </row>
    <row r="412" customFormat="false" ht="18" hidden="false" customHeight="true" outlineLevel="0" collapsed="false">
      <c r="A412" s="16" t="n">
        <v>410</v>
      </c>
      <c r="B412" s="17" t="s">
        <v>1314</v>
      </c>
      <c r="C412" s="22" t="s">
        <v>1355</v>
      </c>
      <c r="D412" s="17" t="s">
        <v>32</v>
      </c>
      <c r="E412" s="16" t="n">
        <v>27</v>
      </c>
      <c r="F412" s="20" t="s">
        <v>1356</v>
      </c>
      <c r="G412" s="96" t="s">
        <v>2391</v>
      </c>
      <c r="H412" s="25"/>
    </row>
    <row r="413" customFormat="false" ht="18" hidden="false" customHeight="true" outlineLevel="0" collapsed="false">
      <c r="A413" s="5" t="n">
        <v>411</v>
      </c>
      <c r="B413" s="6" t="s">
        <v>1314</v>
      </c>
      <c r="C413" s="11" t="s">
        <v>1358</v>
      </c>
      <c r="D413" s="6" t="s">
        <v>32</v>
      </c>
      <c r="E413" s="5" t="n">
        <v>18</v>
      </c>
      <c r="F413" s="9" t="s">
        <v>1359</v>
      </c>
      <c r="G413" s="96" t="s">
        <v>2391</v>
      </c>
      <c r="H413" s="15"/>
    </row>
    <row r="414" customFormat="false" ht="18" hidden="false" customHeight="true" outlineLevel="0" collapsed="false">
      <c r="A414" s="16" t="n">
        <v>412</v>
      </c>
      <c r="B414" s="17" t="s">
        <v>1314</v>
      </c>
      <c r="C414" s="22" t="s">
        <v>1370</v>
      </c>
      <c r="D414" s="17" t="s">
        <v>32</v>
      </c>
      <c r="E414" s="16" t="n">
        <v>18</v>
      </c>
      <c r="F414" s="20" t="s">
        <v>1371</v>
      </c>
      <c r="G414" s="96" t="s">
        <v>2391</v>
      </c>
      <c r="H414" s="25"/>
    </row>
    <row r="415" customFormat="false" ht="18" hidden="false" customHeight="true" outlineLevel="0" collapsed="false">
      <c r="A415" s="5" t="n">
        <v>413</v>
      </c>
      <c r="B415" s="6" t="s">
        <v>1314</v>
      </c>
      <c r="C415" s="11" t="s">
        <v>1405</v>
      </c>
      <c r="D415" s="6" t="s">
        <v>32</v>
      </c>
      <c r="E415" s="5" t="n">
        <v>18</v>
      </c>
      <c r="F415" s="9" t="s">
        <v>1406</v>
      </c>
      <c r="G415" s="96" t="s">
        <v>2391</v>
      </c>
      <c r="H415" s="15"/>
    </row>
    <row r="416" customFormat="false" ht="18" hidden="false" customHeight="true" outlineLevel="0" collapsed="false">
      <c r="A416" s="16" t="n">
        <v>414</v>
      </c>
      <c r="B416" s="17" t="s">
        <v>1314</v>
      </c>
      <c r="C416" s="22" t="s">
        <v>1408</v>
      </c>
      <c r="D416" s="17" t="s">
        <v>32</v>
      </c>
      <c r="E416" s="16" t="n">
        <v>27</v>
      </c>
      <c r="F416" s="20" t="s">
        <v>1409</v>
      </c>
      <c r="G416" s="96" t="s">
        <v>2391</v>
      </c>
      <c r="H416" s="25"/>
    </row>
    <row r="417" customFormat="false" ht="18" hidden="false" customHeight="true" outlineLevel="0" collapsed="false">
      <c r="A417" s="5" t="n">
        <v>415</v>
      </c>
      <c r="B417" s="6" t="s">
        <v>1314</v>
      </c>
      <c r="C417" s="11" t="s">
        <v>1411</v>
      </c>
      <c r="D417" s="6" t="s">
        <v>32</v>
      </c>
      <c r="E417" s="5" t="n">
        <v>27</v>
      </c>
      <c r="F417" s="9" t="s">
        <v>1412</v>
      </c>
      <c r="G417" s="96" t="s">
        <v>2391</v>
      </c>
      <c r="H417" s="15"/>
    </row>
    <row r="418" customFormat="false" ht="18" hidden="false" customHeight="true" outlineLevel="0" collapsed="false">
      <c r="A418" s="16" t="n">
        <v>416</v>
      </c>
      <c r="B418" s="17" t="s">
        <v>1314</v>
      </c>
      <c r="C418" s="22" t="s">
        <v>1422</v>
      </c>
      <c r="D418" s="17" t="s">
        <v>32</v>
      </c>
      <c r="E418" s="16" t="n">
        <v>18</v>
      </c>
      <c r="F418" s="20" t="s">
        <v>1423</v>
      </c>
      <c r="G418" s="96" t="s">
        <v>2391</v>
      </c>
      <c r="H418" s="25"/>
    </row>
    <row r="419" customFormat="false" ht="18" hidden="false" customHeight="true" outlineLevel="0" collapsed="false">
      <c r="A419" s="5" t="n">
        <v>417</v>
      </c>
      <c r="B419" s="6" t="s">
        <v>1314</v>
      </c>
      <c r="C419" s="11" t="s">
        <v>1428</v>
      </c>
      <c r="D419" s="6" t="s">
        <v>32</v>
      </c>
      <c r="E419" s="5" t="n">
        <v>36</v>
      </c>
      <c r="F419" s="9" t="s">
        <v>1429</v>
      </c>
      <c r="G419" s="96" t="s">
        <v>2391</v>
      </c>
      <c r="H419" s="15"/>
    </row>
    <row r="420" customFormat="false" ht="18" hidden="false" customHeight="true" outlineLevel="0" collapsed="false">
      <c r="A420" s="16" t="n">
        <v>418</v>
      </c>
      <c r="B420" s="17" t="s">
        <v>1314</v>
      </c>
      <c r="C420" s="22" t="s">
        <v>1436</v>
      </c>
      <c r="D420" s="17" t="s">
        <v>32</v>
      </c>
      <c r="E420" s="16" t="n">
        <v>18</v>
      </c>
      <c r="F420" s="20" t="s">
        <v>1437</v>
      </c>
      <c r="G420" s="96" t="s">
        <v>2391</v>
      </c>
      <c r="H420" s="25"/>
    </row>
    <row r="421" customFormat="false" ht="18" hidden="false" customHeight="true" outlineLevel="0" collapsed="false">
      <c r="A421" s="5" t="n">
        <v>419</v>
      </c>
      <c r="B421" s="6" t="s">
        <v>1154</v>
      </c>
      <c r="C421" s="11" t="s">
        <v>2429</v>
      </c>
      <c r="D421" s="6" t="s">
        <v>32</v>
      </c>
      <c r="E421" s="5" t="n">
        <v>36</v>
      </c>
      <c r="F421" s="9" t="s">
        <v>1164</v>
      </c>
      <c r="G421" s="96" t="s">
        <v>2391</v>
      </c>
      <c r="H421" s="15"/>
    </row>
    <row r="422" customFormat="false" ht="18" hidden="false" customHeight="true" outlineLevel="0" collapsed="false">
      <c r="A422" s="16" t="n">
        <v>420</v>
      </c>
      <c r="B422" s="17" t="s">
        <v>1154</v>
      </c>
      <c r="C422" s="22" t="s">
        <v>1172</v>
      </c>
      <c r="D422" s="17" t="s">
        <v>32</v>
      </c>
      <c r="E422" s="16" t="n">
        <v>18</v>
      </c>
      <c r="F422" s="20" t="s">
        <v>1173</v>
      </c>
      <c r="G422" s="96" t="s">
        <v>2391</v>
      </c>
      <c r="H422" s="25"/>
    </row>
    <row r="423" customFormat="false" ht="18" hidden="false" customHeight="true" outlineLevel="0" collapsed="false">
      <c r="A423" s="5" t="n">
        <v>421</v>
      </c>
      <c r="B423" s="6" t="s">
        <v>1154</v>
      </c>
      <c r="C423" s="11" t="s">
        <v>2430</v>
      </c>
      <c r="D423" s="6" t="s">
        <v>32</v>
      </c>
      <c r="E423" s="5" t="n">
        <v>18</v>
      </c>
      <c r="F423" s="9" t="s">
        <v>1188</v>
      </c>
      <c r="G423" s="96" t="s">
        <v>2391</v>
      </c>
      <c r="H423" s="15"/>
    </row>
    <row r="424" customFormat="false" ht="18" hidden="false" customHeight="true" outlineLevel="0" collapsed="false">
      <c r="A424" s="16" t="n">
        <v>422</v>
      </c>
      <c r="B424" s="17" t="s">
        <v>1154</v>
      </c>
      <c r="C424" s="22" t="s">
        <v>2431</v>
      </c>
      <c r="D424" s="17" t="s">
        <v>32</v>
      </c>
      <c r="E424" s="16" t="n">
        <v>27</v>
      </c>
      <c r="F424" s="20" t="s">
        <v>1200</v>
      </c>
      <c r="G424" s="96" t="s">
        <v>2391</v>
      </c>
      <c r="H424" s="25"/>
    </row>
    <row r="425" customFormat="false" ht="18" hidden="false" customHeight="true" outlineLevel="0" collapsed="false">
      <c r="A425" s="5" t="n">
        <v>423</v>
      </c>
      <c r="B425" s="6" t="s">
        <v>1154</v>
      </c>
      <c r="C425" s="11" t="s">
        <v>2432</v>
      </c>
      <c r="D425" s="6" t="s">
        <v>32</v>
      </c>
      <c r="E425" s="5" t="n">
        <v>27</v>
      </c>
      <c r="F425" s="9" t="s">
        <v>1203</v>
      </c>
      <c r="G425" s="96" t="s">
        <v>2391</v>
      </c>
      <c r="H425" s="15"/>
    </row>
    <row r="426" customFormat="false" ht="18" hidden="false" customHeight="true" outlineLevel="0" collapsed="false">
      <c r="A426" s="16" t="n">
        <v>424</v>
      </c>
      <c r="B426" s="17" t="s">
        <v>1154</v>
      </c>
      <c r="C426" s="22" t="s">
        <v>2433</v>
      </c>
      <c r="D426" s="17" t="s">
        <v>32</v>
      </c>
      <c r="E426" s="16" t="n">
        <v>18</v>
      </c>
      <c r="F426" s="20" t="s">
        <v>1211</v>
      </c>
      <c r="G426" s="96" t="s">
        <v>2391</v>
      </c>
      <c r="H426" s="25"/>
    </row>
    <row r="427" customFormat="false" ht="18" hidden="false" customHeight="true" outlineLevel="0" collapsed="false">
      <c r="A427" s="5" t="n">
        <v>425</v>
      </c>
      <c r="B427" s="6" t="s">
        <v>1154</v>
      </c>
      <c r="C427" s="11" t="s">
        <v>2434</v>
      </c>
      <c r="D427" s="6" t="s">
        <v>32</v>
      </c>
      <c r="E427" s="5" t="n">
        <v>18</v>
      </c>
      <c r="F427" s="9" t="s">
        <v>1244</v>
      </c>
      <c r="G427" s="96" t="s">
        <v>2391</v>
      </c>
      <c r="H427" s="15"/>
    </row>
    <row r="428" customFormat="false" ht="18" hidden="false" customHeight="true" outlineLevel="0" collapsed="false">
      <c r="A428" s="16" t="n">
        <v>426</v>
      </c>
      <c r="B428" s="17" t="s">
        <v>1154</v>
      </c>
      <c r="C428" s="22" t="s">
        <v>2435</v>
      </c>
      <c r="D428" s="17" t="s">
        <v>32</v>
      </c>
      <c r="E428" s="16" t="n">
        <v>27</v>
      </c>
      <c r="F428" s="20" t="s">
        <v>1252</v>
      </c>
      <c r="G428" s="96" t="s">
        <v>2391</v>
      </c>
      <c r="H428" s="25"/>
    </row>
    <row r="429" customFormat="false" ht="18" hidden="false" customHeight="true" outlineLevel="0" collapsed="false">
      <c r="A429" s="5" t="n">
        <v>427</v>
      </c>
      <c r="B429" s="6" t="s">
        <v>1154</v>
      </c>
      <c r="C429" s="11" t="s">
        <v>2436</v>
      </c>
      <c r="D429" s="6" t="s">
        <v>32</v>
      </c>
      <c r="E429" s="5" t="n">
        <v>18</v>
      </c>
      <c r="F429" s="9" t="s">
        <v>1261</v>
      </c>
      <c r="G429" s="96" t="s">
        <v>2391</v>
      </c>
      <c r="H429" s="15"/>
    </row>
    <row r="430" customFormat="false" ht="18" hidden="false" customHeight="true" outlineLevel="0" collapsed="false">
      <c r="A430" s="16" t="n">
        <v>428</v>
      </c>
      <c r="B430" s="17" t="s">
        <v>1154</v>
      </c>
      <c r="C430" s="22" t="s">
        <v>2437</v>
      </c>
      <c r="D430" s="17" t="s">
        <v>32</v>
      </c>
      <c r="E430" s="16" t="n">
        <v>27</v>
      </c>
      <c r="F430" s="20" t="s">
        <v>1265</v>
      </c>
      <c r="G430" s="96" t="s">
        <v>2391</v>
      </c>
      <c r="H430" s="25"/>
    </row>
    <row r="431" customFormat="false" ht="18" hidden="false" customHeight="true" outlineLevel="0" collapsed="false">
      <c r="A431" s="5" t="n">
        <v>429</v>
      </c>
      <c r="B431" s="6" t="s">
        <v>1154</v>
      </c>
      <c r="C431" s="11" t="s">
        <v>1282</v>
      </c>
      <c r="D431" s="6" t="s">
        <v>32</v>
      </c>
      <c r="E431" s="5" t="n">
        <v>27</v>
      </c>
      <c r="F431" s="9" t="s">
        <v>1283</v>
      </c>
      <c r="G431" s="96" t="s">
        <v>2391</v>
      </c>
      <c r="H431" s="15"/>
    </row>
    <row r="432" customFormat="false" ht="18" hidden="false" customHeight="true" outlineLevel="0" collapsed="false">
      <c r="A432" s="16" t="n">
        <v>430</v>
      </c>
      <c r="B432" s="17" t="s">
        <v>1154</v>
      </c>
      <c r="C432" s="22" t="s">
        <v>2438</v>
      </c>
      <c r="D432" s="17" t="s">
        <v>32</v>
      </c>
      <c r="E432" s="16" t="n">
        <v>36</v>
      </c>
      <c r="F432" s="20" t="s">
        <v>1300</v>
      </c>
      <c r="G432" s="96" t="s">
        <v>2391</v>
      </c>
      <c r="H432" s="25"/>
    </row>
    <row r="433" customFormat="false" ht="18" hidden="false" customHeight="true" outlineLevel="0" collapsed="false">
      <c r="A433" s="5" t="n">
        <v>431</v>
      </c>
      <c r="B433" s="6" t="s">
        <v>1481</v>
      </c>
      <c r="C433" s="11" t="s">
        <v>1485</v>
      </c>
      <c r="D433" s="6" t="s">
        <v>32</v>
      </c>
      <c r="E433" s="5" t="n">
        <v>18</v>
      </c>
      <c r="F433" s="9" t="s">
        <v>1486</v>
      </c>
      <c r="G433" s="96" t="s">
        <v>2391</v>
      </c>
      <c r="H433" s="15"/>
    </row>
    <row r="434" customFormat="false" ht="18" hidden="false" customHeight="true" outlineLevel="0" collapsed="false">
      <c r="A434" s="16" t="n">
        <v>432</v>
      </c>
      <c r="B434" s="17" t="s">
        <v>1440</v>
      </c>
      <c r="C434" s="22" t="s">
        <v>1444</v>
      </c>
      <c r="D434" s="17" t="s">
        <v>32</v>
      </c>
      <c r="E434" s="16" t="n">
        <v>18</v>
      </c>
      <c r="F434" s="20" t="s">
        <v>1445</v>
      </c>
      <c r="G434" s="96" t="s">
        <v>2391</v>
      </c>
      <c r="H434" s="25"/>
    </row>
    <row r="435" customFormat="false" ht="18" hidden="false" customHeight="true" outlineLevel="0" collapsed="false">
      <c r="A435" s="5" t="n">
        <v>433</v>
      </c>
      <c r="B435" s="6" t="s">
        <v>1440</v>
      </c>
      <c r="C435" s="11" t="s">
        <v>1449</v>
      </c>
      <c r="D435" s="6" t="s">
        <v>32</v>
      </c>
      <c r="E435" s="5" t="n">
        <v>27</v>
      </c>
      <c r="F435" s="9" t="s">
        <v>1450</v>
      </c>
      <c r="G435" s="96" t="s">
        <v>2391</v>
      </c>
      <c r="H435" s="15"/>
    </row>
    <row r="436" customFormat="false" ht="18" hidden="false" customHeight="true" outlineLevel="0" collapsed="false">
      <c r="A436" s="16" t="n">
        <v>434</v>
      </c>
      <c r="B436" s="17" t="s">
        <v>1440</v>
      </c>
      <c r="C436" s="22" t="s">
        <v>1452</v>
      </c>
      <c r="D436" s="17" t="s">
        <v>32</v>
      </c>
      <c r="E436" s="16" t="n">
        <v>18</v>
      </c>
      <c r="F436" s="20" t="s">
        <v>1453</v>
      </c>
      <c r="G436" s="96" t="s">
        <v>2391</v>
      </c>
      <c r="H436" s="25"/>
    </row>
    <row r="437" customFormat="false" ht="18" hidden="false" customHeight="true" outlineLevel="0" collapsed="false">
      <c r="A437" s="5" t="n">
        <v>435</v>
      </c>
      <c r="B437" s="6" t="s">
        <v>1440</v>
      </c>
      <c r="C437" s="11" t="s">
        <v>1460</v>
      </c>
      <c r="D437" s="6" t="s">
        <v>32</v>
      </c>
      <c r="E437" s="5" t="n">
        <v>27</v>
      </c>
      <c r="F437" s="9" t="s">
        <v>1461</v>
      </c>
      <c r="G437" s="96" t="s">
        <v>2391</v>
      </c>
      <c r="H437" s="15"/>
    </row>
    <row r="438" customFormat="false" ht="18" hidden="false" customHeight="true" outlineLevel="0" collapsed="false">
      <c r="A438" s="16" t="n">
        <v>436</v>
      </c>
      <c r="B438" s="17" t="s">
        <v>1440</v>
      </c>
      <c r="C438" s="22" t="s">
        <v>1471</v>
      </c>
      <c r="D438" s="17" t="s">
        <v>32</v>
      </c>
      <c r="E438" s="16" t="n">
        <v>18</v>
      </c>
      <c r="F438" s="20" t="s">
        <v>1472</v>
      </c>
      <c r="G438" s="96" t="s">
        <v>2391</v>
      </c>
      <c r="H438" s="25"/>
    </row>
    <row r="439" customFormat="false" ht="18" hidden="false" customHeight="true" outlineLevel="0" collapsed="false">
      <c r="A439" s="5" t="n">
        <v>437</v>
      </c>
      <c r="B439" s="6" t="s">
        <v>1440</v>
      </c>
      <c r="C439" s="11" t="s">
        <v>1476</v>
      </c>
      <c r="D439" s="6" t="s">
        <v>32</v>
      </c>
      <c r="E439" s="5" t="n">
        <v>27</v>
      </c>
      <c r="F439" s="9" t="s">
        <v>1477</v>
      </c>
      <c r="G439" s="96" t="s">
        <v>2391</v>
      </c>
      <c r="H439" s="15"/>
    </row>
    <row r="440" customFormat="false" ht="18" hidden="false" customHeight="true" outlineLevel="0" collapsed="false">
      <c r="A440" s="16" t="n">
        <v>438</v>
      </c>
      <c r="B440" s="17" t="s">
        <v>938</v>
      </c>
      <c r="C440" s="22" t="s">
        <v>947</v>
      </c>
      <c r="D440" s="17" t="s">
        <v>32</v>
      </c>
      <c r="E440" s="16" t="n">
        <v>27</v>
      </c>
      <c r="F440" s="20" t="s">
        <v>948</v>
      </c>
      <c r="G440" s="96" t="s">
        <v>2391</v>
      </c>
      <c r="H440" s="25"/>
    </row>
    <row r="441" customFormat="false" ht="18" hidden="false" customHeight="true" outlineLevel="0" collapsed="false">
      <c r="A441" s="5" t="n">
        <v>439</v>
      </c>
      <c r="B441" s="6" t="s">
        <v>1490</v>
      </c>
      <c r="C441" s="11" t="s">
        <v>1497</v>
      </c>
      <c r="D441" s="6" t="s">
        <v>32</v>
      </c>
      <c r="E441" s="5" t="n">
        <v>27</v>
      </c>
      <c r="F441" s="9" t="s">
        <v>1498</v>
      </c>
      <c r="G441" s="96" t="s">
        <v>2391</v>
      </c>
      <c r="H441" s="15"/>
    </row>
    <row r="442" customFormat="false" ht="18" hidden="false" customHeight="true" outlineLevel="0" collapsed="false">
      <c r="A442" s="16" t="n">
        <v>440</v>
      </c>
      <c r="B442" s="17" t="s">
        <v>1490</v>
      </c>
      <c r="C442" s="22" t="s">
        <v>1503</v>
      </c>
      <c r="D442" s="17" t="s">
        <v>32</v>
      </c>
      <c r="E442" s="16" t="n">
        <v>27</v>
      </c>
      <c r="F442" s="20" t="s">
        <v>1504</v>
      </c>
      <c r="G442" s="96" t="s">
        <v>2391</v>
      </c>
      <c r="H442" s="25"/>
    </row>
    <row r="443" customFormat="false" ht="18" hidden="false" customHeight="true" outlineLevel="0" collapsed="false">
      <c r="A443" s="5" t="n">
        <v>441</v>
      </c>
      <c r="B443" s="6" t="s">
        <v>504</v>
      </c>
      <c r="C443" s="11" t="s">
        <v>532</v>
      </c>
      <c r="D443" s="6" t="s">
        <v>32</v>
      </c>
      <c r="E443" s="5" t="n">
        <v>18</v>
      </c>
      <c r="F443" s="9" t="s">
        <v>533</v>
      </c>
      <c r="G443" s="96" t="s">
        <v>2391</v>
      </c>
      <c r="H443" s="15"/>
    </row>
    <row r="444" customFormat="false" ht="18" hidden="false" customHeight="true" outlineLevel="0" collapsed="false">
      <c r="A444" s="16" t="n">
        <v>442</v>
      </c>
      <c r="B444" s="17" t="s">
        <v>504</v>
      </c>
      <c r="C444" s="22" t="s">
        <v>538</v>
      </c>
      <c r="D444" s="17" t="s">
        <v>32</v>
      </c>
      <c r="E444" s="16" t="n">
        <v>18</v>
      </c>
      <c r="F444" s="20" t="s">
        <v>539</v>
      </c>
      <c r="G444" s="96" t="s">
        <v>2391</v>
      </c>
      <c r="H444" s="25"/>
    </row>
    <row r="445" customFormat="false" ht="18" hidden="false" customHeight="true" outlineLevel="0" collapsed="false">
      <c r="A445" s="5" t="n">
        <v>443</v>
      </c>
      <c r="B445" s="6" t="s">
        <v>1023</v>
      </c>
      <c r="C445" s="11" t="s">
        <v>2439</v>
      </c>
      <c r="D445" s="6" t="s">
        <v>32</v>
      </c>
      <c r="E445" s="5" t="n">
        <v>27</v>
      </c>
      <c r="F445" s="9" t="s">
        <v>1036</v>
      </c>
      <c r="G445" s="96" t="s">
        <v>2391</v>
      </c>
      <c r="H445" s="15"/>
    </row>
    <row r="446" customFormat="false" ht="18" hidden="false" customHeight="true" outlineLevel="0" collapsed="false">
      <c r="A446" s="16" t="n">
        <v>444</v>
      </c>
      <c r="B446" s="17" t="s">
        <v>1023</v>
      </c>
      <c r="C446" s="22" t="s">
        <v>2440</v>
      </c>
      <c r="D446" s="17" t="s">
        <v>32</v>
      </c>
      <c r="E446" s="16" t="n">
        <v>27</v>
      </c>
      <c r="F446" s="20" t="s">
        <v>1084</v>
      </c>
      <c r="G446" s="96" t="s">
        <v>2391</v>
      </c>
      <c r="H446" s="25"/>
    </row>
    <row r="447" customFormat="false" ht="18" hidden="false" customHeight="true" outlineLevel="0" collapsed="false">
      <c r="A447" s="5" t="n">
        <v>445</v>
      </c>
      <c r="B447" s="6" t="s">
        <v>1023</v>
      </c>
      <c r="C447" s="11" t="s">
        <v>2441</v>
      </c>
      <c r="D447" s="6" t="s">
        <v>32</v>
      </c>
      <c r="E447" s="5" t="n">
        <v>27</v>
      </c>
      <c r="F447" s="9" t="s">
        <v>1137</v>
      </c>
      <c r="G447" s="96" t="s">
        <v>2391</v>
      </c>
      <c r="H447" s="15"/>
    </row>
    <row r="448" customFormat="false" ht="18" hidden="false" customHeight="true" outlineLevel="0" collapsed="false">
      <c r="A448" s="16" t="n">
        <v>446</v>
      </c>
      <c r="B448" s="17" t="s">
        <v>1023</v>
      </c>
      <c r="C448" s="22" t="s">
        <v>2442</v>
      </c>
      <c r="D448" s="17" t="s">
        <v>32</v>
      </c>
      <c r="E448" s="16" t="n">
        <v>18</v>
      </c>
      <c r="F448" s="20" t="s">
        <v>1140</v>
      </c>
      <c r="G448" s="96" t="s">
        <v>2391</v>
      </c>
      <c r="H448" s="25"/>
    </row>
    <row r="449" customFormat="false" ht="18" hidden="false" customHeight="true" outlineLevel="0" collapsed="false">
      <c r="A449" s="5" t="n">
        <v>447</v>
      </c>
      <c r="B449" s="6" t="s">
        <v>950</v>
      </c>
      <c r="C449" s="11" t="s">
        <v>2443</v>
      </c>
      <c r="D449" s="6" t="s">
        <v>32</v>
      </c>
      <c r="E449" s="5" t="n">
        <v>18</v>
      </c>
      <c r="F449" s="9" t="s">
        <v>987</v>
      </c>
      <c r="G449" s="96" t="s">
        <v>2391</v>
      </c>
      <c r="H449" s="15"/>
    </row>
    <row r="450" customFormat="false" ht="18" hidden="false" customHeight="true" outlineLevel="0" collapsed="false">
      <c r="A450" s="16" t="n">
        <v>448</v>
      </c>
      <c r="B450" s="17" t="s">
        <v>950</v>
      </c>
      <c r="C450" s="22" t="s">
        <v>2444</v>
      </c>
      <c r="D450" s="17" t="s">
        <v>32</v>
      </c>
      <c r="E450" s="16" t="n">
        <v>27</v>
      </c>
      <c r="F450" s="20" t="s">
        <v>1012</v>
      </c>
      <c r="G450" s="96" t="s">
        <v>2391</v>
      </c>
      <c r="H450" s="25"/>
    </row>
    <row r="451" customFormat="false" ht="18" hidden="false" customHeight="true" outlineLevel="0" collapsed="false">
      <c r="A451" s="5" t="n">
        <v>449</v>
      </c>
      <c r="B451" s="6" t="s">
        <v>1506</v>
      </c>
      <c r="C451" s="40" t="s">
        <v>2445</v>
      </c>
      <c r="D451" s="6" t="s">
        <v>32</v>
      </c>
      <c r="E451" s="5" t="n">
        <v>18</v>
      </c>
      <c r="F451" s="9" t="s">
        <v>1508</v>
      </c>
      <c r="G451" s="96" t="s">
        <v>2391</v>
      </c>
      <c r="H451" s="15"/>
    </row>
    <row r="452" customFormat="false" ht="18" hidden="false" customHeight="true" outlineLevel="0" collapsed="false">
      <c r="A452" s="16" t="n">
        <v>450</v>
      </c>
      <c r="B452" s="17" t="s">
        <v>1506</v>
      </c>
      <c r="C452" s="22" t="s">
        <v>2446</v>
      </c>
      <c r="D452" s="17" t="s">
        <v>32</v>
      </c>
      <c r="E452" s="16" t="n">
        <v>18</v>
      </c>
      <c r="F452" s="20" t="s">
        <v>1520</v>
      </c>
      <c r="G452" s="96" t="s">
        <v>2391</v>
      </c>
      <c r="H452" s="25"/>
    </row>
    <row r="453" customFormat="false" ht="18" hidden="false" customHeight="true" outlineLevel="0" collapsed="false">
      <c r="A453" s="5" t="n">
        <v>451</v>
      </c>
      <c r="B453" s="6" t="s">
        <v>1506</v>
      </c>
      <c r="C453" s="11" t="s">
        <v>1522</v>
      </c>
      <c r="D453" s="6" t="s">
        <v>32</v>
      </c>
      <c r="E453" s="5" t="n">
        <v>18</v>
      </c>
      <c r="F453" s="9" t="s">
        <v>1523</v>
      </c>
      <c r="G453" s="96" t="s">
        <v>2391</v>
      </c>
      <c r="H453" s="15"/>
    </row>
    <row r="454" customFormat="false" ht="18" hidden="false" customHeight="true" outlineLevel="0" collapsed="false">
      <c r="A454" s="16" t="n">
        <v>452</v>
      </c>
      <c r="B454" s="17" t="s">
        <v>1506</v>
      </c>
      <c r="C454" s="22" t="s">
        <v>1525</v>
      </c>
      <c r="D454" s="17" t="s">
        <v>32</v>
      </c>
      <c r="E454" s="16" t="n">
        <v>18</v>
      </c>
      <c r="F454" s="20" t="s">
        <v>1526</v>
      </c>
      <c r="G454" s="96" t="s">
        <v>2391</v>
      </c>
      <c r="H454" s="25"/>
    </row>
    <row r="455" customFormat="false" ht="18" hidden="false" customHeight="true" outlineLevel="0" collapsed="false">
      <c r="A455" s="5" t="n">
        <v>453</v>
      </c>
      <c r="B455" s="6" t="s">
        <v>1506</v>
      </c>
      <c r="C455" s="11" t="s">
        <v>1535</v>
      </c>
      <c r="D455" s="6" t="s">
        <v>32</v>
      </c>
      <c r="E455" s="5" t="n">
        <v>18</v>
      </c>
      <c r="F455" s="9" t="s">
        <v>1536</v>
      </c>
      <c r="G455" s="96" t="s">
        <v>2391</v>
      </c>
      <c r="H455" s="15"/>
    </row>
    <row r="456" customFormat="false" ht="18" hidden="false" customHeight="true" outlineLevel="0" collapsed="false">
      <c r="A456" s="16" t="n">
        <v>454</v>
      </c>
      <c r="B456" s="17" t="s">
        <v>1506</v>
      </c>
      <c r="C456" s="22" t="s">
        <v>1538</v>
      </c>
      <c r="D456" s="17" t="s">
        <v>32</v>
      </c>
      <c r="E456" s="16" t="n">
        <v>27</v>
      </c>
      <c r="F456" s="20" t="s">
        <v>1539</v>
      </c>
      <c r="G456" s="96" t="s">
        <v>2391</v>
      </c>
      <c r="H456" s="25"/>
    </row>
    <row r="457" customFormat="false" ht="18" hidden="false" customHeight="true" outlineLevel="0" collapsed="false">
      <c r="A457" s="5" t="n">
        <v>455</v>
      </c>
      <c r="B457" s="6" t="s">
        <v>1506</v>
      </c>
      <c r="C457" s="11" t="s">
        <v>1541</v>
      </c>
      <c r="D457" s="6" t="s">
        <v>32</v>
      </c>
      <c r="E457" s="5" t="n">
        <v>18</v>
      </c>
      <c r="F457" s="9" t="s">
        <v>1542</v>
      </c>
      <c r="G457" s="96" t="s">
        <v>2391</v>
      </c>
      <c r="H457" s="15"/>
    </row>
    <row r="458" customFormat="false" ht="18" hidden="false" customHeight="true" outlineLevel="0" collapsed="false">
      <c r="A458" s="16" t="n">
        <v>456</v>
      </c>
      <c r="B458" s="17" t="s">
        <v>1506</v>
      </c>
      <c r="C458" s="22" t="s">
        <v>1544</v>
      </c>
      <c r="D458" s="17" t="s">
        <v>32</v>
      </c>
      <c r="E458" s="16" t="n">
        <v>18</v>
      </c>
      <c r="F458" s="20" t="s">
        <v>1545</v>
      </c>
      <c r="G458" s="96" t="s">
        <v>2391</v>
      </c>
      <c r="H458" s="25"/>
    </row>
    <row r="459" customFormat="false" ht="18" hidden="false" customHeight="true" outlineLevel="0" collapsed="false">
      <c r="A459" s="5" t="n">
        <v>457</v>
      </c>
      <c r="B459" s="6" t="s">
        <v>1506</v>
      </c>
      <c r="C459" s="11" t="s">
        <v>2447</v>
      </c>
      <c r="D459" s="6" t="s">
        <v>32</v>
      </c>
      <c r="E459" s="5" t="n">
        <v>27</v>
      </c>
      <c r="F459" s="9" t="s">
        <v>1552</v>
      </c>
      <c r="G459" s="96" t="s">
        <v>2391</v>
      </c>
      <c r="H459" s="15"/>
    </row>
    <row r="460" customFormat="false" ht="18" hidden="false" customHeight="true" outlineLevel="0" collapsed="false">
      <c r="A460" s="16" t="n">
        <v>458</v>
      </c>
      <c r="B460" s="17" t="s">
        <v>1506</v>
      </c>
      <c r="C460" s="22" t="s">
        <v>1562</v>
      </c>
      <c r="D460" s="17" t="s">
        <v>32</v>
      </c>
      <c r="E460" s="16" t="n">
        <v>18</v>
      </c>
      <c r="F460" s="20" t="s">
        <v>1563</v>
      </c>
      <c r="G460" s="96" t="s">
        <v>2391</v>
      </c>
      <c r="H460" s="25"/>
    </row>
    <row r="461" customFormat="false" ht="18" hidden="false" customHeight="true" outlineLevel="0" collapsed="false">
      <c r="A461" s="5" t="n">
        <v>459</v>
      </c>
      <c r="B461" s="6" t="s">
        <v>1506</v>
      </c>
      <c r="C461" s="11" t="s">
        <v>2448</v>
      </c>
      <c r="D461" s="6" t="s">
        <v>32</v>
      </c>
      <c r="E461" s="5" t="n">
        <v>18</v>
      </c>
      <c r="F461" s="9" t="s">
        <v>1571</v>
      </c>
      <c r="G461" s="96" t="s">
        <v>2391</v>
      </c>
      <c r="H461" s="15"/>
    </row>
    <row r="462" customFormat="false" ht="18" hidden="false" customHeight="true" outlineLevel="0" collapsed="false">
      <c r="A462" s="16" t="n">
        <v>460</v>
      </c>
      <c r="B462" s="17" t="s">
        <v>1506</v>
      </c>
      <c r="C462" s="22" t="s">
        <v>2449</v>
      </c>
      <c r="D462" s="17" t="s">
        <v>32</v>
      </c>
      <c r="E462" s="16" t="n">
        <v>18</v>
      </c>
      <c r="F462" s="20" t="s">
        <v>1587</v>
      </c>
      <c r="G462" s="96" t="s">
        <v>2391</v>
      </c>
      <c r="H462" s="25"/>
    </row>
    <row r="463" customFormat="false" ht="18" hidden="false" customHeight="true" outlineLevel="0" collapsed="false">
      <c r="A463" s="5" t="n">
        <v>461</v>
      </c>
      <c r="B463" s="6" t="s">
        <v>1506</v>
      </c>
      <c r="C463" s="11" t="s">
        <v>2450</v>
      </c>
      <c r="D463" s="6" t="s">
        <v>32</v>
      </c>
      <c r="E463" s="5" t="n">
        <v>27</v>
      </c>
      <c r="F463" s="9" t="s">
        <v>1600</v>
      </c>
      <c r="G463" s="96" t="s">
        <v>2391</v>
      </c>
      <c r="H463" s="15"/>
    </row>
    <row r="464" customFormat="false" ht="18" hidden="false" customHeight="true" outlineLevel="0" collapsed="false">
      <c r="A464" s="16" t="n">
        <v>462</v>
      </c>
      <c r="B464" s="17" t="s">
        <v>1506</v>
      </c>
      <c r="C464" s="22" t="s">
        <v>1604</v>
      </c>
      <c r="D464" s="17" t="s">
        <v>32</v>
      </c>
      <c r="E464" s="16" t="n">
        <v>18</v>
      </c>
      <c r="F464" s="20" t="s">
        <v>1605</v>
      </c>
      <c r="G464" s="96" t="s">
        <v>2391</v>
      </c>
      <c r="H464" s="25"/>
    </row>
    <row r="465" customFormat="false" ht="18" hidden="false" customHeight="true" outlineLevel="0" collapsed="false">
      <c r="A465" s="5" t="n">
        <v>463</v>
      </c>
      <c r="B465" s="6" t="s">
        <v>1506</v>
      </c>
      <c r="C465" s="11" t="s">
        <v>2451</v>
      </c>
      <c r="D465" s="6" t="s">
        <v>32</v>
      </c>
      <c r="E465" s="5" t="n">
        <v>18</v>
      </c>
      <c r="F465" s="9" t="s">
        <v>1616</v>
      </c>
      <c r="G465" s="96" t="s">
        <v>2391</v>
      </c>
      <c r="H465" s="15"/>
    </row>
    <row r="466" customFormat="false" ht="18" hidden="false" customHeight="true" outlineLevel="0" collapsed="false">
      <c r="A466" s="16" t="n">
        <v>464</v>
      </c>
      <c r="B466" s="17" t="s">
        <v>732</v>
      </c>
      <c r="C466" s="22" t="s">
        <v>748</v>
      </c>
      <c r="D466" s="17" t="s">
        <v>32</v>
      </c>
      <c r="E466" s="16" t="n">
        <v>18</v>
      </c>
      <c r="F466" s="20" t="s">
        <v>749</v>
      </c>
      <c r="G466" s="96" t="s">
        <v>2391</v>
      </c>
      <c r="H466" s="25"/>
    </row>
    <row r="467" customFormat="false" ht="18" hidden="false" customHeight="true" outlineLevel="0" collapsed="false">
      <c r="A467" s="5" t="n">
        <v>465</v>
      </c>
      <c r="B467" s="6" t="s">
        <v>732</v>
      </c>
      <c r="C467" s="11" t="s">
        <v>754</v>
      </c>
      <c r="D467" s="6" t="s">
        <v>32</v>
      </c>
      <c r="E467" s="5" t="n">
        <v>18</v>
      </c>
      <c r="F467" s="9" t="s">
        <v>755</v>
      </c>
      <c r="G467" s="96" t="s">
        <v>2391</v>
      </c>
      <c r="H467" s="15"/>
    </row>
    <row r="468" customFormat="false" ht="18" hidden="false" customHeight="true" outlineLevel="0" collapsed="false">
      <c r="A468" s="16" t="n">
        <v>466</v>
      </c>
      <c r="B468" s="17" t="s">
        <v>732</v>
      </c>
      <c r="C468" s="22" t="s">
        <v>780</v>
      </c>
      <c r="D468" s="17" t="s">
        <v>32</v>
      </c>
      <c r="E468" s="16" t="n">
        <v>18</v>
      </c>
      <c r="F468" s="20" t="s">
        <v>781</v>
      </c>
      <c r="G468" s="96" t="s">
        <v>2391</v>
      </c>
      <c r="H468" s="25"/>
    </row>
    <row r="469" customFormat="false" ht="18" hidden="false" customHeight="true" outlineLevel="0" collapsed="false">
      <c r="A469" s="5" t="n">
        <v>467</v>
      </c>
      <c r="B469" s="6" t="s">
        <v>732</v>
      </c>
      <c r="C469" s="11" t="s">
        <v>789</v>
      </c>
      <c r="D469" s="6" t="s">
        <v>32</v>
      </c>
      <c r="E469" s="5" t="n">
        <v>18</v>
      </c>
      <c r="F469" s="9" t="s">
        <v>790</v>
      </c>
      <c r="G469" s="96" t="s">
        <v>2391</v>
      </c>
      <c r="H469" s="15"/>
    </row>
    <row r="470" customFormat="false" ht="18" hidden="false" customHeight="true" outlineLevel="0" collapsed="false">
      <c r="A470" s="16" t="n">
        <v>468</v>
      </c>
      <c r="B470" s="17" t="s">
        <v>807</v>
      </c>
      <c r="C470" s="22" t="s">
        <v>820</v>
      </c>
      <c r="D470" s="17" t="s">
        <v>32</v>
      </c>
      <c r="E470" s="16" t="n">
        <v>27</v>
      </c>
      <c r="F470" s="20" t="s">
        <v>821</v>
      </c>
      <c r="G470" s="96" t="s">
        <v>2391</v>
      </c>
      <c r="H470" s="25"/>
    </row>
    <row r="471" customFormat="false" ht="18" hidden="false" customHeight="true" outlineLevel="0" collapsed="false">
      <c r="A471" s="5" t="n">
        <v>469</v>
      </c>
      <c r="B471" s="6" t="s">
        <v>807</v>
      </c>
      <c r="C471" s="11" t="s">
        <v>2452</v>
      </c>
      <c r="D471" s="6" t="s">
        <v>32</v>
      </c>
      <c r="E471" s="5" t="n">
        <v>18</v>
      </c>
      <c r="F471" s="9" t="s">
        <v>851</v>
      </c>
      <c r="G471" s="96" t="s">
        <v>2391</v>
      </c>
      <c r="H471" s="15"/>
    </row>
    <row r="472" customFormat="false" ht="18" hidden="false" customHeight="true" outlineLevel="0" collapsed="false">
      <c r="A472" s="16" t="n">
        <v>470</v>
      </c>
      <c r="B472" s="17" t="s">
        <v>807</v>
      </c>
      <c r="C472" s="22" t="s">
        <v>2453</v>
      </c>
      <c r="D472" s="17" t="s">
        <v>32</v>
      </c>
      <c r="E472" s="16" t="n">
        <v>18</v>
      </c>
      <c r="F472" s="20" t="s">
        <v>860</v>
      </c>
      <c r="G472" s="96" t="s">
        <v>2391</v>
      </c>
      <c r="H472" s="25"/>
    </row>
    <row r="473" customFormat="false" ht="18" hidden="false" customHeight="true" outlineLevel="0" collapsed="false">
      <c r="A473" s="5" t="n">
        <v>471</v>
      </c>
      <c r="B473" s="6" t="s">
        <v>807</v>
      </c>
      <c r="C473" s="11" t="s">
        <v>2454</v>
      </c>
      <c r="D473" s="6" t="s">
        <v>32</v>
      </c>
      <c r="E473" s="5" t="n">
        <v>27</v>
      </c>
      <c r="F473" s="9" t="s">
        <v>869</v>
      </c>
      <c r="G473" s="96" t="s">
        <v>2391</v>
      </c>
      <c r="H473" s="15"/>
    </row>
    <row r="474" customFormat="false" ht="18" hidden="false" customHeight="true" outlineLevel="0" collapsed="false">
      <c r="A474" s="16" t="n">
        <v>472</v>
      </c>
      <c r="B474" s="17" t="s">
        <v>807</v>
      </c>
      <c r="C474" s="22" t="s">
        <v>906</v>
      </c>
      <c r="D474" s="17" t="s">
        <v>32</v>
      </c>
      <c r="E474" s="16" t="n">
        <v>27</v>
      </c>
      <c r="F474" s="20" t="s">
        <v>907</v>
      </c>
      <c r="G474" s="96" t="s">
        <v>2391</v>
      </c>
      <c r="H474" s="25"/>
    </row>
    <row r="476" customFormat="false" ht="11.25" hidden="false" customHeight="true" outlineLevel="0" collapsed="false">
      <c r="A476" s="97" t="s">
        <v>2455</v>
      </c>
      <c r="B476" s="97"/>
      <c r="C476" s="97"/>
      <c r="D476" s="97"/>
      <c r="E476" s="97"/>
      <c r="F476" s="97"/>
      <c r="G476" s="97"/>
      <c r="H476" s="97"/>
    </row>
  </sheetData>
  <mergeCells count="2">
    <mergeCell ref="A1:H1"/>
    <mergeCell ref="A476:H4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2026-04-08T01:18:15Z</dcterms:created>
  <dc:creator>openpyxl</dc:creator>
  <dc:description/>
  <dc:language>en-US</dc:language>
  <cp:lastModifiedBy>park sunji</cp:lastModifiedBy>
  <dcterms:modified xsi:type="dcterms:W3CDTF">2026-04-21T06:01:13Z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