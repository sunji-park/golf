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코스정보" sheetId="1" state="visible" r:id="rId3"/>
    <sheet name="라운딩기록" sheetId="2" state="visible" r:id="rId4"/>
    <sheet name="리뷰_평점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<sst xmlns="http://schemas.openxmlformats.org/spreadsheetml/2006/main" count="435" uniqueCount="278">
  <si>
    <r>
      <rPr>
        <b val="true"/>
        <sz val="13"/>
        <color rgb="FFFFFFFF"/>
        <rFont val="Arial"/>
        <family val="0"/>
        <charset val="1"/>
      </rPr>
      <t xml:space="preserve">⛳ GolfNow — </t>
    </r>
    <r>
      <rPr>
        <b val="true"/>
        <sz val="13"/>
        <color rgb="FFFFFFFF"/>
        <rFont val="DejaVu Sans"/>
        <family val="2"/>
      </rPr>
      <t xml:space="preserve">코스 정보 데이터셋 </t>
    </r>
    <r>
      <rPr>
        <b val="true"/>
        <sz val="13"/>
        <color rgb="FFFFFFFF"/>
        <rFont val="Arial"/>
        <family val="0"/>
        <charset val="1"/>
      </rPr>
      <t xml:space="preserve">(Golf Course Master Data)</t>
    </r>
  </si>
  <si>
    <t xml:space="preserve">ID</t>
  </si>
  <si>
    <t xml:space="preserve">골프장명</t>
  </si>
  <si>
    <t xml:space="preserve">약칭</t>
  </si>
  <si>
    <t xml:space="preserve">국가</t>
  </si>
  <si>
    <t xml:space="preserve">지역</t>
  </si>
  <si>
    <t xml:space="preserve">주소</t>
  </si>
  <si>
    <r>
      <rPr>
        <b val="true"/>
        <sz val="10"/>
        <color rgb="FFFFFFFF"/>
        <rFont val="DejaVu Sans"/>
        <family val="2"/>
      </rPr>
      <t xml:space="preserve">홀수
</t>
    </r>
    <r>
      <rPr>
        <b val="true"/>
        <sz val="10"/>
        <color rgb="FFFFFFFF"/>
        <rFont val="Arial"/>
        <family val="0"/>
        <charset val="1"/>
      </rPr>
      <t xml:space="preserve">(Holes)</t>
    </r>
  </si>
  <si>
    <r>
      <rPr>
        <b val="true"/>
        <sz val="10"/>
        <color rgb="FFFFFFFF"/>
        <rFont val="DejaVu Sans"/>
        <family val="2"/>
      </rPr>
      <t xml:space="preserve">파
</t>
    </r>
    <r>
      <rPr>
        <b val="true"/>
        <sz val="10"/>
        <color rgb="FFFFFFFF"/>
        <rFont val="Arial"/>
        <family val="0"/>
        <charset val="1"/>
      </rPr>
      <t xml:space="preserve">(Par)</t>
    </r>
  </si>
  <si>
    <r>
      <rPr>
        <b val="true"/>
        <sz val="10"/>
        <color rgb="FFFFFFFF"/>
        <rFont val="DejaVu Sans"/>
        <family val="2"/>
      </rPr>
      <t xml:space="preserve">위도
</t>
    </r>
    <r>
      <rPr>
        <b val="true"/>
        <sz val="10"/>
        <color rgb="FFFFFFFF"/>
        <rFont val="Arial"/>
        <family val="0"/>
        <charset val="1"/>
      </rPr>
      <t xml:space="preserve">(Lat)</t>
    </r>
  </si>
  <si>
    <r>
      <rPr>
        <b val="true"/>
        <sz val="10"/>
        <color rgb="FFFFFFFF"/>
        <rFont val="DejaVu Sans"/>
        <family val="2"/>
      </rPr>
      <t xml:space="preserve">경도
</t>
    </r>
    <r>
      <rPr>
        <b val="true"/>
        <sz val="10"/>
        <color rgb="FFFFFFFF"/>
        <rFont val="Arial"/>
        <family val="0"/>
        <charset val="1"/>
      </rPr>
      <t xml:space="preserve">(Lng)</t>
    </r>
  </si>
  <si>
    <r>
      <rPr>
        <b val="true"/>
        <sz val="10"/>
        <color rgb="FFFFFFFF"/>
        <rFont val="DejaVu Sans"/>
        <family val="2"/>
      </rPr>
      <t xml:space="preserve">티박스
</t>
    </r>
    <r>
      <rPr>
        <b val="true"/>
        <sz val="10"/>
        <color rgb="FFFFFFFF"/>
        <rFont val="Arial"/>
        <family val="0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</si>
  <si>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페어웨이
</t>
    </r>
    <r>
      <rPr>
        <b val="true"/>
        <sz val="10"/>
        <color rgb="FFFFFFFF"/>
        <rFont val="Arial"/>
        <family val="0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</si>
  <si>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그린
</t>
    </r>
    <r>
      <rPr>
        <b val="true"/>
        <sz val="10"/>
        <color rgb="FFFFFFFF"/>
        <rFont val="Arial"/>
        <family val="0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</si>
  <si>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페이스
</t>
    </r>
    <r>
      <rPr>
        <b val="true"/>
        <sz val="10"/>
        <color rgb="FFFFFFFF"/>
        <rFont val="Arial"/>
        <family val="0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</si>
  <si>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캐디
</t>
    </r>
    <r>
      <rPr>
        <b val="true"/>
        <sz val="10"/>
        <color rgb="FFFFFFFF"/>
        <rFont val="Arial"/>
        <family val="0"/>
        <charset val="1"/>
      </rPr>
      <t xml:space="preserve">(1-5)</t>
    </r>
  </si>
  <si>
    <t xml:space="preserve">종합점수</t>
  </si>
  <si>
    <t xml:space="preserve">슬로프</t>
  </si>
  <si>
    <t xml:space="preserve">코스레이팅</t>
  </si>
  <si>
    <t xml:space="preserve">난이도</t>
  </si>
  <si>
    <t xml:space="preserve">남서울컨트리클럽</t>
  </si>
  <si>
    <r>
      <rPr>
        <sz val="11"/>
        <color theme="1"/>
        <rFont val="DejaVu Sans"/>
        <family val="2"/>
      </rPr>
      <t xml:space="preserve">남서울</t>
    </r>
    <r>
      <rPr>
        <sz val="11"/>
        <color theme="1"/>
        <rFont val="Calibri"/>
        <family val="2"/>
        <charset val="1"/>
      </rPr>
      <t xml:space="preserve">CC</t>
    </r>
  </si>
  <si>
    <t xml:space="preserve">한국</t>
  </si>
  <si>
    <r>
      <rPr>
        <sz val="11"/>
        <color theme="1"/>
        <rFont val="DejaVu Sans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경기</t>
    </r>
  </si>
  <si>
    <t xml:space="preserve">경기 안양시</t>
  </si>
  <si>
    <t xml:space="preserve">중급</t>
  </si>
  <si>
    <t xml:space="preserve">레이크사이드컨트리클럽</t>
  </si>
  <si>
    <t xml:space="preserve">레이크사이드</t>
  </si>
  <si>
    <t xml:space="preserve">경기 가평군</t>
  </si>
  <si>
    <t xml:space="preserve">안양베네스트골프클럽</t>
  </si>
  <si>
    <t xml:space="preserve">안양베네스트</t>
  </si>
  <si>
    <t xml:space="preserve">상급</t>
  </si>
  <si>
    <t xml:space="preserve">한양컨트리클럽</t>
  </si>
  <si>
    <r>
      <rPr>
        <sz val="11"/>
        <color theme="1"/>
        <rFont val="DejaVu Sans"/>
        <family val="2"/>
      </rPr>
      <t xml:space="preserve">한양</t>
    </r>
    <r>
      <rPr>
        <sz val="11"/>
        <color theme="1"/>
        <rFont val="Calibri"/>
        <family val="2"/>
        <charset val="1"/>
      </rPr>
      <t xml:space="preserve">CC</t>
    </r>
  </si>
  <si>
    <t xml:space="preserve">경기 구리시</t>
  </si>
  <si>
    <r>
      <rPr>
        <sz val="11"/>
        <color theme="1"/>
        <rFont val="Calibri"/>
        <family val="2"/>
        <charset val="1"/>
      </rPr>
      <t xml:space="preserve">88</t>
    </r>
    <r>
      <rPr>
        <sz val="11"/>
        <color theme="1"/>
        <rFont val="DejaVu Sans"/>
        <family val="2"/>
      </rPr>
      <t xml:space="preserve">컨트리클럽</t>
    </r>
  </si>
  <si>
    <t xml:space="preserve">88CC</t>
  </si>
  <si>
    <t xml:space="preserve">경기 여주시</t>
  </si>
  <si>
    <t xml:space="preserve">스카이밸리컨트리클럽</t>
  </si>
  <si>
    <t xml:space="preserve">스카이밸리</t>
  </si>
  <si>
    <t xml:space="preserve">강원</t>
  </si>
  <si>
    <t xml:space="preserve">강원 홍천군</t>
  </si>
  <si>
    <t xml:space="preserve">오크밸리컨트리클럽</t>
  </si>
  <si>
    <t xml:space="preserve">오크밸리</t>
  </si>
  <si>
    <t xml:space="preserve">강원 원주시</t>
  </si>
  <si>
    <t xml:space="preserve">엘리시안강촌컨트리클럽</t>
  </si>
  <si>
    <t xml:space="preserve">엘리시안강촌</t>
  </si>
  <si>
    <t xml:space="preserve">강원 춘천시</t>
  </si>
  <si>
    <t xml:space="preserve">파인크리크컨트리클럽</t>
  </si>
  <si>
    <t xml:space="preserve">파인크리크</t>
  </si>
  <si>
    <t xml:space="preserve">웰링턴컨트리클럽</t>
  </si>
  <si>
    <r>
      <rPr>
        <sz val="11"/>
        <color theme="1"/>
        <rFont val="DejaVu Sans"/>
        <family val="2"/>
      </rPr>
      <t xml:space="preserve">웰링턴</t>
    </r>
    <r>
      <rPr>
        <sz val="11"/>
        <color theme="1"/>
        <rFont val="Calibri"/>
        <family val="2"/>
        <charset val="1"/>
      </rPr>
      <t xml:space="preserve">CC</t>
    </r>
  </si>
  <si>
    <t xml:space="preserve">경기 광주시</t>
  </si>
  <si>
    <t xml:space="preserve">블루원상주컨트리클럽</t>
  </si>
  <si>
    <t xml:space="preserve">블루원상주</t>
  </si>
  <si>
    <t xml:space="preserve">영남</t>
  </si>
  <si>
    <t xml:space="preserve">경북 상주시</t>
  </si>
  <si>
    <t xml:space="preserve">가야컨트리클럽</t>
  </si>
  <si>
    <r>
      <rPr>
        <sz val="11"/>
        <color theme="1"/>
        <rFont val="DejaVu Sans"/>
        <family val="2"/>
      </rPr>
      <t xml:space="preserve">가야</t>
    </r>
    <r>
      <rPr>
        <sz val="11"/>
        <color theme="1"/>
        <rFont val="Calibri"/>
        <family val="2"/>
        <charset val="1"/>
      </rPr>
      <t xml:space="preserve">CC</t>
    </r>
  </si>
  <si>
    <t xml:space="preserve">경남 합천군</t>
  </si>
  <si>
    <t xml:space="preserve">클럽나인브릿지</t>
  </si>
  <si>
    <t xml:space="preserve">나인브릿지</t>
  </si>
  <si>
    <t xml:space="preserve">제주</t>
  </si>
  <si>
    <t xml:space="preserve">제주 서귀포시</t>
  </si>
  <si>
    <t xml:space="preserve">핀크스골프클럽</t>
  </si>
  <si>
    <r>
      <rPr>
        <sz val="11"/>
        <color theme="1"/>
        <rFont val="DejaVu Sans"/>
        <family val="2"/>
      </rPr>
      <t xml:space="preserve">핀크스</t>
    </r>
    <r>
      <rPr>
        <sz val="11"/>
        <color theme="1"/>
        <rFont val="Calibri"/>
        <family val="2"/>
        <charset val="1"/>
      </rPr>
      <t xml:space="preserve">GC</t>
    </r>
  </si>
  <si>
    <t xml:space="preserve">제주컨트리클럽</t>
  </si>
  <si>
    <r>
      <rPr>
        <sz val="11"/>
        <color theme="1"/>
        <rFont val="DejaVu Sans"/>
        <family val="2"/>
      </rPr>
      <t xml:space="preserve">제주</t>
    </r>
    <r>
      <rPr>
        <sz val="11"/>
        <color theme="1"/>
        <rFont val="Calibri"/>
        <family val="2"/>
        <charset val="1"/>
      </rPr>
      <t xml:space="preserve">CC</t>
    </r>
  </si>
  <si>
    <t xml:space="preserve">제주 제주시</t>
  </si>
  <si>
    <t xml:space="preserve">충남컨트리클럽</t>
  </si>
  <si>
    <r>
      <rPr>
        <sz val="11"/>
        <color theme="1"/>
        <rFont val="DejaVu Sans"/>
        <family val="2"/>
      </rPr>
      <t xml:space="preserve">충남</t>
    </r>
    <r>
      <rPr>
        <sz val="11"/>
        <color theme="1"/>
        <rFont val="Calibri"/>
        <family val="2"/>
        <charset val="1"/>
      </rPr>
      <t xml:space="preserve">CC</t>
    </r>
  </si>
  <si>
    <t xml:space="preserve">충청</t>
  </si>
  <si>
    <t xml:space="preserve">충남 천안시</t>
  </si>
  <si>
    <t xml:space="preserve">대전컨트리클럽</t>
  </si>
  <si>
    <r>
      <rPr>
        <sz val="11"/>
        <color theme="1"/>
        <rFont val="DejaVu Sans"/>
        <family val="2"/>
      </rPr>
      <t xml:space="preserve">대전</t>
    </r>
    <r>
      <rPr>
        <sz val="11"/>
        <color theme="1"/>
        <rFont val="Calibri"/>
        <family val="2"/>
        <charset val="1"/>
      </rPr>
      <t xml:space="preserve">CC</t>
    </r>
  </si>
  <si>
    <t xml:space="preserve">충남 금산군</t>
  </si>
  <si>
    <t xml:space="preserve">초급</t>
  </si>
  <si>
    <t xml:space="preserve">코리아컨트리클럽</t>
  </si>
  <si>
    <r>
      <rPr>
        <sz val="11"/>
        <color theme="1"/>
        <rFont val="DejaVu Sans"/>
        <family val="2"/>
      </rPr>
      <t xml:space="preserve">코리아</t>
    </r>
    <r>
      <rPr>
        <sz val="11"/>
        <color theme="1"/>
        <rFont val="Calibri"/>
        <family val="2"/>
        <charset val="1"/>
      </rPr>
      <t xml:space="preserve">CC</t>
    </r>
  </si>
  <si>
    <t xml:space="preserve">경기 용인시</t>
  </si>
  <si>
    <t xml:space="preserve">이스트밸리컨트리클럽</t>
  </si>
  <si>
    <t xml:space="preserve">이스트밸리</t>
  </si>
  <si>
    <t xml:space="preserve">경기 이천시</t>
  </si>
  <si>
    <t xml:space="preserve">태광컨트리클럽</t>
  </si>
  <si>
    <r>
      <rPr>
        <sz val="11"/>
        <color theme="1"/>
        <rFont val="DejaVu Sans"/>
        <family val="2"/>
      </rPr>
      <t xml:space="preserve">태광</t>
    </r>
    <r>
      <rPr>
        <sz val="11"/>
        <color theme="1"/>
        <rFont val="Calibri"/>
        <family val="2"/>
        <charset val="1"/>
      </rPr>
      <t xml:space="preserve">CC</t>
    </r>
  </si>
  <si>
    <t xml:space="preserve">경북 경주시</t>
  </si>
  <si>
    <t xml:space="preserve">태평양클럽 고텐바</t>
  </si>
  <si>
    <t xml:space="preserve">태평양 고텐바</t>
  </si>
  <si>
    <t xml:space="preserve">일본</t>
  </si>
  <si>
    <t xml:space="preserve">간토</t>
  </si>
  <si>
    <t xml:space="preserve">시즈오카현 고텐바시</t>
  </si>
  <si>
    <t xml:space="preserve">히로노 골프 클럽</t>
  </si>
  <si>
    <r>
      <rPr>
        <sz val="11"/>
        <color theme="1"/>
        <rFont val="DejaVu Sans"/>
        <family val="2"/>
      </rPr>
      <t xml:space="preserve">히로노 </t>
    </r>
    <r>
      <rPr>
        <sz val="11"/>
        <color theme="1"/>
        <rFont val="Calibri"/>
        <family val="2"/>
        <charset val="1"/>
      </rPr>
      <t xml:space="preserve">GC</t>
    </r>
  </si>
  <si>
    <t xml:space="preserve">간사이</t>
  </si>
  <si>
    <t xml:space="preserve">효고현 미키시</t>
  </si>
  <si>
    <t xml:space="preserve">가스미가세키 컨트리클럽</t>
  </si>
  <si>
    <t xml:space="preserve">가스미가세키</t>
  </si>
  <si>
    <t xml:space="preserve">사이타마현 가와고에시</t>
  </si>
  <si>
    <t xml:space="preserve">가와나 호텔 골프코스</t>
  </si>
  <si>
    <t xml:space="preserve">가와나 호텔</t>
  </si>
  <si>
    <t xml:space="preserve">시즈오카현 이토시</t>
  </si>
  <si>
    <t xml:space="preserve">고가 골프 클럽</t>
  </si>
  <si>
    <r>
      <rPr>
        <sz val="11"/>
        <color theme="1"/>
        <rFont val="DejaVu Sans"/>
        <family val="2"/>
      </rPr>
      <t xml:space="preserve">고가 </t>
    </r>
    <r>
      <rPr>
        <sz val="11"/>
        <color theme="1"/>
        <rFont val="Calibri"/>
        <family val="2"/>
        <charset val="1"/>
      </rPr>
      <t xml:space="preserve">GC</t>
    </r>
  </si>
  <si>
    <t xml:space="preserve">큐슈</t>
  </si>
  <si>
    <t xml:space="preserve">후쿠오카현 고가시</t>
  </si>
  <si>
    <r>
      <rPr>
        <sz val="11"/>
        <color theme="1"/>
        <rFont val="Calibri"/>
        <family val="2"/>
        <charset val="1"/>
      </rPr>
      <t xml:space="preserve">PGM </t>
    </r>
    <r>
      <rPr>
        <sz val="11"/>
        <color theme="1"/>
        <rFont val="DejaVu Sans"/>
        <family val="2"/>
      </rPr>
      <t xml:space="preserve">골프 리조트 오키나와</t>
    </r>
  </si>
  <si>
    <r>
      <rPr>
        <sz val="11"/>
        <color theme="1"/>
        <rFont val="Calibri"/>
        <family val="2"/>
        <charset val="1"/>
      </rPr>
      <t xml:space="preserve">PGM </t>
    </r>
    <r>
      <rPr>
        <sz val="11"/>
        <color theme="1"/>
        <rFont val="DejaVu Sans"/>
        <family val="2"/>
      </rPr>
      <t xml:space="preserve">오키나와</t>
    </r>
  </si>
  <si>
    <t xml:space="preserve">오키나와</t>
  </si>
  <si>
    <t xml:space="preserve">오키나와현 난조시</t>
  </si>
  <si>
    <r>
      <rPr>
        <sz val="11"/>
        <color theme="1"/>
        <rFont val="DejaVu Sans"/>
        <family val="2"/>
      </rPr>
      <t xml:space="preserve">가루이자와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DejaVu Sans"/>
        <family val="2"/>
      </rPr>
      <t xml:space="preserve">골프</t>
    </r>
  </si>
  <si>
    <r>
      <rPr>
        <sz val="11"/>
        <color theme="1"/>
        <rFont val="DejaVu Sans"/>
        <family val="2"/>
      </rPr>
      <t xml:space="preserve">가루이자와 </t>
    </r>
    <r>
      <rPr>
        <sz val="11"/>
        <color theme="1"/>
        <rFont val="Calibri"/>
        <family val="2"/>
        <charset val="1"/>
      </rPr>
      <t xml:space="preserve">72</t>
    </r>
  </si>
  <si>
    <t xml:space="preserve">나가노현 가루이자와마치</t>
  </si>
  <si>
    <t xml:space="preserve">도쿄 골프 클럽</t>
  </si>
  <si>
    <r>
      <rPr>
        <sz val="11"/>
        <color theme="1"/>
        <rFont val="DejaVu Sans"/>
        <family val="2"/>
      </rPr>
      <t xml:space="preserve">도쿄 </t>
    </r>
    <r>
      <rPr>
        <sz val="11"/>
        <color theme="1"/>
        <rFont val="Calibri"/>
        <family val="2"/>
        <charset val="1"/>
      </rPr>
      <t xml:space="preserve">GC</t>
    </r>
  </si>
  <si>
    <t xml:space="preserve">사이타마현 사야마시</t>
  </si>
  <si>
    <t xml:space="preserve">비와코 컨트리클럽</t>
  </si>
  <si>
    <r>
      <rPr>
        <sz val="11"/>
        <color theme="1"/>
        <rFont val="DejaVu Sans"/>
        <family val="2"/>
      </rPr>
      <t xml:space="preserve">비와코 </t>
    </r>
    <r>
      <rPr>
        <sz val="11"/>
        <color theme="1"/>
        <rFont val="Calibri"/>
        <family val="2"/>
        <charset val="1"/>
      </rPr>
      <t xml:space="preserve">CC</t>
    </r>
  </si>
  <si>
    <t xml:space="preserve">시가현 오쓰시</t>
  </si>
  <si>
    <t xml:space="preserve">아코다 골프 클럽 나라시노</t>
  </si>
  <si>
    <t xml:space="preserve">아코다 나라시노</t>
  </si>
  <si>
    <t xml:space="preserve">치바현 나라시노시</t>
  </si>
  <si>
    <t xml:space="preserve">📊 점수 색상 범례</t>
  </si>
  <si>
    <r>
      <rPr>
        <sz val="8"/>
        <color rgb="FF333333"/>
        <rFont val="Arial"/>
        <family val="0"/>
        <charset val="1"/>
      </rPr>
      <t xml:space="preserve">1.0~2.5 </t>
    </r>
    <r>
      <rPr>
        <sz val="8"/>
        <color rgb="FF333333"/>
        <rFont val="DejaVu Sans"/>
        <family val="2"/>
      </rPr>
      <t xml:space="preserve">매우불량</t>
    </r>
  </si>
  <si>
    <r>
      <rPr>
        <sz val="8"/>
        <color rgb="FF333333"/>
        <rFont val="Arial"/>
        <family val="0"/>
        <charset val="1"/>
      </rPr>
      <t xml:space="preserve">2.5~3.5 </t>
    </r>
    <r>
      <rPr>
        <sz val="8"/>
        <color rgb="FF333333"/>
        <rFont val="DejaVu Sans"/>
        <family val="2"/>
      </rPr>
      <t xml:space="preserve">불량</t>
    </r>
  </si>
  <si>
    <r>
      <rPr>
        <sz val="8"/>
        <color rgb="FF333333"/>
        <rFont val="Arial"/>
        <family val="0"/>
        <charset val="1"/>
      </rPr>
      <t xml:space="preserve">3.5~4.2 </t>
    </r>
    <r>
      <rPr>
        <sz val="8"/>
        <color rgb="FF333333"/>
        <rFont val="DejaVu Sans"/>
        <family val="2"/>
      </rPr>
      <t xml:space="preserve">보통</t>
    </r>
  </si>
  <si>
    <r>
      <rPr>
        <sz val="8"/>
        <color rgb="FF333333"/>
        <rFont val="Arial"/>
        <family val="0"/>
        <charset val="1"/>
      </rPr>
      <t xml:space="preserve">4.2~4.7 </t>
    </r>
    <r>
      <rPr>
        <sz val="8"/>
        <color rgb="FF333333"/>
        <rFont val="DejaVu Sans"/>
        <family val="2"/>
      </rPr>
      <t xml:space="preserve">양호</t>
    </r>
  </si>
  <si>
    <r>
      <rPr>
        <sz val="8"/>
        <color rgb="FF333333"/>
        <rFont val="Arial"/>
        <family val="0"/>
        <charset val="1"/>
      </rPr>
      <t xml:space="preserve">4.7~5.0 </t>
    </r>
    <r>
      <rPr>
        <sz val="8"/>
        <color rgb="FF333333"/>
        <rFont val="DejaVu Sans"/>
        <family val="2"/>
      </rPr>
      <t xml:space="preserve">우수</t>
    </r>
  </si>
  <si>
    <r>
      <rPr>
        <b val="true"/>
        <sz val="13"/>
        <color rgb="FFFFFFFF"/>
        <rFont val="Arial"/>
        <family val="0"/>
        <charset val="1"/>
      </rPr>
      <t xml:space="preserve">🏌️ GolfNow — </t>
    </r>
    <r>
      <rPr>
        <b val="true"/>
        <sz val="13"/>
        <color rgb="FFFFFFFF"/>
        <rFont val="DejaVu Sans"/>
        <family val="2"/>
      </rPr>
      <t xml:space="preserve">라운딩 기록 </t>
    </r>
    <r>
      <rPr>
        <b val="true"/>
        <sz val="13"/>
        <color rgb="FFFFFFFF"/>
        <rFont val="Arial"/>
        <family val="0"/>
        <charset val="1"/>
      </rPr>
      <t xml:space="preserve">(Rounding Record Tracker)</t>
    </r>
  </si>
  <si>
    <t xml:space="preserve">No.</t>
  </si>
  <si>
    <t xml:space="preserve">라운딩 날짜</t>
  </si>
  <si>
    <r>
      <rPr>
        <b val="true"/>
        <sz val="10"/>
        <color rgb="FFFFFFFF"/>
        <rFont val="DejaVu Sans"/>
        <family val="2"/>
      </rPr>
      <t xml:space="preserve">코스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</si>
  <si>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동반자</t>
  </si>
  <si>
    <t xml:space="preserve">날씨</t>
  </si>
  <si>
    <t xml:space="preserve">전반
스코어</t>
  </si>
  <si>
    <t xml:space="preserve">후반
스코어</t>
  </si>
  <si>
    <t xml:space="preserve">토탈
스코어</t>
  </si>
  <si>
    <r>
      <rPr>
        <b val="true"/>
        <sz val="10"/>
        <color rgb="FFFFFFFF"/>
        <rFont val="Arial"/>
        <family val="0"/>
        <charset val="1"/>
      </rPr>
      <t xml:space="preserve">+/-
</t>
    </r>
    <r>
      <rPr>
        <b val="true"/>
        <sz val="10"/>
        <color rgb="FFFFFFFF"/>
        <rFont val="DejaVu Sans"/>
        <family val="2"/>
      </rPr>
      <t xml:space="preserve">오버파</t>
    </r>
  </si>
  <si>
    <t xml:space="preserve">퍼팅수</t>
  </si>
  <si>
    <t xml:space="preserve">페어웨이
안착률</t>
  </si>
  <si>
    <r>
      <rPr>
        <b val="true"/>
        <sz val="10"/>
        <color rgb="FFFFFFFF"/>
        <rFont val="Arial"/>
        <family val="0"/>
        <charset val="1"/>
      </rPr>
      <t xml:space="preserve">GIR
(</t>
    </r>
    <r>
      <rPr>
        <b val="true"/>
        <sz val="10"/>
        <color rgb="FFFFFFFF"/>
        <rFont val="DejaVu Sans"/>
        <family val="2"/>
      </rPr>
      <t xml:space="preserve">그린적중률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</si>
  <si>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버디</t>
  </si>
  <si>
    <t xml:space="preserve">파</t>
  </si>
  <si>
    <r>
      <rPr>
        <b val="true"/>
        <sz val="10"/>
        <color rgb="FFFFFFFF"/>
        <rFont val="DejaVu Sans"/>
        <family val="2"/>
      </rPr>
      <t xml:space="preserve">보기</t>
    </r>
    <r>
      <rPr>
        <b val="true"/>
        <sz val="10"/>
        <color rgb="FFFFFFFF"/>
        <rFont val="Arial"/>
        <family val="0"/>
        <charset val="1"/>
      </rPr>
      <t xml:space="preserve">+</t>
    </r>
  </si>
  <si>
    <t xml:space="preserve">메모</t>
  </si>
  <si>
    <t xml:space="preserve">2026-04-05</t>
  </si>
  <si>
    <t xml:space="preserve">혼자</t>
  </si>
  <si>
    <t xml:space="preserve">☀️ 맑음</t>
  </si>
  <si>
    <r>
      <rPr>
        <sz val="9"/>
        <color rgb="FF333333"/>
        <rFont val="DejaVu Sans"/>
        <family val="2"/>
      </rPr>
      <t xml:space="preserve">그린 컨디션 최상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버디 </t>
    </r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DejaVu Sans"/>
        <family val="2"/>
      </rPr>
      <t xml:space="preserve">개 기록</t>
    </r>
  </si>
  <si>
    <t xml:space="preserve">2026-04-01</t>
  </si>
  <si>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DejaVu Sans"/>
        <family val="2"/>
      </rPr>
      <t xml:space="preserve">인</t>
    </r>
  </si>
  <si>
    <t xml:space="preserve">🌤️ 구름</t>
  </si>
  <si>
    <r>
      <rPr>
        <sz val="9"/>
        <color rgb="FF333333"/>
        <rFont val="DejaVu Sans"/>
        <family val="2"/>
      </rPr>
      <t xml:space="preserve">제주 투어 </t>
    </r>
    <r>
      <rPr>
        <sz val="9"/>
        <color rgb="FF333333"/>
        <rFont val="Arial"/>
        <family val="0"/>
        <charset val="1"/>
      </rPr>
      <t xml:space="preserve">1</t>
    </r>
    <r>
      <rPr>
        <sz val="9"/>
        <color rgb="FF333333"/>
        <rFont val="DejaVu Sans"/>
        <family val="2"/>
      </rPr>
      <t xml:space="preserve">일차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바람 다소 강함</t>
    </r>
  </si>
  <si>
    <t xml:space="preserve">2026-03-28</t>
  </si>
  <si>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DejaVu Sans"/>
        <family val="2"/>
      </rPr>
      <t xml:space="preserve">인</t>
    </r>
  </si>
  <si>
    <r>
      <rPr>
        <sz val="9"/>
        <color rgb="FF333333"/>
        <rFont val="DejaVu Sans"/>
        <family val="2"/>
      </rPr>
      <t xml:space="preserve">베스트 스코어 갱신</t>
    </r>
    <r>
      <rPr>
        <sz val="9"/>
        <color rgb="FF333333"/>
        <rFont val="Arial"/>
        <family val="0"/>
        <charset val="1"/>
      </rPr>
      <t xml:space="preserve">!</t>
    </r>
  </si>
  <si>
    <t xml:space="preserve">2026-03-22</t>
  </si>
  <si>
    <r>
      <rPr>
        <sz val="9"/>
        <color rgb="FF333333"/>
        <rFont val="Arial"/>
        <family val="0"/>
        <charset val="1"/>
      </rPr>
      <t xml:space="preserve">4</t>
    </r>
    <r>
      <rPr>
        <sz val="9"/>
        <color rgb="FF333333"/>
        <rFont val="DejaVu Sans"/>
        <family val="2"/>
      </rPr>
      <t xml:space="preserve">인</t>
    </r>
  </si>
  <si>
    <t xml:space="preserve">⛅ 흐림</t>
  </si>
  <si>
    <r>
      <rPr>
        <sz val="9"/>
        <color rgb="FF333333"/>
        <rFont val="DejaVu Sans"/>
        <family val="2"/>
      </rPr>
      <t xml:space="preserve">그린 스피드 빠름</t>
    </r>
    <r>
      <rPr>
        <sz val="9"/>
        <color rgb="FF333333"/>
        <rFont val="Arial"/>
        <family val="0"/>
        <charset val="1"/>
      </rPr>
      <t xml:space="preserve">, 3</t>
    </r>
    <r>
      <rPr>
        <sz val="9"/>
        <color rgb="FF333333"/>
        <rFont val="DejaVu Sans"/>
        <family val="2"/>
      </rPr>
      <t xml:space="preserve">퍼팅 </t>
    </r>
    <r>
      <rPr>
        <sz val="9"/>
        <color rgb="FF333333"/>
        <rFont val="Arial"/>
        <family val="0"/>
        <charset val="1"/>
      </rPr>
      <t xml:space="preserve">4</t>
    </r>
    <r>
      <rPr>
        <sz val="9"/>
        <color rgb="FF333333"/>
        <rFont val="DejaVu Sans"/>
        <family val="2"/>
      </rPr>
      <t xml:space="preserve">번</t>
    </r>
  </si>
  <si>
    <t xml:space="preserve">2026-03-15</t>
  </si>
  <si>
    <r>
      <rPr>
        <sz val="9"/>
        <color rgb="FF333333"/>
        <rFont val="DejaVu Sans"/>
        <family val="2"/>
      </rPr>
      <t xml:space="preserve">전반 </t>
    </r>
    <r>
      <rPr>
        <sz val="9"/>
        <color rgb="FF333333"/>
        <rFont val="Arial"/>
        <family val="0"/>
        <charset val="1"/>
      </rPr>
      <t xml:space="preserve">44, </t>
    </r>
    <r>
      <rPr>
        <sz val="9"/>
        <color rgb="FF333333"/>
        <rFont val="DejaVu Sans"/>
        <family val="2"/>
      </rPr>
      <t xml:space="preserve">후반 </t>
    </r>
    <r>
      <rPr>
        <sz val="9"/>
        <color rgb="FF333333"/>
        <rFont val="Arial"/>
        <family val="0"/>
        <charset val="1"/>
      </rPr>
      <t xml:space="preserve">44 </t>
    </r>
    <r>
      <rPr>
        <sz val="9"/>
        <color rgb="FF333333"/>
        <rFont val="DejaVu Sans"/>
        <family val="2"/>
      </rPr>
      <t xml:space="preserve">균형잡힌 라운딩</t>
    </r>
  </si>
  <si>
    <t xml:space="preserve">2026-03-08</t>
  </si>
  <si>
    <t xml:space="preserve">🌬️ 바람</t>
  </si>
  <si>
    <r>
      <rPr>
        <sz val="9"/>
        <color rgb="FF333333"/>
        <rFont val="DejaVu Sans"/>
        <family val="2"/>
      </rPr>
      <t xml:space="preserve">제주 바람 상당히 강함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클럽 </t>
    </r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DejaVu Sans"/>
        <family val="2"/>
      </rPr>
      <t xml:space="preserve">클럽 추가</t>
    </r>
  </si>
  <si>
    <t xml:space="preserve">2026-02-25</t>
  </si>
  <si>
    <r>
      <rPr>
        <sz val="9"/>
        <color rgb="FF333333"/>
        <rFont val="Arial"/>
        <family val="0"/>
        <charset val="1"/>
      </rPr>
      <t xml:space="preserve">PGM </t>
    </r>
    <r>
      <rPr>
        <sz val="9"/>
        <color rgb="FF333333"/>
        <rFont val="DejaVu Sans"/>
        <family val="2"/>
      </rPr>
      <t xml:space="preserve">골프 리조트 오키나와</t>
    </r>
  </si>
  <si>
    <t xml:space="preserve">🌤️ 따뜻</t>
  </si>
  <si>
    <r>
      <rPr>
        <sz val="9"/>
        <color rgb="FF333333"/>
        <rFont val="DejaVu Sans"/>
        <family val="2"/>
      </rPr>
      <t xml:space="preserve">오키나와 투어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야자수 뷰 최고</t>
    </r>
  </si>
  <si>
    <t xml:space="preserve">2026-02-18</t>
  </si>
  <si>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DejaVu Sans"/>
        <family val="2"/>
      </rPr>
      <t xml:space="preserve">인</t>
    </r>
    <r>
      <rPr>
        <sz val="9"/>
        <color rgb="FF333333"/>
        <rFont val="Arial"/>
        <family val="0"/>
        <charset val="1"/>
      </rPr>
      <t xml:space="preserve">(</t>
    </r>
    <r>
      <rPr>
        <sz val="9"/>
        <color rgb="FF333333"/>
        <rFont val="DejaVu Sans"/>
        <family val="2"/>
      </rPr>
      <t xml:space="preserve">초청</t>
    </r>
    <r>
      <rPr>
        <sz val="9"/>
        <color rgb="FF333333"/>
        <rFont val="Arial"/>
        <family val="0"/>
        <charset val="1"/>
      </rPr>
      <t xml:space="preserve">)</t>
    </r>
  </si>
  <si>
    <r>
      <rPr>
        <sz val="9"/>
        <color rgb="FF333333"/>
        <rFont val="DejaVu Sans"/>
        <family val="2"/>
      </rPr>
      <t xml:space="preserve">일본 랭킹 </t>
    </r>
    <r>
      <rPr>
        <sz val="9"/>
        <color rgb="FF333333"/>
        <rFont val="Arial"/>
        <family val="0"/>
        <charset val="1"/>
      </rPr>
      <t xml:space="preserve">1</t>
    </r>
    <r>
      <rPr>
        <sz val="9"/>
        <color rgb="FF333333"/>
        <rFont val="DejaVu Sans"/>
        <family val="2"/>
      </rPr>
      <t xml:space="preserve">위 코스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잊지 못할 라운딩</t>
    </r>
  </si>
  <si>
    <t xml:space="preserve">2026-02-10</t>
  </si>
  <si>
    <t xml:space="preserve">🌤️ 맑음</t>
  </si>
  <si>
    <r>
      <rPr>
        <sz val="9"/>
        <color rgb="FF333333"/>
        <rFont val="DejaVu Sans"/>
        <family val="2"/>
      </rPr>
      <t xml:space="preserve">오션뷰 홀 최고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호텔 숙박 패키지</t>
    </r>
  </si>
  <si>
    <t xml:space="preserve">2026-02-01</t>
  </si>
  <si>
    <r>
      <rPr>
        <sz val="9"/>
        <color rgb="FF333333"/>
        <rFont val="DejaVu Sans"/>
        <family val="2"/>
      </rPr>
      <t xml:space="preserve">후반 </t>
    </r>
    <r>
      <rPr>
        <sz val="9"/>
        <color rgb="FF333333"/>
        <rFont val="Arial"/>
        <family val="0"/>
        <charset val="1"/>
      </rPr>
      <t xml:space="preserve">43</t>
    </r>
    <r>
      <rPr>
        <sz val="9"/>
        <color rgb="FF333333"/>
        <rFont val="DejaVu Sans"/>
        <family val="2"/>
      </rPr>
      <t xml:space="preserve">타 베스트 후반 기록</t>
    </r>
  </si>
  <si>
    <t xml:space="preserve">2026-01-20</t>
  </si>
  <si>
    <r>
      <rPr>
        <sz val="9"/>
        <color rgb="FF333333"/>
        <rFont val="DejaVu Sans"/>
        <family val="2"/>
      </rPr>
      <t xml:space="preserve">겨울 라운딩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아침 이슬 아름다웠음</t>
    </r>
  </si>
  <si>
    <t xml:space="preserve">2026-01-10</t>
  </si>
  <si>
    <r>
      <rPr>
        <sz val="9"/>
        <color rgb="FF333333"/>
        <rFont val="Arial"/>
        <family val="0"/>
        <charset val="1"/>
      </rPr>
      <t xml:space="preserve">88</t>
    </r>
    <r>
      <rPr>
        <sz val="9"/>
        <color rgb="FF333333"/>
        <rFont val="DejaVu Sans"/>
        <family val="2"/>
      </rPr>
      <t xml:space="preserve">컨트리클럽</t>
    </r>
  </si>
  <si>
    <r>
      <rPr>
        <sz val="9"/>
        <color rgb="FF333333"/>
        <rFont val="Arial"/>
        <family val="0"/>
        <charset val="1"/>
      </rPr>
      <t xml:space="preserve">36</t>
    </r>
    <r>
      <rPr>
        <sz val="9"/>
        <color rgb="FF333333"/>
        <rFont val="DejaVu Sans"/>
        <family val="2"/>
      </rPr>
      <t xml:space="preserve">홀 리조트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오전 </t>
    </r>
    <r>
      <rPr>
        <sz val="9"/>
        <color rgb="FF333333"/>
        <rFont val="Arial"/>
        <family val="0"/>
        <charset val="1"/>
      </rPr>
      <t xml:space="preserve">A</t>
    </r>
    <r>
      <rPr>
        <sz val="9"/>
        <color rgb="FF333333"/>
        <rFont val="DejaVu Sans"/>
        <family val="2"/>
      </rPr>
      <t xml:space="preserve">코스 라운딩</t>
    </r>
  </si>
  <si>
    <t xml:space="preserve">2025-12-28</t>
  </si>
  <si>
    <r>
      <rPr>
        <sz val="9"/>
        <color rgb="FF333333"/>
        <rFont val="DejaVu Sans"/>
        <family val="2"/>
      </rPr>
      <t xml:space="preserve">일본 연말 투어</t>
    </r>
    <r>
      <rPr>
        <sz val="9"/>
        <color rgb="FF333333"/>
        <rFont val="Arial"/>
        <family val="0"/>
        <charset val="1"/>
      </rPr>
      <t xml:space="preserve">, 100</t>
    </r>
    <r>
      <rPr>
        <sz val="9"/>
        <color rgb="FF333333"/>
        <rFont val="DejaVu Sans"/>
        <family val="2"/>
      </rPr>
      <t xml:space="preserve">년 역사의 코스</t>
    </r>
  </si>
  <si>
    <t xml:space="preserve">2025-12-20</t>
  </si>
  <si>
    <t xml:space="preserve">❄️ 추움</t>
  </si>
  <si>
    <t xml:space="preserve">겨울 페어웨이 상태 양호했음</t>
  </si>
  <si>
    <t xml:space="preserve">2025-12-10</t>
  </si>
  <si>
    <t xml:space="preserve">후지산 배경 인증샷 필수</t>
  </si>
  <si>
    <t xml:space="preserve">📈 라운딩 통계 요약</t>
  </si>
  <si>
    <t xml:space="preserve">평균 스코어</t>
  </si>
  <si>
    <t xml:space="preserve">베스트 스코어</t>
  </si>
  <si>
    <t xml:space="preserve">워스트 스코어</t>
  </si>
  <si>
    <t xml:space="preserve">평균 퍼팅수</t>
  </si>
  <si>
    <t xml:space="preserve">버디 합계</t>
  </si>
  <si>
    <t xml:space="preserve">총 라운딩 횟수</t>
  </si>
  <si>
    <r>
      <rPr>
        <b val="true"/>
        <sz val="13"/>
        <color rgb="FFFFFFFF"/>
        <rFont val="Arial"/>
        <family val="0"/>
        <charset val="1"/>
      </rPr>
      <t xml:space="preserve">⭐ GolfNow — </t>
    </r>
    <r>
      <rPr>
        <b val="true"/>
        <sz val="13"/>
        <color rgb="FFFFFFFF"/>
        <rFont val="DejaVu Sans"/>
        <family val="2"/>
      </rPr>
      <t xml:space="preserve">골프장 리뷰 </t>
    </r>
    <r>
      <rPr>
        <b val="true"/>
        <sz val="13"/>
        <color rgb="FFFFFFFF"/>
        <rFont val="Arial"/>
        <family val="0"/>
        <charset val="1"/>
      </rPr>
      <t xml:space="preserve">&amp; </t>
    </r>
    <r>
      <rPr>
        <b val="true"/>
        <sz val="13"/>
        <color rgb="FFFFFFFF"/>
        <rFont val="DejaVu Sans"/>
        <family val="2"/>
      </rPr>
      <t xml:space="preserve">평점 데이터 </t>
    </r>
    <r>
      <rPr>
        <b val="true"/>
        <sz val="13"/>
        <color rgb="FFFFFFFF"/>
        <rFont val="Arial"/>
        <family val="0"/>
        <charset val="1"/>
      </rPr>
      <t xml:space="preserve">(Review &amp; Rating Dataset)</t>
    </r>
  </si>
  <si>
    <r>
      <rPr>
        <b val="true"/>
        <sz val="10"/>
        <color rgb="FFFFFFFF"/>
        <rFont val="DejaVu Sans"/>
        <family val="2"/>
      </rPr>
      <t xml:space="preserve">리뷰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</si>
  <si>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작성자</t>
  </si>
  <si>
    <t xml:space="preserve">작성일시</t>
  </si>
  <si>
    <t xml:space="preserve">제목</t>
  </si>
  <si>
    <r>
      <rPr>
        <b val="true"/>
        <sz val="10"/>
        <color rgb="FFFFFFFF"/>
        <rFont val="DejaVu Sans"/>
        <family val="2"/>
      </rPr>
      <t xml:space="preserve">클럽하우스
</t>
    </r>
    <r>
      <rPr>
        <b val="true"/>
        <sz val="10"/>
        <color rgb="FFFFFFFF"/>
        <rFont val="Arial"/>
        <family val="0"/>
        <charset val="1"/>
      </rPr>
      <t xml:space="preserve">(1-5)</t>
    </r>
  </si>
  <si>
    <t xml:space="preserve">추천여부</t>
  </si>
  <si>
    <t xml:space="preserve">리뷰 내용</t>
  </si>
  <si>
    <t xml:space="preserve">이스트밸리매니아</t>
  </si>
  <si>
    <t xml:space="preserve">2026-04-05 08:30</t>
  </si>
  <si>
    <r>
      <rPr>
        <sz val="9"/>
        <color rgb="FF333333"/>
        <rFont val="DejaVu Sans"/>
        <family val="2"/>
      </rPr>
      <t xml:space="preserve">이스트밸리 오늘 오전 후기 — 그린 </t>
    </r>
    <r>
      <rPr>
        <sz val="9"/>
        <color rgb="FF333333"/>
        <rFont val="Arial"/>
        <family val="0"/>
        <charset val="1"/>
      </rPr>
      <t xml:space="preserve">5.0</t>
    </r>
    <r>
      <rPr>
        <sz val="9"/>
        <color rgb="FF333333"/>
        <rFont val="DejaVu Sans"/>
        <family val="2"/>
      </rPr>
      <t xml:space="preserve">점 진짜 최고</t>
    </r>
  </si>
  <si>
    <t xml:space="preserve">추천</t>
  </si>
  <si>
    <r>
      <rPr>
        <sz val="9"/>
        <color rgb="FF333333"/>
        <rFont val="DejaVu Sans"/>
        <family val="2"/>
      </rPr>
      <t xml:space="preserve">페어웨이도 </t>
    </r>
    <r>
      <rPr>
        <sz val="9"/>
        <color rgb="FF333333"/>
        <rFont val="Arial"/>
        <family val="0"/>
        <charset val="1"/>
      </rPr>
      <t xml:space="preserve">4.7 </t>
    </r>
    <r>
      <rPr>
        <sz val="9"/>
        <color rgb="FF333333"/>
        <rFont val="DejaVu Sans"/>
        <family val="2"/>
      </rPr>
      <t xml:space="preserve">수준으로 최상이고 그린 스피드가 매우 빠릅니다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특히 그린 컨디션이 </t>
    </r>
    <r>
      <rPr>
        <sz val="9"/>
        <color rgb="FF333333"/>
        <rFont val="Arial"/>
        <family val="0"/>
        <charset val="1"/>
      </rPr>
      <t xml:space="preserve">5.0</t>
    </r>
    <r>
      <rPr>
        <sz val="9"/>
        <color rgb="FF333333"/>
        <rFont val="DejaVu Sans"/>
        <family val="2"/>
      </rPr>
      <t xml:space="preserve">점 만점을 줘도 아깝지 않을 정도로 완벽했습니다</t>
    </r>
    <r>
      <rPr>
        <sz val="9"/>
        <color rgb="FF333333"/>
        <rFont val="Arial"/>
        <family val="0"/>
        <charset val="1"/>
      </rPr>
      <t xml:space="preserve">.</t>
    </r>
  </si>
  <si>
    <t xml:space="preserve">제주골프러</t>
  </si>
  <si>
    <t xml:space="preserve">2026-04-01 09:10</t>
  </si>
  <si>
    <r>
      <rPr>
        <sz val="9"/>
        <color rgb="FF333333"/>
        <rFont val="DejaVu Sans"/>
        <family val="2"/>
      </rPr>
      <t xml:space="preserve">클럽나인브릿지 </t>
    </r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DejaVu Sans"/>
        <family val="2"/>
      </rPr>
      <t xml:space="preserve">박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DejaVu Sans"/>
        <family val="2"/>
      </rPr>
      <t xml:space="preserve">일 제주 투어 후기</t>
    </r>
  </si>
  <si>
    <r>
      <rPr>
        <sz val="9"/>
        <color rgb="FF333333"/>
        <rFont val="DejaVu Sans"/>
        <family val="2"/>
      </rPr>
      <t xml:space="preserve">제주 </t>
    </r>
    <r>
      <rPr>
        <sz val="9"/>
        <color rgb="FF333333"/>
        <rFont val="Arial"/>
        <family val="0"/>
        <charset val="1"/>
      </rPr>
      <t xml:space="preserve">4</t>
    </r>
    <r>
      <rPr>
        <sz val="9"/>
        <color rgb="FF333333"/>
        <rFont val="DejaVu Sans"/>
        <family val="2"/>
      </rPr>
      <t xml:space="preserve">박</t>
    </r>
    <r>
      <rPr>
        <sz val="9"/>
        <color rgb="FF333333"/>
        <rFont val="Arial"/>
        <family val="0"/>
        <charset val="1"/>
      </rPr>
      <t xml:space="preserve">5</t>
    </r>
    <r>
      <rPr>
        <sz val="9"/>
        <color rgb="FF333333"/>
        <rFont val="DejaVu Sans"/>
        <family val="2"/>
      </rPr>
      <t xml:space="preserve">일 일정 중 나인브릿지 </t>
    </r>
    <r>
      <rPr>
        <sz val="9"/>
        <color rgb="FF333333"/>
        <rFont val="Arial"/>
        <family val="0"/>
        <charset val="1"/>
      </rPr>
      <t xml:space="preserve">1</t>
    </r>
    <r>
      <rPr>
        <sz val="9"/>
        <color rgb="FF333333"/>
        <rFont val="DejaVu Sans"/>
        <family val="2"/>
      </rPr>
      <t xml:space="preserve">라운딩 포함했는데 역시 소문대로였습니다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그린 퀄리티가 국내 최고 수준입니다</t>
    </r>
    <r>
      <rPr>
        <sz val="9"/>
        <color rgb="FF333333"/>
        <rFont val="Arial"/>
        <family val="0"/>
        <charset val="1"/>
      </rPr>
      <t xml:space="preserve">.</t>
    </r>
  </si>
  <si>
    <t xml:space="preserve">kim**</t>
  </si>
  <si>
    <t xml:space="preserve">2026-03-30 09:20</t>
  </si>
  <si>
    <r>
      <rPr>
        <sz val="9"/>
        <color rgb="FF333333"/>
        <rFont val="DejaVu Sans"/>
        <family val="2"/>
      </rPr>
      <t xml:space="preserve">그린 상태 역대급</t>
    </r>
    <r>
      <rPr>
        <sz val="9"/>
        <color rgb="FF333333"/>
        <rFont val="Arial"/>
        <family val="0"/>
        <charset val="1"/>
      </rPr>
      <t xml:space="preserve">! </t>
    </r>
    <r>
      <rPr>
        <sz val="9"/>
        <color rgb="FF333333"/>
        <rFont val="DejaVu Sans"/>
        <family val="2"/>
      </rPr>
      <t xml:space="preserve">페어웨이도 너무 좋아요</t>
    </r>
  </si>
  <si>
    <r>
      <rPr>
        <sz val="9"/>
        <color rgb="FF333333"/>
        <rFont val="DejaVu Sans"/>
        <family val="2"/>
      </rPr>
      <t xml:space="preserve">오늘 오전 라운딩 다녀왔습니다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그린 컨디션이 정말 역대급으로 완벽했고 페어웨이 잔디 상태도 매우 훌륭했습니다</t>
    </r>
    <r>
      <rPr>
        <sz val="9"/>
        <color rgb="FF333333"/>
        <rFont val="Arial"/>
        <family val="0"/>
        <charset val="1"/>
      </rPr>
      <t xml:space="preserve">.</t>
    </r>
  </si>
  <si>
    <t xml:space="preserve">park**</t>
  </si>
  <si>
    <t xml:space="preserve">2026-03-29 16:15</t>
  </si>
  <si>
    <t xml:space="preserve">속도감 있고 깔끔합니다</t>
  </si>
  <si>
    <r>
      <rPr>
        <sz val="9"/>
        <color rgb="FF333333"/>
        <rFont val="DejaVu Sans"/>
        <family val="2"/>
      </rPr>
      <t xml:space="preserve">페이스 오브 플레이가 빠르고 코스 전반이 깔끔하게 정비되어 있습니다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캐디 서비스도 프로페셔널하고 </t>
    </r>
    <r>
      <rPr>
        <sz val="9"/>
        <color rgb="FF333333"/>
        <rFont val="Arial"/>
        <family val="0"/>
        <charset val="1"/>
      </rPr>
      <t xml:space="preserve">4</t>
    </r>
    <r>
      <rPr>
        <sz val="9"/>
        <color rgb="FF333333"/>
        <rFont val="DejaVu Sans"/>
        <family val="2"/>
      </rPr>
      <t xml:space="preserve">시간 안에 라운딩을 마쳤습니다</t>
    </r>
    <r>
      <rPr>
        <sz val="9"/>
        <color rgb="FF333333"/>
        <rFont val="Arial"/>
        <family val="0"/>
        <charset val="1"/>
      </rPr>
      <t xml:space="preserve">.</t>
    </r>
  </si>
  <si>
    <t xml:space="preserve">jung**</t>
  </si>
  <si>
    <t xml:space="preserve">2026-03-28 07:30</t>
  </si>
  <si>
    <t xml:space="preserve">조용하고 컨디션 좋아요</t>
  </si>
  <si>
    <r>
      <rPr>
        <sz val="9"/>
        <color rgb="FF333333"/>
        <rFont val="DejaVu Sans"/>
        <family val="2"/>
      </rPr>
      <t xml:space="preserve">아침 일찍 라운딩했는데 매우 한산하고 쾌적했습니다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그린 스피드도 적당하고 페어웨이 잔디 상태가 전반적으로 좋았어요</t>
    </r>
    <r>
      <rPr>
        <sz val="9"/>
        <color rgb="FF333333"/>
        <rFont val="Arial"/>
        <family val="0"/>
        <charset val="1"/>
      </rPr>
      <t xml:space="preserve">.</t>
    </r>
  </si>
  <si>
    <t xml:space="preserve">히로노순례자</t>
  </si>
  <si>
    <t xml:space="preserve">2026-02-18 09:00</t>
  </si>
  <si>
    <r>
      <rPr>
        <sz val="9"/>
        <color rgb="FF333333"/>
        <rFont val="DejaVu Sans"/>
        <family val="2"/>
      </rPr>
      <t xml:space="preserve">히로노 </t>
    </r>
    <r>
      <rPr>
        <sz val="9"/>
        <color rgb="FF333333"/>
        <rFont val="Arial"/>
        <family val="0"/>
        <charset val="1"/>
      </rPr>
      <t xml:space="preserve">GC </t>
    </r>
    <r>
      <rPr>
        <sz val="9"/>
        <color rgb="FF333333"/>
        <rFont val="DejaVu Sans"/>
        <family val="2"/>
      </rPr>
      <t xml:space="preserve">방문기 — 일본 랭킹 </t>
    </r>
    <r>
      <rPr>
        <sz val="9"/>
        <color rgb="FF333333"/>
        <rFont val="Arial"/>
        <family val="0"/>
        <charset val="1"/>
      </rPr>
      <t xml:space="preserve">1</t>
    </r>
    <r>
      <rPr>
        <sz val="9"/>
        <color rgb="FF333333"/>
        <rFont val="DejaVu Sans"/>
        <family val="2"/>
      </rPr>
      <t xml:space="preserve">위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진짜였습니다</t>
    </r>
  </si>
  <si>
    <t xml:space="preserve">강력추천</t>
  </si>
  <si>
    <r>
      <rPr>
        <sz val="9"/>
        <color rgb="FF333333"/>
        <rFont val="DejaVu Sans"/>
        <family val="2"/>
      </rPr>
      <t xml:space="preserve">오랫동안 꿈꿔왔던 히로노에서의 라운딩이었습니다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그린 퀄리티는 정말 압도적으로 훌륭하고 코스 레이아웃도 전략적입니다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</si>
  <si>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DejaVu Sans"/>
        <family val="2"/>
      </rPr>
      <t xml:space="preserve">가나</t>
    </r>
    <r>
      <rPr>
        <sz val="9"/>
        <color rgb="FF333333"/>
        <rFont val="Arial"/>
        <family val="0"/>
        <charset val="1"/>
      </rPr>
      <t xml:space="preserve">**</t>
    </r>
  </si>
  <si>
    <t xml:space="preserve">2026-02-10 08:00</t>
  </si>
  <si>
    <r>
      <rPr>
        <sz val="9"/>
        <color rgb="FF333333"/>
        <rFont val="DejaVu Sans"/>
        <family val="2"/>
      </rPr>
      <t xml:space="preserve">후지산 배경으로 라운딩 최고</t>
    </r>
    <r>
      <rPr>
        <sz val="9"/>
        <color rgb="FF333333"/>
        <rFont val="Arial"/>
        <family val="0"/>
        <charset val="1"/>
      </rPr>
      <t xml:space="preserve">!</t>
    </r>
  </si>
  <si>
    <r>
      <rPr>
        <sz val="9"/>
        <color rgb="FF333333"/>
        <rFont val="DejaVu Sans"/>
        <family val="2"/>
      </rPr>
      <t xml:space="preserve">맑은 날 후지산이 보이는 풍경은 그 어떤 코스에서도 느낄 수 없는 감동입니다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잔디 관리 수준도 정말 높아서 일본 방문 시 꼭 추천드리는 코스입니다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</si>
  <si>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DejaVu Sans"/>
        <family val="2"/>
      </rPr>
      <t xml:space="preserve">김</t>
    </r>
    <r>
      <rPr>
        <sz val="9"/>
        <color rgb="FF333333"/>
        <rFont val="Arial"/>
        <family val="0"/>
        <charset val="1"/>
      </rPr>
      <t xml:space="preserve">**</t>
    </r>
    <r>
      <rPr>
        <sz val="9"/>
        <color rgb="FF333333"/>
        <rFont val="DejaVu Sans"/>
        <family val="2"/>
      </rPr>
      <t xml:space="preserve">경</t>
    </r>
  </si>
  <si>
    <t xml:space="preserve">2026-02-07 09:00</t>
  </si>
  <si>
    <r>
      <rPr>
        <sz val="9"/>
        <color rgb="FF333333"/>
        <rFont val="DejaVu Sans"/>
        <family val="2"/>
      </rPr>
      <t xml:space="preserve">겨울에 따뜻해서 최고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야자수 사이 라운딩</t>
    </r>
  </si>
  <si>
    <r>
      <rPr>
        <sz val="9"/>
        <color rgb="FF333333"/>
        <rFont val="DejaVu Sans"/>
        <family val="2"/>
      </rPr>
      <t xml:space="preserve">한국의 추운 겨울에 오키나와로 골프 여행을 왔는데 정말 잘한 선택이었습니다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따뜻한 날씨에 야자수 사이를 걸으며 라운딩하는 느낌이 최고입니다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</si>
  <si>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DejaVu Sans"/>
        <family val="2"/>
      </rPr>
      <t xml:space="preserve">이노</t>
    </r>
    <r>
      <rPr>
        <sz val="9"/>
        <color rgb="FF333333"/>
        <rFont val="Arial"/>
        <family val="0"/>
        <charset val="1"/>
      </rPr>
      <t xml:space="preserve">**</t>
    </r>
  </si>
  <si>
    <t xml:space="preserve">2026-02-06 14:00</t>
  </si>
  <si>
    <r>
      <rPr>
        <sz val="9"/>
        <color rgb="FF333333"/>
        <rFont val="DejaVu Sans"/>
        <family val="2"/>
      </rPr>
      <t xml:space="preserve">오션뷰 코스 넘 예쁨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사진 스팟 많음</t>
    </r>
  </si>
  <si>
    <r>
      <rPr>
        <sz val="9"/>
        <color rgb="FF333333"/>
        <rFont val="DejaVu Sans"/>
        <family val="2"/>
      </rPr>
      <t xml:space="preserve">오션뷰를 배경으로 펼쳐지는 페어웨이가 정말 아름답습니다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코스 곳곳에 사진 스팟이 많아 기억에 남는 라운딩이었어요</t>
    </r>
    <r>
      <rPr>
        <sz val="9"/>
        <color rgb="FF333333"/>
        <rFont val="Arial"/>
        <family val="0"/>
        <charset val="1"/>
      </rPr>
      <t xml:space="preserve">.</t>
    </r>
  </si>
  <si>
    <t xml:space="preserve">seo**</t>
  </si>
  <si>
    <t xml:space="preserve">2026-01-25 10:00</t>
  </si>
  <si>
    <t xml:space="preserve">그린 컨디션 최상입니다</t>
  </si>
  <si>
    <r>
      <rPr>
        <sz val="9"/>
        <color rgb="FF333333"/>
        <rFont val="DejaVu Sans"/>
        <family val="2"/>
      </rPr>
      <t xml:space="preserve">오늘 오전 라운딩 후기입니다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그린이 정말 완벽하게 관리되어 있어요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잔디 균일도가 높고 스피드도 일정합니다</t>
    </r>
    <r>
      <rPr>
        <sz val="9"/>
        <color rgb="FF333333"/>
        <rFont val="Arial"/>
        <family val="0"/>
        <charset val="1"/>
      </rPr>
      <t xml:space="preserve">.</t>
    </r>
  </si>
  <si>
    <t xml:space="preserve">lee**</t>
  </si>
  <si>
    <t xml:space="preserve">2026-01-20 13:00</t>
  </si>
  <si>
    <t xml:space="preserve">러프 관리가 좀 아쉬움</t>
  </si>
  <si>
    <t xml:space="preserve">보통</t>
  </si>
  <si>
    <r>
      <rPr>
        <sz val="9"/>
        <color rgb="FF333333"/>
        <rFont val="DejaVu Sans"/>
        <family val="2"/>
      </rPr>
      <t xml:space="preserve">러프 구간 잔디 관리가 좀 부족했습니다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그린 컨디션은 무난한 편이었고 전체적인 코스 구성은 나쁘지 않았어요</t>
    </r>
    <r>
      <rPr>
        <sz val="9"/>
        <color rgb="FF333333"/>
        <rFont val="Arial"/>
        <family val="0"/>
        <charset val="1"/>
      </rPr>
      <t xml:space="preserve">.</t>
    </r>
  </si>
  <si>
    <t xml:space="preserve">han**</t>
  </si>
  <si>
    <t xml:space="preserve">2026-01-15 15:00</t>
  </si>
  <si>
    <r>
      <rPr>
        <sz val="9"/>
        <color rgb="FF333333"/>
        <rFont val="DejaVu Sans"/>
        <family val="2"/>
      </rPr>
      <t xml:space="preserve">동계 관리중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그린 얼어있음</t>
    </r>
  </si>
  <si>
    <t xml:space="preserve">비추천</t>
  </si>
  <si>
    <r>
      <rPr>
        <sz val="9"/>
        <color rgb="FF333333"/>
        <rFont val="DejaVu Sans"/>
        <family val="2"/>
      </rPr>
      <t xml:space="preserve">겨울 시즌이라 그린 일부가 결빙 상태입니다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봄철에 방문하시면 훨씬 좋은 컨디션을 즐기실 수 있어요</t>
    </r>
    <r>
      <rPr>
        <sz val="9"/>
        <color rgb="FF333333"/>
        <rFont val="Arial"/>
        <family val="0"/>
        <charset val="1"/>
      </rPr>
      <t xml:space="preserve">.</t>
    </r>
  </si>
  <si>
    <t xml:space="preserve">lim**</t>
  </si>
  <si>
    <t xml:space="preserve">2026-01-10 09:00</t>
  </si>
  <si>
    <r>
      <rPr>
        <sz val="9"/>
        <color rgb="FF333333"/>
        <rFont val="DejaVu Sans"/>
        <family val="2"/>
      </rPr>
      <t xml:space="preserve">정말 최상의 코스 상태</t>
    </r>
    <r>
      <rPr>
        <sz val="9"/>
        <color rgb="FF333333"/>
        <rFont val="Arial"/>
        <family val="0"/>
        <charset val="1"/>
      </rPr>
      <t xml:space="preserve">!</t>
    </r>
  </si>
  <si>
    <r>
      <rPr>
        <sz val="9"/>
        <color rgb="FF333333"/>
        <rFont val="DejaVu Sans"/>
        <family val="2"/>
      </rPr>
      <t xml:space="preserve">페어웨이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그린 모두 완벽한 컨디션입니다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잔디 품질이 매우 높고 캐디 서비스도 친절해요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국내 최고 수준의 코스 관리라고 자신 있게 추천할 수 있습니다</t>
    </r>
    <r>
      <rPr>
        <sz val="9"/>
        <color rgb="FF333333"/>
        <rFont val="Arial"/>
        <family val="0"/>
        <charset val="1"/>
      </rPr>
      <t xml:space="preserve">.</t>
    </r>
  </si>
  <si>
    <r>
      <rPr>
        <sz val="9"/>
        <color rgb="FF333333"/>
        <rFont val="DejaVu Sans"/>
        <family val="2"/>
      </rPr>
      <t xml:space="preserve">나카</t>
    </r>
    <r>
      <rPr>
        <sz val="9"/>
        <color rgb="FF333333"/>
        <rFont val="Arial"/>
        <family val="0"/>
        <charset val="1"/>
      </rPr>
      <t xml:space="preserve">**</t>
    </r>
  </si>
  <si>
    <t xml:space="preserve">2025-12-28 10:00</t>
  </si>
  <si>
    <r>
      <rPr>
        <sz val="9"/>
        <color rgb="FF333333"/>
        <rFont val="Arial"/>
        <family val="0"/>
        <charset val="1"/>
      </rPr>
      <t xml:space="preserve">1913</t>
    </r>
    <r>
      <rPr>
        <sz val="9"/>
        <color rgb="FF333333"/>
        <rFont val="DejaVu Sans"/>
        <family val="2"/>
      </rPr>
      <t xml:space="preserve">년 창립 명문</t>
    </r>
    <r>
      <rPr>
        <sz val="9"/>
        <color rgb="FF333333"/>
        <rFont val="Arial"/>
        <family val="0"/>
        <charset val="1"/>
      </rPr>
      <t xml:space="preserve">, </t>
    </r>
    <r>
      <rPr>
        <sz val="9"/>
        <color rgb="FF333333"/>
        <rFont val="DejaVu Sans"/>
        <family val="2"/>
      </rPr>
      <t xml:space="preserve">코스 관리 전통적으로 우수</t>
    </r>
  </si>
  <si>
    <r>
      <rPr>
        <sz val="9"/>
        <color rgb="FF333333"/>
        <rFont val="Arial"/>
        <family val="0"/>
        <charset val="1"/>
      </rPr>
      <t xml:space="preserve">110</t>
    </r>
    <r>
      <rPr>
        <sz val="9"/>
        <color rgb="FF333333"/>
        <rFont val="DejaVu Sans"/>
        <family val="2"/>
      </rPr>
      <t xml:space="preserve">년이 넘는 역사를 가진 명문 코스입니다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전통적인 방식으로 코스를 관리하는 모습이 인상적이었습니다</t>
    </r>
    <r>
      <rPr>
        <sz val="9"/>
        <color rgb="FF333333"/>
        <rFont val="Arial"/>
        <family val="0"/>
        <charset val="1"/>
      </rPr>
      <t xml:space="preserve">.</t>
    </r>
  </si>
  <si>
    <t xml:space="preserve">ryu**</t>
  </si>
  <si>
    <t xml:space="preserve">2025-12-20 14:00</t>
  </si>
  <si>
    <t xml:space="preserve">바람 있지만 코스 상태 매우 좋음</t>
  </si>
  <si>
    <r>
      <rPr>
        <sz val="9"/>
        <color rgb="FF333333"/>
        <rFont val="DejaVu Sans"/>
        <family val="2"/>
      </rPr>
      <t xml:space="preserve">제주 특유의 바람이 강한 날이었지만 코스 컨디션 자체는 아주 훌륭했습니다</t>
    </r>
    <r>
      <rPr>
        <sz val="9"/>
        <color rgb="FF333333"/>
        <rFont val="Arial"/>
        <family val="0"/>
        <charset val="1"/>
      </rPr>
      <t xml:space="preserve">. </t>
    </r>
    <r>
      <rPr>
        <sz val="9"/>
        <color rgb="FF333333"/>
        <rFont val="DejaVu Sans"/>
        <family val="2"/>
      </rPr>
      <t xml:space="preserve">페어웨이와 그린 모두 세심하게 관리되어 만족스러운 라운딩이었습니다</t>
    </r>
    <r>
      <rPr>
        <sz val="9"/>
        <color rgb="FF333333"/>
        <rFont val="Arial"/>
        <family val="0"/>
        <charset val="1"/>
      </rPr>
      <t xml:space="preserve">.</t>
    </r>
  </si>
  <si>
    <t xml:space="preserve">📊 코스별 평균 평점 요약</t>
  </si>
  <si>
    <t xml:space="preserve">코스명</t>
  </si>
  <si>
    <t xml:space="preserve">리뷰수</t>
  </si>
  <si>
    <r>
      <rPr>
        <b val="true"/>
        <sz val="9"/>
        <color rgb="FFFFFFFF"/>
        <rFont val="DejaVu Sans"/>
        <family val="2"/>
      </rPr>
      <t xml:space="preserve">티박스</t>
    </r>
    <r>
      <rPr>
        <b val="true"/>
        <sz val="9"/>
        <color rgb="FFFFFFFF"/>
        <rFont val="Arial"/>
        <family val="0"/>
        <charset val="1"/>
      </rPr>
      <t xml:space="preserve">avg</t>
    </r>
  </si>
  <si>
    <r>
      <rPr>
        <b val="true"/>
        <sz val="9"/>
        <color rgb="FFFFFFFF"/>
        <rFont val="DejaVu Sans"/>
        <family val="2"/>
      </rPr>
      <t xml:space="preserve">페어웨이</t>
    </r>
    <r>
      <rPr>
        <b val="true"/>
        <sz val="9"/>
        <color rgb="FFFFFFFF"/>
        <rFont val="Arial"/>
        <family val="0"/>
        <charset val="1"/>
      </rPr>
      <t xml:space="preserve">avg</t>
    </r>
  </si>
  <si>
    <r>
      <rPr>
        <b val="true"/>
        <sz val="9"/>
        <color rgb="FFFFFFFF"/>
        <rFont val="DejaVu Sans"/>
        <family val="2"/>
      </rPr>
      <t xml:space="preserve">그린</t>
    </r>
    <r>
      <rPr>
        <b val="true"/>
        <sz val="9"/>
        <color rgb="FFFFFFFF"/>
        <rFont val="Arial"/>
        <family val="0"/>
        <charset val="1"/>
      </rPr>
      <t xml:space="preserve">avg</t>
    </r>
  </si>
  <si>
    <r>
      <rPr>
        <b val="true"/>
        <sz val="9"/>
        <color rgb="FFFFFFFF"/>
        <rFont val="DejaVu Sans"/>
        <family val="2"/>
      </rPr>
      <t xml:space="preserve">페이스</t>
    </r>
    <r>
      <rPr>
        <b val="true"/>
        <sz val="9"/>
        <color rgb="FFFFFFFF"/>
        <rFont val="Arial"/>
        <family val="0"/>
        <charset val="1"/>
      </rPr>
      <t xml:space="preserve">avg</t>
    </r>
  </si>
  <si>
    <r>
      <rPr>
        <b val="true"/>
        <sz val="9"/>
        <color rgb="FFFFFFFF"/>
        <rFont val="DejaVu Sans"/>
        <family val="2"/>
      </rPr>
      <t xml:space="preserve">캐디</t>
    </r>
    <r>
      <rPr>
        <b val="true"/>
        <sz val="9"/>
        <color rgb="FFFFFFFF"/>
        <rFont val="Arial"/>
        <family val="0"/>
        <charset val="1"/>
      </rPr>
      <t xml:space="preserve">avg</t>
    </r>
  </si>
  <si>
    <r>
      <rPr>
        <b val="true"/>
        <sz val="9"/>
        <color rgb="FFFFFFFF"/>
        <rFont val="DejaVu Sans"/>
        <family val="2"/>
      </rPr>
      <t xml:space="preserve">클럽하우스</t>
    </r>
    <r>
      <rPr>
        <b val="true"/>
        <sz val="9"/>
        <color rgb="FFFFFFFF"/>
        <rFont val="Arial"/>
        <family val="0"/>
        <charset val="1"/>
      </rPr>
      <t xml:space="preserve">avg</t>
    </r>
  </si>
  <si>
    <t xml:space="preserve">종합평균</t>
  </si>
  <si>
    <r>
      <rPr>
        <b val="true"/>
        <sz val="9"/>
        <color rgb="FF333333"/>
        <rFont val="Arial"/>
        <family val="0"/>
        <charset val="1"/>
      </rPr>
      <t xml:space="preserve">PGM </t>
    </r>
    <r>
      <rPr>
        <b val="true"/>
        <sz val="9"/>
        <color rgb="FF333333"/>
        <rFont val="DejaVu Sans"/>
        <family val="2"/>
      </rPr>
      <t xml:space="preserve">골프 리조트 오키나와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</si>
</sst>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"/>
    <numFmt numFmtId="167" formatCode="0.00"/>
    <numFmt numFmtId="168" formatCode="0"/>
    <numFmt numFmtId="169" formatCode="\+0;\-0;0"/>
    <numFmt numFmtId="170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1"/>
      <color theme="1"/>
      <name val="DejaVu Sans"/>
      <family val="2"/>
    </font>
    <font>
      <b val="true"/>
      <sz val="9"/>
      <color rgb="FF100443"/>
      <name val="DejaVu Sans"/>
      <family val="2"/>
    </font>
    <font>
      <sz val="8"/>
      <color rgb="FF333333"/>
      <name val="Arial"/>
      <family val="0"/>
      <charset val="1"/>
    </font>
    <font>
      <sz val="8"/>
      <color rgb="FF333333"/>
      <name val="DejaVu Sans"/>
      <family val="2"/>
    </font>
    <font>
      <sz val="9"/>
      <color rgb="FF333333"/>
      <name val="Arial"/>
      <family val="0"/>
      <charset val="1"/>
    </font>
    <font>
      <sz val="9"/>
      <color rgb="FF333333"/>
      <name val="DejaVu Sans"/>
      <family val="2"/>
    </font>
    <font>
      <b val="true"/>
      <sz val="9"/>
      <color rgb="FF333333"/>
      <name val="DejaVu Sans"/>
      <family val="2"/>
    </font>
    <font>
      <b val="true"/>
      <sz val="11"/>
      <color rgb="FF100443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00443"/>
        <bgColor rgb="FF1E0C6B"/>
      </patternFill>
    </fill>
    <fill>
      <patternFill patternType="solid">
        <fgColor rgb="FF1E0C6B"/>
        <bgColor rgb="FF100443"/>
      </patternFill>
    </fill>
    <fill>
      <patternFill patternType="solid">
        <fgColor rgb="FF6EE7B7"/>
        <bgColor rgb="FFBBF7D0"/>
      </patternFill>
    </fill>
    <fill>
      <patternFill patternType="solid">
        <fgColor rgb="FFBBF7D0"/>
        <bgColor rgb="FFDBEAFE"/>
      </patternFill>
    </fill>
    <fill>
      <patternFill patternType="solid">
        <fgColor rgb="FFFEF9C3"/>
        <bgColor rgb="FFFFE4E6"/>
      </patternFill>
    </fill>
    <fill>
      <patternFill patternType="solid">
        <fgColor rgb="FFF8F7FF"/>
        <bgColor rgb="FFEEF2FF"/>
      </patternFill>
    </fill>
    <fill>
      <patternFill patternType="solid">
        <fgColor rgb="FFFED7AA"/>
        <bgColor rgb="FFFECACA"/>
      </patternFill>
    </fill>
    <fill>
      <patternFill patternType="solid">
        <fgColor rgb="FFFECACA"/>
        <bgColor rgb="FFFED7AA"/>
      </patternFill>
    </fill>
    <fill>
      <patternFill patternType="solid">
        <fgColor rgb="FFFFE4E6"/>
        <bgColor rgb="FFE4E2F0"/>
      </patternFill>
    </fill>
    <fill>
      <patternFill patternType="solid">
        <fgColor rgb="FFFEF08A"/>
        <bgColor rgb="FFFEF9C3"/>
      </patternFill>
    </fill>
    <fill>
      <patternFill patternType="solid">
        <fgColor rgb="FFDBEAFE"/>
        <bgColor rgb="FFE4E2F0"/>
      </patternFill>
    </fill>
    <fill>
      <patternFill patternType="solid">
        <fgColor rgb="FFFFFFFF"/>
        <bgColor rgb="FFF8F7FF"/>
      </patternFill>
    </fill>
    <fill>
      <patternFill patternType="solid">
        <fgColor rgb="FFEEF2FF"/>
        <bgColor rgb="FFF8F7FF"/>
      </patternFill>
    </fill>
    <fill>
      <patternFill patternType="solid">
        <fgColor rgb="FFE8FFFE"/>
        <bgColor rgb="FFEEF2FF"/>
      </patternFill>
    </fill>
    <fill>
      <patternFill patternType="solid">
        <fgColor rgb="FF2D1B8E"/>
        <bgColor rgb="FF1E0C6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2F0"/>
      </left>
      <right style="thin">
        <color rgb="FFE4E2F0"/>
      </right>
      <top style="thin">
        <color rgb="FFE4E2F0"/>
      </top>
      <bottom style="thin">
        <color rgb="FFE4E2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E0C6B"/>
      <rgbColor rgb="FF808000"/>
      <rgbColor rgb="FF800080"/>
      <rgbColor rgb="FF008080"/>
      <rgbColor rgb="FFFECACA"/>
      <rgbColor rgb="FF808080"/>
      <rgbColor rgb="FF9999FF"/>
      <rgbColor rgb="FF993366"/>
      <rgbColor rgb="FFFEF9C3"/>
      <rgbColor rgb="FFE8FFFE"/>
      <rgbColor rgb="FF660066"/>
      <rgbColor rgb="FFFF8080"/>
      <rgbColor rgb="FF0066CC"/>
      <rgbColor rgb="FFE4E2F0"/>
      <rgbColor rgb="FF10044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BBF7D0"/>
      <rgbColor rgb="FFFEF08A"/>
      <rgbColor rgb="FFEEF2FF"/>
      <rgbColor rgb="FFFFE4E6"/>
      <rgbColor rgb="FFF8F7FF"/>
      <rgbColor rgb="FFFED7AA"/>
      <rgbColor rgb="FF3366FF"/>
      <rgbColor rgb="FF6EE7B7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1B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6" min="16" style="0" width="8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6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customFormat="false" ht="18" hidden="false" customHeight="true" outlineLevel="0" collapsed="false">
      <c r="A3" s="4" t="n">
        <v>1</v>
      </c>
      <c r="B3" s="5" t="s">
        <v>20</v>
      </c>
      <c r="C3" s="6" t="s">
        <v>21</v>
      </c>
      <c r="D3" s="6" t="s">
        <v>22</v>
      </c>
      <c r="E3" s="6" t="s">
        <v>23</v>
      </c>
      <c r="F3" s="5" t="s">
        <v>24</v>
      </c>
      <c r="G3" s="4" t="n">
        <v>18</v>
      </c>
      <c r="H3" s="4" t="n">
        <v>72</v>
      </c>
      <c r="I3" s="7" t="n">
        <v>37.3939</v>
      </c>
      <c r="J3" s="7" t="n">
        <v>126.9519</v>
      </c>
      <c r="K3" s="8" t="n">
        <v>4.7</v>
      </c>
      <c r="L3" s="8" t="n">
        <v>4.8</v>
      </c>
      <c r="M3" s="8" t="n">
        <v>4.9</v>
      </c>
      <c r="N3" s="9" t="n">
        <v>4.2</v>
      </c>
      <c r="O3" s="9" t="n">
        <v>4.5</v>
      </c>
      <c r="P3" s="10" t="n">
        <f aca="false">ROUND(AVERAGE(K3:O3),2)</f>
        <v>4.62</v>
      </c>
      <c r="Q3" s="4" t="n">
        <v>127</v>
      </c>
      <c r="R3" s="11" t="n">
        <v>71.5</v>
      </c>
      <c r="S3" s="12" t="s">
        <v>25</v>
      </c>
    </row>
    <row r="4" customFormat="false" ht="18" hidden="false" customHeight="true" outlineLevel="0" collapsed="false">
      <c r="A4" s="13" t="n">
        <v>2</v>
      </c>
      <c r="B4" s="14" t="s">
        <v>26</v>
      </c>
      <c r="C4" s="15" t="s">
        <v>27</v>
      </c>
      <c r="D4" s="15" t="s">
        <v>22</v>
      </c>
      <c r="E4" s="15" t="s">
        <v>23</v>
      </c>
      <c r="F4" s="14" t="s">
        <v>28</v>
      </c>
      <c r="G4" s="13" t="n">
        <v>18</v>
      </c>
      <c r="H4" s="13" t="n">
        <v>72</v>
      </c>
      <c r="I4" s="16" t="n">
        <v>37.8419</v>
      </c>
      <c r="J4" s="16" t="n">
        <v>127.1842</v>
      </c>
      <c r="K4" s="17" t="n">
        <v>2.5</v>
      </c>
      <c r="L4" s="17" t="n">
        <v>2.8</v>
      </c>
      <c r="M4" s="17" t="n">
        <v>3.1</v>
      </c>
      <c r="N4" s="18" t="n">
        <v>2</v>
      </c>
      <c r="O4" s="17" t="n">
        <v>3.2</v>
      </c>
      <c r="P4" s="19" t="n">
        <f aca="false">ROUND(AVERAGE(K4:O4),2)</f>
        <v>2.72</v>
      </c>
      <c r="Q4" s="13" t="n">
        <v>118</v>
      </c>
      <c r="R4" s="20" t="n">
        <v>70.2</v>
      </c>
      <c r="S4" s="12" t="s">
        <v>25</v>
      </c>
    </row>
    <row r="5" customFormat="false" ht="18" hidden="false" customHeight="true" outlineLevel="0" collapsed="false">
      <c r="A5" s="4" t="n">
        <v>3</v>
      </c>
      <c r="B5" s="5" t="s">
        <v>29</v>
      </c>
      <c r="C5" s="6" t="s">
        <v>30</v>
      </c>
      <c r="D5" s="6" t="s">
        <v>22</v>
      </c>
      <c r="E5" s="6" t="s">
        <v>23</v>
      </c>
      <c r="F5" s="5" t="s">
        <v>24</v>
      </c>
      <c r="G5" s="4" t="n">
        <v>18</v>
      </c>
      <c r="H5" s="4" t="n">
        <v>71</v>
      </c>
      <c r="I5" s="7" t="n">
        <v>37.3697</v>
      </c>
      <c r="J5" s="7" t="n">
        <v>126.9175</v>
      </c>
      <c r="K5" s="9" t="n">
        <v>4.2</v>
      </c>
      <c r="L5" s="9" t="n">
        <v>4.3</v>
      </c>
      <c r="M5" s="9" t="n">
        <v>4.5</v>
      </c>
      <c r="N5" s="9" t="n">
        <v>4.4</v>
      </c>
      <c r="O5" s="9" t="n">
        <v>4.3</v>
      </c>
      <c r="P5" s="10" t="n">
        <f aca="false">ROUND(AVERAGE(K5:O5),2)</f>
        <v>4.34</v>
      </c>
      <c r="Q5" s="4" t="n">
        <v>130</v>
      </c>
      <c r="R5" s="11" t="n">
        <v>72.1</v>
      </c>
      <c r="S5" s="21" t="s">
        <v>31</v>
      </c>
    </row>
    <row r="6" customFormat="false" ht="18" hidden="false" customHeight="true" outlineLevel="0" collapsed="false">
      <c r="A6" s="13" t="n">
        <v>4</v>
      </c>
      <c r="B6" s="14" t="s">
        <v>32</v>
      </c>
      <c r="C6" s="15" t="s">
        <v>33</v>
      </c>
      <c r="D6" s="15" t="s">
        <v>22</v>
      </c>
      <c r="E6" s="15" t="s">
        <v>23</v>
      </c>
      <c r="F6" s="14" t="s">
        <v>34</v>
      </c>
      <c r="G6" s="13" t="n">
        <v>27</v>
      </c>
      <c r="H6" s="13" t="n">
        <v>108</v>
      </c>
      <c r="I6" s="16" t="n">
        <v>37.598</v>
      </c>
      <c r="J6" s="16" t="n">
        <v>127.182</v>
      </c>
      <c r="K6" s="17" t="n">
        <v>3.3</v>
      </c>
      <c r="L6" s="17" t="n">
        <v>3.4</v>
      </c>
      <c r="M6" s="22" t="n">
        <v>4.1</v>
      </c>
      <c r="N6" s="17" t="n">
        <v>3</v>
      </c>
      <c r="O6" s="22" t="n">
        <v>3.8</v>
      </c>
      <c r="P6" s="23" t="n">
        <f aca="false">ROUND(AVERAGE(K6:O6),2)</f>
        <v>3.52</v>
      </c>
      <c r="Q6" s="13" t="n">
        <v>125</v>
      </c>
      <c r="R6" s="20" t="n">
        <v>71</v>
      </c>
      <c r="S6" s="12" t="s">
        <v>25</v>
      </c>
    </row>
    <row r="7" customFormat="false" ht="18" hidden="false" customHeight="true" outlineLevel="0" collapsed="false">
      <c r="A7" s="4" t="n">
        <v>5</v>
      </c>
      <c r="B7" s="24" t="s">
        <v>35</v>
      </c>
      <c r="C7" s="4" t="s">
        <v>36</v>
      </c>
      <c r="D7" s="6" t="s">
        <v>22</v>
      </c>
      <c r="E7" s="6" t="s">
        <v>23</v>
      </c>
      <c r="F7" s="5" t="s">
        <v>37</v>
      </c>
      <c r="G7" s="4" t="n">
        <v>36</v>
      </c>
      <c r="H7" s="4" t="n">
        <v>144</v>
      </c>
      <c r="I7" s="7" t="n">
        <v>37.301</v>
      </c>
      <c r="J7" s="7" t="n">
        <v>127.638</v>
      </c>
      <c r="K7" s="22" t="n">
        <v>4.1</v>
      </c>
      <c r="L7" s="9" t="n">
        <v>4.2</v>
      </c>
      <c r="M7" s="8" t="n">
        <v>4.8</v>
      </c>
      <c r="N7" s="9" t="n">
        <v>4.5</v>
      </c>
      <c r="O7" s="22" t="n">
        <v>4</v>
      </c>
      <c r="P7" s="10" t="n">
        <f aca="false">ROUND(AVERAGE(K7:O7),2)</f>
        <v>4.32</v>
      </c>
      <c r="Q7" s="4" t="n">
        <v>122</v>
      </c>
      <c r="R7" s="11" t="n">
        <v>70.8</v>
      </c>
      <c r="S7" s="12" t="s">
        <v>25</v>
      </c>
    </row>
    <row r="8" customFormat="false" ht="18" hidden="false" customHeight="true" outlineLevel="0" collapsed="false">
      <c r="A8" s="13" t="n">
        <v>6</v>
      </c>
      <c r="B8" s="14" t="s">
        <v>38</v>
      </c>
      <c r="C8" s="15" t="s">
        <v>39</v>
      </c>
      <c r="D8" s="15" t="s">
        <v>22</v>
      </c>
      <c r="E8" s="15" t="s">
        <v>40</v>
      </c>
      <c r="F8" s="14" t="s">
        <v>41</v>
      </c>
      <c r="G8" s="13" t="n">
        <v>18</v>
      </c>
      <c r="H8" s="13" t="n">
        <v>72</v>
      </c>
      <c r="I8" s="16" t="n">
        <v>37.701</v>
      </c>
      <c r="J8" s="16" t="n">
        <v>127.975</v>
      </c>
      <c r="K8" s="18" t="n">
        <v>1.8</v>
      </c>
      <c r="L8" s="18" t="n">
        <v>1.9</v>
      </c>
      <c r="M8" s="18" t="n">
        <v>2</v>
      </c>
      <c r="N8" s="8" t="n">
        <v>4.8</v>
      </c>
      <c r="O8" s="17" t="n">
        <v>2.5</v>
      </c>
      <c r="P8" s="19" t="n">
        <f aca="false">ROUND(AVERAGE(K8:O8),2)</f>
        <v>2.6</v>
      </c>
      <c r="Q8" s="13" t="n">
        <v>135</v>
      </c>
      <c r="R8" s="20" t="n">
        <v>72.8</v>
      </c>
      <c r="S8" s="21" t="s">
        <v>31</v>
      </c>
    </row>
    <row r="9" customFormat="false" ht="18" hidden="false" customHeight="true" outlineLevel="0" collapsed="false">
      <c r="A9" s="4" t="n">
        <v>7</v>
      </c>
      <c r="B9" s="5" t="s">
        <v>42</v>
      </c>
      <c r="C9" s="6" t="s">
        <v>43</v>
      </c>
      <c r="D9" s="6" t="s">
        <v>22</v>
      </c>
      <c r="E9" s="6" t="s">
        <v>40</v>
      </c>
      <c r="F9" s="5" t="s">
        <v>44</v>
      </c>
      <c r="G9" s="4" t="n">
        <v>18</v>
      </c>
      <c r="H9" s="4" t="n">
        <v>72</v>
      </c>
      <c r="I9" s="7" t="n">
        <v>37.416</v>
      </c>
      <c r="J9" s="7" t="n">
        <v>127.913</v>
      </c>
      <c r="K9" s="17" t="n">
        <v>3</v>
      </c>
      <c r="L9" s="17" t="n">
        <v>3.2</v>
      </c>
      <c r="M9" s="17" t="n">
        <v>3</v>
      </c>
      <c r="N9" s="22" t="n">
        <v>4.1</v>
      </c>
      <c r="O9" s="22" t="n">
        <v>3.5</v>
      </c>
      <c r="P9" s="19" t="n">
        <f aca="false">ROUND(AVERAGE(K9:O9),2)</f>
        <v>3.36</v>
      </c>
      <c r="Q9" s="4" t="n">
        <v>138</v>
      </c>
      <c r="R9" s="11" t="n">
        <v>73.2</v>
      </c>
      <c r="S9" s="21" t="s">
        <v>31</v>
      </c>
    </row>
    <row r="10" customFormat="false" ht="18" hidden="false" customHeight="true" outlineLevel="0" collapsed="false">
      <c r="A10" s="13" t="n">
        <v>8</v>
      </c>
      <c r="B10" s="14" t="s">
        <v>45</v>
      </c>
      <c r="C10" s="15" t="s">
        <v>46</v>
      </c>
      <c r="D10" s="15" t="s">
        <v>22</v>
      </c>
      <c r="E10" s="15" t="s">
        <v>40</v>
      </c>
      <c r="F10" s="14" t="s">
        <v>47</v>
      </c>
      <c r="G10" s="13" t="n">
        <v>18</v>
      </c>
      <c r="H10" s="13" t="n">
        <v>72</v>
      </c>
      <c r="I10" s="16" t="n">
        <v>37.785</v>
      </c>
      <c r="J10" s="16" t="n">
        <v>127.705</v>
      </c>
      <c r="K10" s="18" t="n">
        <v>2</v>
      </c>
      <c r="L10" s="18" t="n">
        <v>2.1</v>
      </c>
      <c r="M10" s="18" t="n">
        <v>1.8</v>
      </c>
      <c r="N10" s="8" t="n">
        <v>4.9</v>
      </c>
      <c r="O10" s="17" t="n">
        <v>2.8</v>
      </c>
      <c r="P10" s="19" t="n">
        <f aca="false">ROUND(AVERAGE(K10:O10),2)</f>
        <v>2.72</v>
      </c>
      <c r="Q10" s="13" t="n">
        <v>140</v>
      </c>
      <c r="R10" s="20" t="n">
        <v>73.5</v>
      </c>
      <c r="S10" s="21" t="s">
        <v>31</v>
      </c>
    </row>
    <row r="11" customFormat="false" ht="18" hidden="false" customHeight="true" outlineLevel="0" collapsed="false">
      <c r="A11" s="4" t="n">
        <v>9</v>
      </c>
      <c r="B11" s="5" t="s">
        <v>48</v>
      </c>
      <c r="C11" s="6" t="s">
        <v>49</v>
      </c>
      <c r="D11" s="6" t="s">
        <v>22</v>
      </c>
      <c r="E11" s="6" t="s">
        <v>23</v>
      </c>
      <c r="F11" s="5" t="s">
        <v>28</v>
      </c>
      <c r="G11" s="4" t="n">
        <v>18</v>
      </c>
      <c r="H11" s="4" t="n">
        <v>72</v>
      </c>
      <c r="I11" s="7" t="n">
        <v>37.73</v>
      </c>
      <c r="J11" s="7" t="n">
        <v>127.52</v>
      </c>
      <c r="K11" s="22" t="n">
        <v>3.9</v>
      </c>
      <c r="L11" s="22" t="n">
        <v>4.1</v>
      </c>
      <c r="M11" s="22" t="n">
        <v>4</v>
      </c>
      <c r="N11" s="9" t="n">
        <v>4.6</v>
      </c>
      <c r="O11" s="22" t="n">
        <v>4.1</v>
      </c>
      <c r="P11" s="23" t="n">
        <f aca="false">ROUND(AVERAGE(K11:O11),2)</f>
        <v>4.14</v>
      </c>
      <c r="Q11" s="4" t="n">
        <v>120</v>
      </c>
      <c r="R11" s="11" t="n">
        <v>70.5</v>
      </c>
      <c r="S11" s="12" t="s">
        <v>25</v>
      </c>
    </row>
    <row r="12" customFormat="false" ht="18" hidden="false" customHeight="true" outlineLevel="0" collapsed="false">
      <c r="A12" s="13" t="n">
        <v>10</v>
      </c>
      <c r="B12" s="14" t="s">
        <v>50</v>
      </c>
      <c r="C12" s="15" t="s">
        <v>51</v>
      </c>
      <c r="D12" s="15" t="s">
        <v>22</v>
      </c>
      <c r="E12" s="15" t="s">
        <v>23</v>
      </c>
      <c r="F12" s="14" t="s">
        <v>52</v>
      </c>
      <c r="G12" s="13" t="n">
        <v>27</v>
      </c>
      <c r="H12" s="13" t="n">
        <v>108</v>
      </c>
      <c r="I12" s="16" t="n">
        <v>37.415</v>
      </c>
      <c r="J12" s="16" t="n">
        <v>127.255</v>
      </c>
      <c r="K12" s="9" t="n">
        <v>4.4</v>
      </c>
      <c r="L12" s="9" t="n">
        <v>4.5</v>
      </c>
      <c r="M12" s="9" t="n">
        <v>4.6</v>
      </c>
      <c r="N12" s="22" t="n">
        <v>4</v>
      </c>
      <c r="O12" s="9" t="n">
        <v>4.4</v>
      </c>
      <c r="P12" s="10" t="n">
        <f aca="false">ROUND(AVERAGE(K12:O12),2)</f>
        <v>4.38</v>
      </c>
      <c r="Q12" s="13" t="n">
        <v>128</v>
      </c>
      <c r="R12" s="20" t="n">
        <v>71.8</v>
      </c>
      <c r="S12" s="12" t="s">
        <v>25</v>
      </c>
    </row>
    <row r="13" customFormat="false" ht="18" hidden="false" customHeight="true" outlineLevel="0" collapsed="false">
      <c r="A13" s="4" t="n">
        <v>11</v>
      </c>
      <c r="B13" s="5" t="s">
        <v>53</v>
      </c>
      <c r="C13" s="6" t="s">
        <v>54</v>
      </c>
      <c r="D13" s="6" t="s">
        <v>22</v>
      </c>
      <c r="E13" s="6" t="s">
        <v>55</v>
      </c>
      <c r="F13" s="5" t="s">
        <v>56</v>
      </c>
      <c r="G13" s="4" t="n">
        <v>27</v>
      </c>
      <c r="H13" s="4" t="n">
        <v>108</v>
      </c>
      <c r="I13" s="7" t="n">
        <v>36.42</v>
      </c>
      <c r="J13" s="7" t="n">
        <v>128.21</v>
      </c>
      <c r="K13" s="22" t="n">
        <v>3.8</v>
      </c>
      <c r="L13" s="22" t="n">
        <v>4</v>
      </c>
      <c r="M13" s="22" t="n">
        <v>3.9</v>
      </c>
      <c r="N13" s="9" t="n">
        <v>4.2</v>
      </c>
      <c r="O13" s="22" t="n">
        <v>4</v>
      </c>
      <c r="P13" s="23" t="n">
        <f aca="false">ROUND(AVERAGE(K13:O13),2)</f>
        <v>3.98</v>
      </c>
      <c r="Q13" s="4" t="n">
        <v>123</v>
      </c>
      <c r="R13" s="11" t="n">
        <v>71.2</v>
      </c>
      <c r="S13" s="12" t="s">
        <v>25</v>
      </c>
    </row>
    <row r="14" customFormat="false" ht="18" hidden="false" customHeight="true" outlineLevel="0" collapsed="false">
      <c r="A14" s="13" t="n">
        <v>12</v>
      </c>
      <c r="B14" s="14" t="s">
        <v>57</v>
      </c>
      <c r="C14" s="15" t="s">
        <v>58</v>
      </c>
      <c r="D14" s="15" t="s">
        <v>22</v>
      </c>
      <c r="E14" s="15" t="s">
        <v>55</v>
      </c>
      <c r="F14" s="14" t="s">
        <v>59</v>
      </c>
      <c r="G14" s="13" t="n">
        <v>18</v>
      </c>
      <c r="H14" s="13" t="n">
        <v>72</v>
      </c>
      <c r="I14" s="16" t="n">
        <v>35.59</v>
      </c>
      <c r="J14" s="16" t="n">
        <v>128.17</v>
      </c>
      <c r="K14" s="17" t="n">
        <v>3</v>
      </c>
      <c r="L14" s="17" t="n">
        <v>3.1</v>
      </c>
      <c r="M14" s="22" t="n">
        <v>3.8</v>
      </c>
      <c r="N14" s="17" t="n">
        <v>3.2</v>
      </c>
      <c r="O14" s="22" t="n">
        <v>3.5</v>
      </c>
      <c r="P14" s="19" t="n">
        <f aca="false">ROUND(AVERAGE(K14:O14),2)</f>
        <v>3.32</v>
      </c>
      <c r="Q14" s="13" t="n">
        <v>116</v>
      </c>
      <c r="R14" s="20" t="n">
        <v>69.8</v>
      </c>
      <c r="S14" s="12" t="s">
        <v>25</v>
      </c>
    </row>
    <row r="15" customFormat="false" ht="18" hidden="false" customHeight="true" outlineLevel="0" collapsed="false">
      <c r="A15" s="4" t="n">
        <v>13</v>
      </c>
      <c r="B15" s="5" t="s">
        <v>60</v>
      </c>
      <c r="C15" s="6" t="s">
        <v>61</v>
      </c>
      <c r="D15" s="6" t="s">
        <v>22</v>
      </c>
      <c r="E15" s="6" t="s">
        <v>62</v>
      </c>
      <c r="F15" s="5" t="s">
        <v>63</v>
      </c>
      <c r="G15" s="4" t="n">
        <v>18</v>
      </c>
      <c r="H15" s="4" t="n">
        <v>72</v>
      </c>
      <c r="I15" s="7" t="n">
        <v>33.305</v>
      </c>
      <c r="J15" s="7" t="n">
        <v>126.5</v>
      </c>
      <c r="K15" s="8" t="n">
        <v>4.9</v>
      </c>
      <c r="L15" s="8" t="n">
        <v>4.9</v>
      </c>
      <c r="M15" s="8" t="n">
        <v>5</v>
      </c>
      <c r="N15" s="9" t="n">
        <v>4.5</v>
      </c>
      <c r="O15" s="8" t="n">
        <v>5</v>
      </c>
      <c r="P15" s="25" t="n">
        <f aca="false">ROUND(AVERAGE(K15:O15),2)</f>
        <v>4.86</v>
      </c>
      <c r="Q15" s="4" t="n">
        <v>136</v>
      </c>
      <c r="R15" s="11" t="n">
        <v>73</v>
      </c>
      <c r="S15" s="21" t="s">
        <v>31</v>
      </c>
    </row>
    <row r="16" customFormat="false" ht="18" hidden="false" customHeight="true" outlineLevel="0" collapsed="false">
      <c r="A16" s="13" t="n">
        <v>14</v>
      </c>
      <c r="B16" s="14" t="s">
        <v>64</v>
      </c>
      <c r="C16" s="15" t="s">
        <v>65</v>
      </c>
      <c r="D16" s="15" t="s">
        <v>22</v>
      </c>
      <c r="E16" s="15" t="s">
        <v>62</v>
      </c>
      <c r="F16" s="14" t="s">
        <v>63</v>
      </c>
      <c r="G16" s="13" t="n">
        <v>18</v>
      </c>
      <c r="H16" s="13" t="n">
        <v>72</v>
      </c>
      <c r="I16" s="16" t="n">
        <v>33.29</v>
      </c>
      <c r="J16" s="16" t="n">
        <v>126.425</v>
      </c>
      <c r="K16" s="9" t="n">
        <v>4.3</v>
      </c>
      <c r="L16" s="9" t="n">
        <v>4.2</v>
      </c>
      <c r="M16" s="8" t="n">
        <v>4.7</v>
      </c>
      <c r="N16" s="9" t="n">
        <v>4.2</v>
      </c>
      <c r="O16" s="9" t="n">
        <v>4.6</v>
      </c>
      <c r="P16" s="10" t="n">
        <f aca="false">ROUND(AVERAGE(K16:O16),2)</f>
        <v>4.4</v>
      </c>
      <c r="Q16" s="13" t="n">
        <v>132</v>
      </c>
      <c r="R16" s="20" t="n">
        <v>72.3</v>
      </c>
      <c r="S16" s="21" t="s">
        <v>31</v>
      </c>
    </row>
    <row r="17" customFormat="false" ht="18" hidden="false" customHeight="true" outlineLevel="0" collapsed="false">
      <c r="A17" s="4" t="n">
        <v>15</v>
      </c>
      <c r="B17" s="5" t="s">
        <v>66</v>
      </c>
      <c r="C17" s="6" t="s">
        <v>67</v>
      </c>
      <c r="D17" s="6" t="s">
        <v>22</v>
      </c>
      <c r="E17" s="6" t="s">
        <v>62</v>
      </c>
      <c r="F17" s="5" t="s">
        <v>68</v>
      </c>
      <c r="G17" s="4" t="n">
        <v>27</v>
      </c>
      <c r="H17" s="4" t="n">
        <v>108</v>
      </c>
      <c r="I17" s="7" t="n">
        <v>33.46</v>
      </c>
      <c r="J17" s="7" t="n">
        <v>126.58</v>
      </c>
      <c r="K17" s="17" t="n">
        <v>2.9</v>
      </c>
      <c r="L17" s="17" t="n">
        <v>3</v>
      </c>
      <c r="M17" s="22" t="n">
        <v>3.6</v>
      </c>
      <c r="N17" s="17" t="n">
        <v>2.8</v>
      </c>
      <c r="O17" s="22" t="n">
        <v>3.5</v>
      </c>
      <c r="P17" s="19" t="n">
        <f aca="false">ROUND(AVERAGE(K17:O17),2)</f>
        <v>3.16</v>
      </c>
      <c r="Q17" s="4" t="n">
        <v>119</v>
      </c>
      <c r="R17" s="11" t="n">
        <v>70.4</v>
      </c>
      <c r="S17" s="12" t="s">
        <v>25</v>
      </c>
    </row>
    <row r="18" customFormat="false" ht="18" hidden="false" customHeight="true" outlineLevel="0" collapsed="false">
      <c r="A18" s="13" t="n">
        <v>16</v>
      </c>
      <c r="B18" s="14" t="s">
        <v>69</v>
      </c>
      <c r="C18" s="15" t="s">
        <v>70</v>
      </c>
      <c r="D18" s="15" t="s">
        <v>22</v>
      </c>
      <c r="E18" s="15" t="s">
        <v>71</v>
      </c>
      <c r="F18" s="14" t="s">
        <v>72</v>
      </c>
      <c r="G18" s="13" t="n">
        <v>18</v>
      </c>
      <c r="H18" s="13" t="n">
        <v>72</v>
      </c>
      <c r="I18" s="16" t="n">
        <v>36.85</v>
      </c>
      <c r="J18" s="16" t="n">
        <v>127.18</v>
      </c>
      <c r="K18" s="22" t="n">
        <v>3.9</v>
      </c>
      <c r="L18" s="22" t="n">
        <v>4</v>
      </c>
      <c r="M18" s="22" t="n">
        <v>3.7</v>
      </c>
      <c r="N18" s="9" t="n">
        <v>4.4</v>
      </c>
      <c r="O18" s="22" t="n">
        <v>4.1</v>
      </c>
      <c r="P18" s="23" t="n">
        <f aca="false">ROUND(AVERAGE(K18:O18),2)</f>
        <v>4.02</v>
      </c>
      <c r="Q18" s="13" t="n">
        <v>121</v>
      </c>
      <c r="R18" s="20" t="n">
        <v>70.6</v>
      </c>
      <c r="S18" s="12" t="s">
        <v>25</v>
      </c>
    </row>
    <row r="19" customFormat="false" ht="18" hidden="false" customHeight="true" outlineLevel="0" collapsed="false">
      <c r="A19" s="4" t="n">
        <v>17</v>
      </c>
      <c r="B19" s="5" t="s">
        <v>73</v>
      </c>
      <c r="C19" s="6" t="s">
        <v>74</v>
      </c>
      <c r="D19" s="6" t="s">
        <v>22</v>
      </c>
      <c r="E19" s="6" t="s">
        <v>71</v>
      </c>
      <c r="F19" s="5" t="s">
        <v>75</v>
      </c>
      <c r="G19" s="4" t="n">
        <v>18</v>
      </c>
      <c r="H19" s="4" t="n">
        <v>72</v>
      </c>
      <c r="I19" s="7" t="n">
        <v>36.18</v>
      </c>
      <c r="J19" s="7" t="n">
        <v>127.48</v>
      </c>
      <c r="K19" s="17" t="n">
        <v>2.8</v>
      </c>
      <c r="L19" s="17" t="n">
        <v>3</v>
      </c>
      <c r="M19" s="17" t="n">
        <v>3.2</v>
      </c>
      <c r="N19" s="22" t="n">
        <v>4</v>
      </c>
      <c r="O19" s="17" t="n">
        <v>3.3</v>
      </c>
      <c r="P19" s="19" t="n">
        <f aca="false">ROUND(AVERAGE(K19:O19),2)</f>
        <v>3.26</v>
      </c>
      <c r="Q19" s="4" t="n">
        <v>113</v>
      </c>
      <c r="R19" s="11" t="n">
        <v>69.3</v>
      </c>
      <c r="S19" s="26" t="s">
        <v>76</v>
      </c>
    </row>
    <row r="20" customFormat="false" ht="18" hidden="false" customHeight="true" outlineLevel="0" collapsed="false">
      <c r="A20" s="13" t="n">
        <v>18</v>
      </c>
      <c r="B20" s="14" t="s">
        <v>77</v>
      </c>
      <c r="C20" s="15" t="s">
        <v>78</v>
      </c>
      <c r="D20" s="15" t="s">
        <v>22</v>
      </c>
      <c r="E20" s="15" t="s">
        <v>23</v>
      </c>
      <c r="F20" s="14" t="s">
        <v>79</v>
      </c>
      <c r="G20" s="13" t="n">
        <v>18</v>
      </c>
      <c r="H20" s="13" t="n">
        <v>72</v>
      </c>
      <c r="I20" s="16" t="n">
        <v>37.22</v>
      </c>
      <c r="J20" s="16" t="n">
        <v>127.18</v>
      </c>
      <c r="K20" s="22" t="n">
        <v>4</v>
      </c>
      <c r="L20" s="22" t="n">
        <v>4.1</v>
      </c>
      <c r="M20" s="9" t="n">
        <v>4.3</v>
      </c>
      <c r="N20" s="22" t="n">
        <v>4.1</v>
      </c>
      <c r="O20" s="9" t="n">
        <v>4.2</v>
      </c>
      <c r="P20" s="23" t="n">
        <f aca="false">ROUND(AVERAGE(K20:O20),2)</f>
        <v>4.14</v>
      </c>
      <c r="Q20" s="13" t="n">
        <v>124</v>
      </c>
      <c r="R20" s="20" t="n">
        <v>71.1</v>
      </c>
      <c r="S20" s="12" t="s">
        <v>25</v>
      </c>
    </row>
    <row r="21" customFormat="false" ht="18" hidden="false" customHeight="true" outlineLevel="0" collapsed="false">
      <c r="A21" s="4" t="n">
        <v>19</v>
      </c>
      <c r="B21" s="5" t="s">
        <v>80</v>
      </c>
      <c r="C21" s="6" t="s">
        <v>81</v>
      </c>
      <c r="D21" s="6" t="s">
        <v>22</v>
      </c>
      <c r="E21" s="6" t="s">
        <v>23</v>
      </c>
      <c r="F21" s="5" t="s">
        <v>82</v>
      </c>
      <c r="G21" s="4" t="n">
        <v>18</v>
      </c>
      <c r="H21" s="4" t="n">
        <v>72</v>
      </c>
      <c r="I21" s="7" t="n">
        <v>37.305</v>
      </c>
      <c r="J21" s="7" t="n">
        <v>127.505</v>
      </c>
      <c r="K21" s="9" t="n">
        <v>4.6</v>
      </c>
      <c r="L21" s="8" t="n">
        <v>4.7</v>
      </c>
      <c r="M21" s="8" t="n">
        <v>5</v>
      </c>
      <c r="N21" s="8" t="n">
        <v>4.8</v>
      </c>
      <c r="O21" s="8" t="n">
        <v>4.7</v>
      </c>
      <c r="P21" s="25" t="n">
        <f aca="false">ROUND(AVERAGE(K21:O21),2)</f>
        <v>4.76</v>
      </c>
      <c r="Q21" s="4" t="n">
        <v>129</v>
      </c>
      <c r="R21" s="11" t="n">
        <v>71.7</v>
      </c>
      <c r="S21" s="12" t="s">
        <v>25</v>
      </c>
    </row>
    <row r="22" customFormat="false" ht="18" hidden="false" customHeight="true" outlineLevel="0" collapsed="false">
      <c r="A22" s="13" t="n">
        <v>20</v>
      </c>
      <c r="B22" s="14" t="s">
        <v>83</v>
      </c>
      <c r="C22" s="15" t="s">
        <v>84</v>
      </c>
      <c r="D22" s="15" t="s">
        <v>22</v>
      </c>
      <c r="E22" s="15" t="s">
        <v>55</v>
      </c>
      <c r="F22" s="14" t="s">
        <v>85</v>
      </c>
      <c r="G22" s="13" t="n">
        <v>18</v>
      </c>
      <c r="H22" s="13" t="n">
        <v>72</v>
      </c>
      <c r="I22" s="16" t="n">
        <v>35.86</v>
      </c>
      <c r="J22" s="16" t="n">
        <v>129.22</v>
      </c>
      <c r="K22" s="22" t="n">
        <v>3.9</v>
      </c>
      <c r="L22" s="22" t="n">
        <v>4</v>
      </c>
      <c r="M22" s="22" t="n">
        <v>4.1</v>
      </c>
      <c r="N22" s="22" t="n">
        <v>4</v>
      </c>
      <c r="O22" s="22" t="n">
        <v>4</v>
      </c>
      <c r="P22" s="23" t="n">
        <f aca="false">ROUND(AVERAGE(K22:O22),2)</f>
        <v>4</v>
      </c>
      <c r="Q22" s="13" t="n">
        <v>122</v>
      </c>
      <c r="R22" s="20" t="n">
        <v>70.9</v>
      </c>
      <c r="S22" s="12" t="s">
        <v>25</v>
      </c>
    </row>
    <row r="23" customFormat="false" ht="18" hidden="false" customHeight="true" outlineLevel="0" collapsed="false">
      <c r="A23" s="4" t="n">
        <v>21</v>
      </c>
      <c r="B23" s="5" t="s">
        <v>86</v>
      </c>
      <c r="C23" s="6" t="s">
        <v>87</v>
      </c>
      <c r="D23" s="6" t="s">
        <v>88</v>
      </c>
      <c r="E23" s="6" t="s">
        <v>89</v>
      </c>
      <c r="F23" s="5" t="s">
        <v>90</v>
      </c>
      <c r="G23" s="4" t="n">
        <v>18</v>
      </c>
      <c r="H23" s="4" t="n">
        <v>72</v>
      </c>
      <c r="I23" s="7" t="n">
        <v>35.305</v>
      </c>
      <c r="J23" s="7" t="n">
        <v>138.79</v>
      </c>
      <c r="K23" s="9" t="n">
        <v>4.6</v>
      </c>
      <c r="L23" s="8" t="n">
        <v>4.7</v>
      </c>
      <c r="M23" s="8" t="n">
        <v>4.8</v>
      </c>
      <c r="N23" s="22" t="n">
        <v>4</v>
      </c>
      <c r="O23" s="8" t="n">
        <v>5</v>
      </c>
      <c r="P23" s="10" t="n">
        <f aca="false">ROUND(AVERAGE(K23:O23),2)</f>
        <v>4.62</v>
      </c>
      <c r="Q23" s="4" t="n">
        <v>133</v>
      </c>
      <c r="R23" s="11" t="n">
        <v>72.5</v>
      </c>
      <c r="S23" s="21" t="s">
        <v>31</v>
      </c>
    </row>
    <row r="24" customFormat="false" ht="18" hidden="false" customHeight="true" outlineLevel="0" collapsed="false">
      <c r="A24" s="13" t="n">
        <v>22</v>
      </c>
      <c r="B24" s="14" t="s">
        <v>91</v>
      </c>
      <c r="C24" s="15" t="s">
        <v>92</v>
      </c>
      <c r="D24" s="15" t="s">
        <v>88</v>
      </c>
      <c r="E24" s="15" t="s">
        <v>93</v>
      </c>
      <c r="F24" s="14" t="s">
        <v>94</v>
      </c>
      <c r="G24" s="13" t="n">
        <v>18</v>
      </c>
      <c r="H24" s="13" t="n">
        <v>72</v>
      </c>
      <c r="I24" s="16" t="n">
        <v>34.798</v>
      </c>
      <c r="J24" s="16" t="n">
        <v>134.912</v>
      </c>
      <c r="K24" s="8" t="n">
        <v>4.9</v>
      </c>
      <c r="L24" s="8" t="n">
        <v>4.9</v>
      </c>
      <c r="M24" s="8" t="n">
        <v>5</v>
      </c>
      <c r="N24" s="9" t="n">
        <v>4.2</v>
      </c>
      <c r="O24" s="8" t="n">
        <v>5</v>
      </c>
      <c r="P24" s="25" t="n">
        <f aca="false">ROUND(AVERAGE(K24:O24),2)</f>
        <v>4.8</v>
      </c>
      <c r="Q24" s="13" t="n">
        <v>139</v>
      </c>
      <c r="R24" s="20" t="n">
        <v>73.4</v>
      </c>
      <c r="S24" s="21" t="s">
        <v>31</v>
      </c>
    </row>
    <row r="25" customFormat="false" ht="18" hidden="false" customHeight="true" outlineLevel="0" collapsed="false">
      <c r="A25" s="4" t="n">
        <v>23</v>
      </c>
      <c r="B25" s="5" t="s">
        <v>95</v>
      </c>
      <c r="C25" s="6" t="s">
        <v>96</v>
      </c>
      <c r="D25" s="6" t="s">
        <v>88</v>
      </c>
      <c r="E25" s="6" t="s">
        <v>89</v>
      </c>
      <c r="F25" s="5" t="s">
        <v>97</v>
      </c>
      <c r="G25" s="4" t="n">
        <v>36</v>
      </c>
      <c r="H25" s="4" t="n">
        <v>144</v>
      </c>
      <c r="I25" s="7" t="n">
        <v>35.895</v>
      </c>
      <c r="J25" s="7" t="n">
        <v>139.482</v>
      </c>
      <c r="K25" s="9" t="n">
        <v>4.4</v>
      </c>
      <c r="L25" s="9" t="n">
        <v>4.5</v>
      </c>
      <c r="M25" s="9" t="n">
        <v>4.6</v>
      </c>
      <c r="N25" s="22" t="n">
        <v>3.5</v>
      </c>
      <c r="O25" s="8" t="n">
        <v>4.8</v>
      </c>
      <c r="P25" s="10" t="n">
        <f aca="false">ROUND(AVERAGE(K25:O25),2)</f>
        <v>4.36</v>
      </c>
      <c r="Q25" s="4" t="n">
        <v>134</v>
      </c>
      <c r="R25" s="11" t="n">
        <v>72.7</v>
      </c>
      <c r="S25" s="21" t="s">
        <v>31</v>
      </c>
    </row>
    <row r="26" customFormat="false" ht="18" hidden="false" customHeight="true" outlineLevel="0" collapsed="false">
      <c r="A26" s="13" t="n">
        <v>24</v>
      </c>
      <c r="B26" s="14" t="s">
        <v>98</v>
      </c>
      <c r="C26" s="15" t="s">
        <v>99</v>
      </c>
      <c r="D26" s="15" t="s">
        <v>88</v>
      </c>
      <c r="E26" s="15" t="s">
        <v>89</v>
      </c>
      <c r="F26" s="14" t="s">
        <v>100</v>
      </c>
      <c r="G26" s="13" t="n">
        <v>18</v>
      </c>
      <c r="H26" s="13" t="n">
        <v>70</v>
      </c>
      <c r="I26" s="16" t="n">
        <v>34.892</v>
      </c>
      <c r="J26" s="16" t="n">
        <v>139.09</v>
      </c>
      <c r="K26" s="9" t="n">
        <v>4.2</v>
      </c>
      <c r="L26" s="9" t="n">
        <v>4.3</v>
      </c>
      <c r="M26" s="9" t="n">
        <v>4.5</v>
      </c>
      <c r="N26" s="22" t="n">
        <v>4.1</v>
      </c>
      <c r="O26" s="8" t="n">
        <v>4.9</v>
      </c>
      <c r="P26" s="10" t="n">
        <f aca="false">ROUND(AVERAGE(K26:O26),2)</f>
        <v>4.4</v>
      </c>
      <c r="Q26" s="13" t="n">
        <v>126</v>
      </c>
      <c r="R26" s="20" t="n">
        <v>71.3</v>
      </c>
      <c r="S26" s="12" t="s">
        <v>25</v>
      </c>
    </row>
    <row r="27" customFormat="false" ht="18" hidden="false" customHeight="true" outlineLevel="0" collapsed="false">
      <c r="A27" s="4" t="n">
        <v>25</v>
      </c>
      <c r="B27" s="5" t="s">
        <v>101</v>
      </c>
      <c r="C27" s="6" t="s">
        <v>102</v>
      </c>
      <c r="D27" s="6" t="s">
        <v>88</v>
      </c>
      <c r="E27" s="6" t="s">
        <v>103</v>
      </c>
      <c r="F27" s="5" t="s">
        <v>104</v>
      </c>
      <c r="G27" s="4" t="n">
        <v>18</v>
      </c>
      <c r="H27" s="4" t="n">
        <v>72</v>
      </c>
      <c r="I27" s="7" t="n">
        <v>33.724</v>
      </c>
      <c r="J27" s="7" t="n">
        <v>130.481</v>
      </c>
      <c r="K27" s="22" t="n">
        <v>4.1</v>
      </c>
      <c r="L27" s="9" t="n">
        <v>4.2</v>
      </c>
      <c r="M27" s="9" t="n">
        <v>4.4</v>
      </c>
      <c r="N27" s="9" t="n">
        <v>4.3</v>
      </c>
      <c r="O27" s="8" t="n">
        <v>4.8</v>
      </c>
      <c r="P27" s="10" t="n">
        <f aca="false">ROUND(AVERAGE(K27:O27),2)</f>
        <v>4.36</v>
      </c>
      <c r="Q27" s="4" t="n">
        <v>121</v>
      </c>
      <c r="R27" s="11" t="n">
        <v>70.7</v>
      </c>
      <c r="S27" s="12" t="s">
        <v>25</v>
      </c>
    </row>
    <row r="28" customFormat="false" ht="18" hidden="false" customHeight="true" outlineLevel="0" collapsed="false">
      <c r="A28" s="13" t="n">
        <v>26</v>
      </c>
      <c r="B28" s="27" t="s">
        <v>105</v>
      </c>
      <c r="C28" s="13" t="s">
        <v>106</v>
      </c>
      <c r="D28" s="15" t="s">
        <v>88</v>
      </c>
      <c r="E28" s="15" t="s">
        <v>107</v>
      </c>
      <c r="F28" s="14" t="s">
        <v>108</v>
      </c>
      <c r="G28" s="13" t="n">
        <v>27</v>
      </c>
      <c r="H28" s="13" t="n">
        <v>108</v>
      </c>
      <c r="I28" s="16" t="n">
        <v>26.161</v>
      </c>
      <c r="J28" s="16" t="n">
        <v>127.864</v>
      </c>
      <c r="K28" s="9" t="n">
        <v>4.3</v>
      </c>
      <c r="L28" s="9" t="n">
        <v>4.4</v>
      </c>
      <c r="M28" s="9" t="n">
        <v>4.5</v>
      </c>
      <c r="N28" s="22" t="n">
        <v>3.5</v>
      </c>
      <c r="O28" s="9" t="n">
        <v>4.5</v>
      </c>
      <c r="P28" s="10" t="n">
        <f aca="false">ROUND(AVERAGE(K28:O28),2)</f>
        <v>4.24</v>
      </c>
      <c r="Q28" s="13" t="n">
        <v>118</v>
      </c>
      <c r="R28" s="20" t="n">
        <v>70.1</v>
      </c>
      <c r="S28" s="12" t="s">
        <v>25</v>
      </c>
    </row>
    <row r="29" customFormat="false" ht="18" hidden="false" customHeight="true" outlineLevel="0" collapsed="false">
      <c r="A29" s="4" t="n">
        <v>27</v>
      </c>
      <c r="B29" s="5" t="s">
        <v>109</v>
      </c>
      <c r="C29" s="6" t="s">
        <v>110</v>
      </c>
      <c r="D29" s="6" t="s">
        <v>88</v>
      </c>
      <c r="E29" s="6" t="s">
        <v>89</v>
      </c>
      <c r="F29" s="5" t="s">
        <v>111</v>
      </c>
      <c r="G29" s="4" t="n">
        <v>72</v>
      </c>
      <c r="H29" s="4" t="n">
        <v>288</v>
      </c>
      <c r="I29" s="7" t="n">
        <v>36.358</v>
      </c>
      <c r="J29" s="7" t="n">
        <v>138.634</v>
      </c>
      <c r="K29" s="22" t="n">
        <v>3.6</v>
      </c>
      <c r="L29" s="22" t="n">
        <v>3.7</v>
      </c>
      <c r="M29" s="22" t="n">
        <v>3.9</v>
      </c>
      <c r="N29" s="9" t="n">
        <v>4.3</v>
      </c>
      <c r="O29" s="22" t="n">
        <v>4</v>
      </c>
      <c r="P29" s="23" t="n">
        <f aca="false">ROUND(AVERAGE(K29:O29),2)</f>
        <v>3.9</v>
      </c>
      <c r="Q29" s="4" t="n">
        <v>120</v>
      </c>
      <c r="R29" s="11" t="n">
        <v>70.5</v>
      </c>
      <c r="S29" s="12" t="s">
        <v>25</v>
      </c>
    </row>
    <row r="30" customFormat="false" ht="18" hidden="false" customHeight="true" outlineLevel="0" collapsed="false">
      <c r="A30" s="13" t="n">
        <v>28</v>
      </c>
      <c r="B30" s="14" t="s">
        <v>112</v>
      </c>
      <c r="C30" s="15" t="s">
        <v>113</v>
      </c>
      <c r="D30" s="15" t="s">
        <v>88</v>
      </c>
      <c r="E30" s="15" t="s">
        <v>89</v>
      </c>
      <c r="F30" s="14" t="s">
        <v>114</v>
      </c>
      <c r="G30" s="13" t="n">
        <v>18</v>
      </c>
      <c r="H30" s="13" t="n">
        <v>72</v>
      </c>
      <c r="I30" s="16" t="n">
        <v>35.849</v>
      </c>
      <c r="J30" s="16" t="n">
        <v>139.425</v>
      </c>
      <c r="K30" s="9" t="n">
        <v>4.5</v>
      </c>
      <c r="L30" s="9" t="n">
        <v>4.6</v>
      </c>
      <c r="M30" s="8" t="n">
        <v>4.7</v>
      </c>
      <c r="N30" s="22" t="n">
        <v>4</v>
      </c>
      <c r="O30" s="8" t="n">
        <v>4.9</v>
      </c>
      <c r="P30" s="10" t="n">
        <f aca="false">ROUND(AVERAGE(K30:O30),2)</f>
        <v>4.54</v>
      </c>
      <c r="Q30" s="13" t="n">
        <v>136</v>
      </c>
      <c r="R30" s="20" t="n">
        <v>73.1</v>
      </c>
      <c r="S30" s="21" t="s">
        <v>31</v>
      </c>
    </row>
    <row r="31" customFormat="false" ht="18" hidden="false" customHeight="true" outlineLevel="0" collapsed="false">
      <c r="A31" s="4" t="n">
        <v>29</v>
      </c>
      <c r="B31" s="5" t="s">
        <v>115</v>
      </c>
      <c r="C31" s="6" t="s">
        <v>116</v>
      </c>
      <c r="D31" s="6" t="s">
        <v>88</v>
      </c>
      <c r="E31" s="6" t="s">
        <v>93</v>
      </c>
      <c r="F31" s="5" t="s">
        <v>117</v>
      </c>
      <c r="G31" s="4" t="n">
        <v>18</v>
      </c>
      <c r="H31" s="4" t="n">
        <v>72</v>
      </c>
      <c r="I31" s="7" t="n">
        <v>35.019</v>
      </c>
      <c r="J31" s="7" t="n">
        <v>135.905</v>
      </c>
      <c r="K31" s="22" t="n">
        <v>3.8</v>
      </c>
      <c r="L31" s="22" t="n">
        <v>3.9</v>
      </c>
      <c r="M31" s="22" t="n">
        <v>4.1</v>
      </c>
      <c r="N31" s="22" t="n">
        <v>4</v>
      </c>
      <c r="O31" s="9" t="n">
        <v>4.4</v>
      </c>
      <c r="P31" s="23" t="n">
        <f aca="false">ROUND(AVERAGE(K31:O31),2)</f>
        <v>4.04</v>
      </c>
      <c r="Q31" s="4" t="n">
        <v>125</v>
      </c>
      <c r="R31" s="11" t="n">
        <v>71.2</v>
      </c>
      <c r="S31" s="12" t="s">
        <v>25</v>
      </c>
    </row>
    <row r="32" customFormat="false" ht="18" hidden="false" customHeight="true" outlineLevel="0" collapsed="false">
      <c r="A32" s="13" t="n">
        <v>30</v>
      </c>
      <c r="B32" s="14" t="s">
        <v>118</v>
      </c>
      <c r="C32" s="15" t="s">
        <v>119</v>
      </c>
      <c r="D32" s="15" t="s">
        <v>88</v>
      </c>
      <c r="E32" s="15" t="s">
        <v>89</v>
      </c>
      <c r="F32" s="14" t="s">
        <v>120</v>
      </c>
      <c r="G32" s="13" t="n">
        <v>18</v>
      </c>
      <c r="H32" s="13" t="n">
        <v>72</v>
      </c>
      <c r="I32" s="16" t="n">
        <v>35.682</v>
      </c>
      <c r="J32" s="16" t="n">
        <v>140.019</v>
      </c>
      <c r="K32" s="9" t="n">
        <v>4.3</v>
      </c>
      <c r="L32" s="9" t="n">
        <v>4.4</v>
      </c>
      <c r="M32" s="9" t="n">
        <v>4.6</v>
      </c>
      <c r="N32" s="22" t="n">
        <v>3.8</v>
      </c>
      <c r="O32" s="8" t="n">
        <v>4.7</v>
      </c>
      <c r="P32" s="10" t="n">
        <f aca="false">ROUND(AVERAGE(K32:O32),2)</f>
        <v>4.36</v>
      </c>
      <c r="Q32" s="13" t="n">
        <v>130</v>
      </c>
      <c r="R32" s="20" t="n">
        <v>72</v>
      </c>
      <c r="S32" s="21" t="s">
        <v>31</v>
      </c>
    </row>
    <row r="34" customFormat="false" ht="15" hidden="false" customHeight="false" outlineLevel="0" collapsed="false">
      <c r="A34" s="28" t="s">
        <v>121</v>
      </c>
      <c r="B34" s="28"/>
      <c r="C34" s="28"/>
      <c r="D34" s="28"/>
    </row>
    <row r="35" customFormat="false" ht="29.1" hidden="false" customHeight="false" outlineLevel="0" collapsed="false">
      <c r="A35" s="29" t="s">
        <v>122</v>
      </c>
      <c r="B35" s="30" t="s">
        <v>123</v>
      </c>
      <c r="C35" s="31" t="s">
        <v>124</v>
      </c>
      <c r="D35" s="32" t="s">
        <v>125</v>
      </c>
      <c r="E35" s="33" t="s">
        <v>126</v>
      </c>
    </row>
  </sheetData>
  <mergeCells count="2">
    <mergeCell ref="A1:S1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0" min="10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5" min="14" style="0" width="6"/>
    <col collapsed="false" customWidth="true" hidden="false" outlineLevel="0" max="16" min="16" style="0" width="7"/>
    <col collapsed="false" customWidth="true" hidden="false" outlineLevel="0" max="17" min="17" style="0" width="22"/>
  </cols>
  <sheetData>
    <row r="1" customFormat="false" ht="27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6" hidden="false" customHeight="true" outlineLevel="0" collapsed="false">
      <c r="A2" s="2" t="s">
        <v>128</v>
      </c>
      <c r="B2" s="3" t="s">
        <v>129</v>
      </c>
      <c r="C2" s="3" t="s">
        <v>2</v>
      </c>
      <c r="D2" s="3" t="s">
        <v>130</v>
      </c>
      <c r="E2" s="3" t="s">
        <v>131</v>
      </c>
      <c r="F2" s="3" t="s">
        <v>132</v>
      </c>
      <c r="G2" s="3" t="s">
        <v>133</v>
      </c>
      <c r="H2" s="3" t="s">
        <v>134</v>
      </c>
      <c r="I2" s="3" t="s">
        <v>135</v>
      </c>
      <c r="J2" s="2" t="s">
        <v>136</v>
      </c>
      <c r="K2" s="3" t="s">
        <v>137</v>
      </c>
      <c r="L2" s="3" t="s">
        <v>138</v>
      </c>
      <c r="M2" s="2" t="s">
        <v>139</v>
      </c>
      <c r="N2" s="3" t="s">
        <v>140</v>
      </c>
      <c r="O2" s="3" t="s">
        <v>141</v>
      </c>
      <c r="P2" s="3" t="s">
        <v>142</v>
      </c>
      <c r="Q2" s="3" t="s">
        <v>143</v>
      </c>
    </row>
    <row r="3" customFormat="false" ht="18" hidden="false" customHeight="true" outlineLevel="0" collapsed="false">
      <c r="A3" s="34" t="n">
        <v>1</v>
      </c>
      <c r="B3" s="34" t="s">
        <v>144</v>
      </c>
      <c r="C3" s="35" t="s">
        <v>80</v>
      </c>
      <c r="D3" s="34" t="n">
        <v>19</v>
      </c>
      <c r="E3" s="36" t="s">
        <v>145</v>
      </c>
      <c r="F3" s="36" t="s">
        <v>146</v>
      </c>
      <c r="G3" s="34" t="n">
        <v>44</v>
      </c>
      <c r="H3" s="34" t="n">
        <v>44</v>
      </c>
      <c r="I3" s="37" t="n">
        <f aca="false">G3+H3</f>
        <v>88</v>
      </c>
      <c r="J3" s="38" t="n">
        <f aca="false">I3-72</f>
        <v>16</v>
      </c>
      <c r="K3" s="34" t="n">
        <v>32</v>
      </c>
      <c r="L3" s="39" t="n">
        <v>0.78</v>
      </c>
      <c r="M3" s="39" t="n">
        <v>0.72</v>
      </c>
      <c r="N3" s="34" t="n">
        <v>2</v>
      </c>
      <c r="O3" s="34" t="n">
        <v>9</v>
      </c>
      <c r="P3" s="34" t="n">
        <v>7</v>
      </c>
      <c r="Q3" s="35" t="s">
        <v>147</v>
      </c>
    </row>
    <row r="4" customFormat="false" ht="18" hidden="false" customHeight="true" outlineLevel="0" collapsed="false">
      <c r="A4" s="40" t="n">
        <v>2</v>
      </c>
      <c r="B4" s="40" t="s">
        <v>148</v>
      </c>
      <c r="C4" s="41" t="s">
        <v>60</v>
      </c>
      <c r="D4" s="40" t="n">
        <v>13</v>
      </c>
      <c r="E4" s="40" t="s">
        <v>149</v>
      </c>
      <c r="F4" s="42" t="s">
        <v>150</v>
      </c>
      <c r="G4" s="40" t="n">
        <v>47</v>
      </c>
      <c r="H4" s="40" t="n">
        <v>48</v>
      </c>
      <c r="I4" s="43" t="n">
        <f aca="false">G4+H4</f>
        <v>95</v>
      </c>
      <c r="J4" s="38" t="n">
        <f aca="false">I4-72</f>
        <v>23</v>
      </c>
      <c r="K4" s="40" t="n">
        <v>35</v>
      </c>
      <c r="L4" s="39" t="n">
        <v>0.67</v>
      </c>
      <c r="M4" s="39" t="n">
        <v>0.61</v>
      </c>
      <c r="N4" s="40" t="n">
        <v>1</v>
      </c>
      <c r="O4" s="40" t="n">
        <v>7</v>
      </c>
      <c r="P4" s="40" t="n">
        <v>10</v>
      </c>
      <c r="Q4" s="41" t="s">
        <v>151</v>
      </c>
    </row>
    <row r="5" customFormat="false" ht="18" hidden="false" customHeight="true" outlineLevel="0" collapsed="false">
      <c r="A5" s="34" t="n">
        <v>3</v>
      </c>
      <c r="B5" s="34" t="s">
        <v>152</v>
      </c>
      <c r="C5" s="35" t="s">
        <v>20</v>
      </c>
      <c r="D5" s="34" t="n">
        <v>1</v>
      </c>
      <c r="E5" s="34" t="s">
        <v>153</v>
      </c>
      <c r="F5" s="36" t="s">
        <v>146</v>
      </c>
      <c r="G5" s="34" t="n">
        <v>43</v>
      </c>
      <c r="H5" s="34" t="n">
        <v>45</v>
      </c>
      <c r="I5" s="37" t="n">
        <f aca="false">G5+H5</f>
        <v>88</v>
      </c>
      <c r="J5" s="38" t="n">
        <f aca="false">I5-72</f>
        <v>16</v>
      </c>
      <c r="K5" s="34" t="n">
        <v>30</v>
      </c>
      <c r="L5" s="39" t="n">
        <v>0.83</v>
      </c>
      <c r="M5" s="39" t="n">
        <v>0.78</v>
      </c>
      <c r="N5" s="34" t="n">
        <v>3</v>
      </c>
      <c r="O5" s="34" t="n">
        <v>10</v>
      </c>
      <c r="P5" s="34" t="n">
        <v>5</v>
      </c>
      <c r="Q5" s="35" t="s">
        <v>154</v>
      </c>
    </row>
    <row r="6" customFormat="false" ht="18" hidden="false" customHeight="true" outlineLevel="0" collapsed="false">
      <c r="A6" s="40" t="n">
        <v>4</v>
      </c>
      <c r="B6" s="40" t="s">
        <v>155</v>
      </c>
      <c r="C6" s="41" t="s">
        <v>29</v>
      </c>
      <c r="D6" s="40" t="n">
        <v>3</v>
      </c>
      <c r="E6" s="40" t="s">
        <v>156</v>
      </c>
      <c r="F6" s="42" t="s">
        <v>157</v>
      </c>
      <c r="G6" s="40" t="n">
        <v>45</v>
      </c>
      <c r="H6" s="40" t="n">
        <v>47</v>
      </c>
      <c r="I6" s="43" t="n">
        <f aca="false">G6+H6</f>
        <v>92</v>
      </c>
      <c r="J6" s="38" t="n">
        <f aca="false">I6-72</f>
        <v>20</v>
      </c>
      <c r="K6" s="40" t="n">
        <v>33</v>
      </c>
      <c r="L6" s="39" t="n">
        <v>0.72</v>
      </c>
      <c r="M6" s="39" t="n">
        <v>0.67</v>
      </c>
      <c r="N6" s="40" t="n">
        <v>1</v>
      </c>
      <c r="O6" s="40" t="n">
        <v>8</v>
      </c>
      <c r="P6" s="40" t="n">
        <v>9</v>
      </c>
      <c r="Q6" s="41" t="s">
        <v>158</v>
      </c>
    </row>
    <row r="7" customFormat="false" ht="18" hidden="false" customHeight="true" outlineLevel="0" collapsed="false">
      <c r="A7" s="34" t="n">
        <v>5</v>
      </c>
      <c r="B7" s="34" t="s">
        <v>159</v>
      </c>
      <c r="C7" s="35" t="s">
        <v>50</v>
      </c>
      <c r="D7" s="34" t="n">
        <v>10</v>
      </c>
      <c r="E7" s="34" t="s">
        <v>153</v>
      </c>
      <c r="F7" s="36" t="s">
        <v>146</v>
      </c>
      <c r="G7" s="34" t="n">
        <v>46</v>
      </c>
      <c r="H7" s="34" t="n">
        <v>44</v>
      </c>
      <c r="I7" s="43" t="n">
        <f aca="false">G7+H7</f>
        <v>90</v>
      </c>
      <c r="J7" s="38" t="n">
        <f aca="false">I7-72</f>
        <v>18</v>
      </c>
      <c r="K7" s="34" t="n">
        <v>31</v>
      </c>
      <c r="L7" s="39" t="n">
        <v>0.78</v>
      </c>
      <c r="M7" s="39" t="n">
        <v>0.72</v>
      </c>
      <c r="N7" s="34" t="n">
        <v>2</v>
      </c>
      <c r="O7" s="34" t="n">
        <v>9</v>
      </c>
      <c r="P7" s="34" t="n">
        <v>7</v>
      </c>
      <c r="Q7" s="35" t="s">
        <v>160</v>
      </c>
    </row>
    <row r="8" customFormat="false" ht="18" hidden="false" customHeight="true" outlineLevel="0" collapsed="false">
      <c r="A8" s="40" t="n">
        <v>6</v>
      </c>
      <c r="B8" s="40" t="s">
        <v>161</v>
      </c>
      <c r="C8" s="41" t="s">
        <v>64</v>
      </c>
      <c r="D8" s="40" t="n">
        <v>14</v>
      </c>
      <c r="E8" s="40" t="s">
        <v>149</v>
      </c>
      <c r="F8" s="42" t="s">
        <v>162</v>
      </c>
      <c r="G8" s="40" t="n">
        <v>49</v>
      </c>
      <c r="H8" s="40" t="n">
        <v>50</v>
      </c>
      <c r="I8" s="43" t="n">
        <f aca="false">G8+H8</f>
        <v>99</v>
      </c>
      <c r="J8" s="38" t="n">
        <f aca="false">I8-72</f>
        <v>27</v>
      </c>
      <c r="K8" s="40" t="n">
        <v>36</v>
      </c>
      <c r="L8" s="39" t="n">
        <v>0.61</v>
      </c>
      <c r="M8" s="39" t="n">
        <v>0.56</v>
      </c>
      <c r="N8" s="40" t="n">
        <v>0</v>
      </c>
      <c r="O8" s="40" t="n">
        <v>6</v>
      </c>
      <c r="P8" s="40" t="n">
        <v>12</v>
      </c>
      <c r="Q8" s="41" t="s">
        <v>163</v>
      </c>
    </row>
    <row r="9" customFormat="false" ht="18" hidden="false" customHeight="true" outlineLevel="0" collapsed="false">
      <c r="A9" s="34" t="n">
        <v>7</v>
      </c>
      <c r="B9" s="34" t="s">
        <v>164</v>
      </c>
      <c r="C9" s="44" t="s">
        <v>165</v>
      </c>
      <c r="D9" s="34" t="n">
        <v>26</v>
      </c>
      <c r="E9" s="34" t="s">
        <v>153</v>
      </c>
      <c r="F9" s="36" t="s">
        <v>166</v>
      </c>
      <c r="G9" s="34" t="n">
        <v>46</v>
      </c>
      <c r="H9" s="34" t="n">
        <v>45</v>
      </c>
      <c r="I9" s="43" t="n">
        <f aca="false">G9+H9</f>
        <v>91</v>
      </c>
      <c r="J9" s="38" t="n">
        <f aca="false">I9-72</f>
        <v>19</v>
      </c>
      <c r="K9" s="34" t="n">
        <v>32</v>
      </c>
      <c r="L9" s="39" t="n">
        <v>0.75</v>
      </c>
      <c r="M9" s="39" t="n">
        <v>0.72</v>
      </c>
      <c r="N9" s="34" t="n">
        <v>2</v>
      </c>
      <c r="O9" s="34" t="n">
        <v>10</v>
      </c>
      <c r="P9" s="34" t="n">
        <v>6</v>
      </c>
      <c r="Q9" s="35" t="s">
        <v>167</v>
      </c>
    </row>
    <row r="10" customFormat="false" ht="18" hidden="false" customHeight="true" outlineLevel="0" collapsed="false">
      <c r="A10" s="40" t="n">
        <v>8</v>
      </c>
      <c r="B10" s="40" t="s">
        <v>168</v>
      </c>
      <c r="C10" s="41" t="s">
        <v>91</v>
      </c>
      <c r="D10" s="40" t="n">
        <v>22</v>
      </c>
      <c r="E10" s="40" t="s">
        <v>169</v>
      </c>
      <c r="F10" s="42" t="s">
        <v>146</v>
      </c>
      <c r="G10" s="40" t="n">
        <v>48</v>
      </c>
      <c r="H10" s="40" t="n">
        <v>49</v>
      </c>
      <c r="I10" s="43" t="n">
        <f aca="false">G10+H10</f>
        <v>97</v>
      </c>
      <c r="J10" s="38" t="n">
        <f aca="false">I10-72</f>
        <v>25</v>
      </c>
      <c r="K10" s="40" t="n">
        <v>34</v>
      </c>
      <c r="L10" s="39" t="n">
        <v>0.67</v>
      </c>
      <c r="M10" s="39" t="n">
        <v>0.61</v>
      </c>
      <c r="N10" s="40" t="n">
        <v>1</v>
      </c>
      <c r="O10" s="40" t="n">
        <v>7</v>
      </c>
      <c r="P10" s="40" t="n">
        <v>10</v>
      </c>
      <c r="Q10" s="41" t="s">
        <v>170</v>
      </c>
    </row>
    <row r="11" customFormat="false" ht="18" hidden="false" customHeight="true" outlineLevel="0" collapsed="false">
      <c r="A11" s="34" t="n">
        <v>9</v>
      </c>
      <c r="B11" s="34" t="s">
        <v>171</v>
      </c>
      <c r="C11" s="35" t="s">
        <v>98</v>
      </c>
      <c r="D11" s="34" t="n">
        <v>24</v>
      </c>
      <c r="E11" s="34" t="s">
        <v>156</v>
      </c>
      <c r="F11" s="36" t="s">
        <v>172</v>
      </c>
      <c r="G11" s="34" t="n">
        <v>44</v>
      </c>
      <c r="H11" s="34" t="n">
        <v>45</v>
      </c>
      <c r="I11" s="37" t="n">
        <f aca="false">G11+H11</f>
        <v>89</v>
      </c>
      <c r="J11" s="38" t="n">
        <f aca="false">I11-72</f>
        <v>17</v>
      </c>
      <c r="K11" s="34" t="n">
        <v>30</v>
      </c>
      <c r="L11" s="39" t="n">
        <v>0.83</v>
      </c>
      <c r="M11" s="39" t="n">
        <v>0.78</v>
      </c>
      <c r="N11" s="34" t="n">
        <v>3</v>
      </c>
      <c r="O11" s="34" t="n">
        <v>11</v>
      </c>
      <c r="P11" s="34" t="n">
        <v>4</v>
      </c>
      <c r="Q11" s="35" t="s">
        <v>173</v>
      </c>
    </row>
    <row r="12" customFormat="false" ht="18" hidden="false" customHeight="true" outlineLevel="0" collapsed="false">
      <c r="A12" s="40" t="n">
        <v>10</v>
      </c>
      <c r="B12" s="40" t="s">
        <v>174</v>
      </c>
      <c r="C12" s="41" t="s">
        <v>80</v>
      </c>
      <c r="D12" s="40" t="n">
        <v>19</v>
      </c>
      <c r="E12" s="40" t="s">
        <v>153</v>
      </c>
      <c r="F12" s="42" t="s">
        <v>146</v>
      </c>
      <c r="G12" s="40" t="n">
        <v>45</v>
      </c>
      <c r="H12" s="40" t="n">
        <v>43</v>
      </c>
      <c r="I12" s="37" t="n">
        <f aca="false">G12+H12</f>
        <v>88</v>
      </c>
      <c r="J12" s="38" t="n">
        <f aca="false">I12-72</f>
        <v>16</v>
      </c>
      <c r="K12" s="40" t="n">
        <v>31</v>
      </c>
      <c r="L12" s="39" t="n">
        <v>0.83</v>
      </c>
      <c r="M12" s="39" t="n">
        <v>0.78</v>
      </c>
      <c r="N12" s="40" t="n">
        <v>3</v>
      </c>
      <c r="O12" s="40" t="n">
        <v>10</v>
      </c>
      <c r="P12" s="40" t="n">
        <v>5</v>
      </c>
      <c r="Q12" s="41" t="s">
        <v>175</v>
      </c>
    </row>
    <row r="13" customFormat="false" ht="18" hidden="false" customHeight="true" outlineLevel="0" collapsed="false">
      <c r="A13" s="34" t="n">
        <v>11</v>
      </c>
      <c r="B13" s="34" t="s">
        <v>176</v>
      </c>
      <c r="C13" s="35" t="s">
        <v>77</v>
      </c>
      <c r="D13" s="34" t="n">
        <v>18</v>
      </c>
      <c r="E13" s="34" t="s">
        <v>156</v>
      </c>
      <c r="F13" s="36" t="s">
        <v>146</v>
      </c>
      <c r="G13" s="34" t="n">
        <v>46</v>
      </c>
      <c r="H13" s="34" t="n">
        <v>46</v>
      </c>
      <c r="I13" s="43" t="n">
        <f aca="false">G13+H13</f>
        <v>92</v>
      </c>
      <c r="J13" s="38" t="n">
        <f aca="false">I13-72</f>
        <v>20</v>
      </c>
      <c r="K13" s="34" t="n">
        <v>33</v>
      </c>
      <c r="L13" s="39" t="n">
        <v>0.72</v>
      </c>
      <c r="M13" s="39" t="n">
        <v>0.67</v>
      </c>
      <c r="N13" s="34" t="n">
        <v>1</v>
      </c>
      <c r="O13" s="34" t="n">
        <v>8</v>
      </c>
      <c r="P13" s="34" t="n">
        <v>9</v>
      </c>
      <c r="Q13" s="35" t="s">
        <v>177</v>
      </c>
    </row>
    <row r="14" customFormat="false" ht="18" hidden="false" customHeight="true" outlineLevel="0" collapsed="false">
      <c r="A14" s="40" t="n">
        <v>12</v>
      </c>
      <c r="B14" s="40" t="s">
        <v>178</v>
      </c>
      <c r="C14" s="45" t="s">
        <v>179</v>
      </c>
      <c r="D14" s="40" t="n">
        <v>5</v>
      </c>
      <c r="E14" s="40" t="s">
        <v>149</v>
      </c>
      <c r="F14" s="42" t="s">
        <v>146</v>
      </c>
      <c r="G14" s="40" t="n">
        <v>47</v>
      </c>
      <c r="H14" s="40" t="n">
        <v>47</v>
      </c>
      <c r="I14" s="43" t="n">
        <f aca="false">G14+H14</f>
        <v>94</v>
      </c>
      <c r="J14" s="38" t="n">
        <f aca="false">I14-72</f>
        <v>22</v>
      </c>
      <c r="K14" s="40" t="n">
        <v>34</v>
      </c>
      <c r="L14" s="39" t="n">
        <v>0.72</v>
      </c>
      <c r="M14" s="39" t="n">
        <v>0.67</v>
      </c>
      <c r="N14" s="40" t="n">
        <v>1</v>
      </c>
      <c r="O14" s="40" t="n">
        <v>7</v>
      </c>
      <c r="P14" s="40" t="n">
        <v>10</v>
      </c>
      <c r="Q14" s="45" t="s">
        <v>180</v>
      </c>
    </row>
    <row r="15" customFormat="false" ht="18" hidden="false" customHeight="true" outlineLevel="0" collapsed="false">
      <c r="A15" s="34" t="n">
        <v>13</v>
      </c>
      <c r="B15" s="34" t="s">
        <v>181</v>
      </c>
      <c r="C15" s="35" t="s">
        <v>112</v>
      </c>
      <c r="D15" s="34" t="n">
        <v>28</v>
      </c>
      <c r="E15" s="34" t="s">
        <v>153</v>
      </c>
      <c r="F15" s="36" t="s">
        <v>157</v>
      </c>
      <c r="G15" s="34" t="n">
        <v>49</v>
      </c>
      <c r="H15" s="34" t="n">
        <v>48</v>
      </c>
      <c r="I15" s="43" t="n">
        <f aca="false">G15+H15</f>
        <v>97</v>
      </c>
      <c r="J15" s="38" t="n">
        <f aca="false">I15-72</f>
        <v>25</v>
      </c>
      <c r="K15" s="34" t="n">
        <v>35</v>
      </c>
      <c r="L15" s="39" t="n">
        <v>0.67</v>
      </c>
      <c r="M15" s="39" t="n">
        <v>0.61</v>
      </c>
      <c r="N15" s="34" t="n">
        <v>0</v>
      </c>
      <c r="O15" s="34" t="n">
        <v>7</v>
      </c>
      <c r="P15" s="34" t="n">
        <v>11</v>
      </c>
      <c r="Q15" s="35" t="s">
        <v>182</v>
      </c>
    </row>
    <row r="16" customFormat="false" ht="18" hidden="false" customHeight="true" outlineLevel="0" collapsed="false">
      <c r="A16" s="40" t="n">
        <v>14</v>
      </c>
      <c r="B16" s="40" t="s">
        <v>183</v>
      </c>
      <c r="C16" s="41" t="s">
        <v>48</v>
      </c>
      <c r="D16" s="40" t="n">
        <v>9</v>
      </c>
      <c r="E16" s="40" t="s">
        <v>153</v>
      </c>
      <c r="F16" s="42" t="s">
        <v>184</v>
      </c>
      <c r="G16" s="40" t="n">
        <v>46</v>
      </c>
      <c r="H16" s="40" t="n">
        <v>47</v>
      </c>
      <c r="I16" s="43" t="n">
        <f aca="false">G16+H16</f>
        <v>93</v>
      </c>
      <c r="J16" s="38" t="n">
        <f aca="false">I16-72</f>
        <v>21</v>
      </c>
      <c r="K16" s="40" t="n">
        <v>33</v>
      </c>
      <c r="L16" s="39" t="n">
        <v>0.72</v>
      </c>
      <c r="M16" s="39" t="n">
        <v>0.67</v>
      </c>
      <c r="N16" s="40" t="n">
        <v>1</v>
      </c>
      <c r="O16" s="40" t="n">
        <v>8</v>
      </c>
      <c r="P16" s="40" t="n">
        <v>9</v>
      </c>
      <c r="Q16" s="41" t="s">
        <v>185</v>
      </c>
    </row>
    <row r="17" customFormat="false" ht="18" hidden="false" customHeight="true" outlineLevel="0" collapsed="false">
      <c r="A17" s="34" t="n">
        <v>15</v>
      </c>
      <c r="B17" s="34" t="s">
        <v>186</v>
      </c>
      <c r="C17" s="35" t="s">
        <v>86</v>
      </c>
      <c r="D17" s="34" t="n">
        <v>21</v>
      </c>
      <c r="E17" s="34" t="s">
        <v>149</v>
      </c>
      <c r="F17" s="36" t="s">
        <v>172</v>
      </c>
      <c r="G17" s="34" t="n">
        <v>47</v>
      </c>
      <c r="H17" s="34" t="n">
        <v>46</v>
      </c>
      <c r="I17" s="43" t="n">
        <f aca="false">G17+H17</f>
        <v>93</v>
      </c>
      <c r="J17" s="38" t="n">
        <f aca="false">I17-72</f>
        <v>21</v>
      </c>
      <c r="K17" s="34" t="n">
        <v>34</v>
      </c>
      <c r="L17" s="39" t="n">
        <v>0.72</v>
      </c>
      <c r="M17" s="39" t="n">
        <v>0.67</v>
      </c>
      <c r="N17" s="34" t="n">
        <v>2</v>
      </c>
      <c r="O17" s="34" t="n">
        <v>9</v>
      </c>
      <c r="P17" s="34" t="n">
        <v>7</v>
      </c>
      <c r="Q17" s="35" t="s">
        <v>187</v>
      </c>
    </row>
    <row r="19" customFormat="false" ht="21.75" hidden="false" customHeight="true" outlineLevel="0" collapsed="false">
      <c r="A19" s="46" t="s">
        <v>188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 customFormat="false" ht="24" hidden="false" customHeight="true" outlineLevel="0" collapsed="false">
      <c r="A20" s="47" t="s">
        <v>189</v>
      </c>
      <c r="B20" s="48" t="n">
        <f aca="false">ROUND(AVERAGE(I3:I15),1)</f>
        <v>92.3</v>
      </c>
      <c r="C20" s="48"/>
      <c r="D20" s="47" t="s">
        <v>190</v>
      </c>
      <c r="E20" s="48" t="n">
        <f aca="false">MIN(I3:I15)</f>
        <v>88</v>
      </c>
      <c r="F20" s="48"/>
      <c r="G20" s="47" t="s">
        <v>191</v>
      </c>
      <c r="H20" s="48" t="n">
        <f aca="false">MAX(I3:I15)</f>
        <v>99</v>
      </c>
      <c r="I20" s="48"/>
      <c r="J20" s="47" t="s">
        <v>192</v>
      </c>
      <c r="K20" s="48" t="n">
        <f aca="false">ROUND(AVERAGE(K3:K15),1)</f>
        <v>32.8</v>
      </c>
      <c r="L20" s="48"/>
      <c r="M20" s="47" t="s">
        <v>193</v>
      </c>
      <c r="N20" s="48" t="n">
        <f aca="false">SUM(N3:N15)</f>
        <v>20</v>
      </c>
      <c r="O20" s="48"/>
      <c r="P20" s="47" t="s">
        <v>194</v>
      </c>
      <c r="Q20" s="48" t="n">
        <f aca="false">COUNTA(B3:B15)</f>
        <v>13</v>
      </c>
    </row>
  </sheetData>
  <mergeCells count="7">
    <mergeCell ref="A1:Q1"/>
    <mergeCell ref="A19:Q19"/>
    <mergeCell ref="B20:C20"/>
    <mergeCell ref="E20:F20"/>
    <mergeCell ref="H20:I20"/>
    <mergeCell ref="K20:L20"/>
    <mergeCell ref="N20:O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1" min="9" style="0" width="7"/>
    <col collapsed="false" customWidth="true" hidden="false" outlineLevel="0" max="12" min="12" style="0" width="10"/>
    <col collapsed="false" customWidth="true" hidden="false" outlineLevel="0" max="14" min="13" style="0" width="8"/>
    <col collapsed="false" customWidth="true" hidden="false" outlineLevel="0" max="15" min="15" style="0" width="40"/>
  </cols>
  <sheetData>
    <row r="1" customFormat="false" ht="27.75" hidden="false" customHeight="tru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6" hidden="false" customHeight="true" outlineLevel="0" collapsed="false">
      <c r="A2" s="3" t="s">
        <v>196</v>
      </c>
      <c r="B2" s="3" t="s">
        <v>2</v>
      </c>
      <c r="C2" s="3" t="s">
        <v>130</v>
      </c>
      <c r="D2" s="3" t="s">
        <v>197</v>
      </c>
      <c r="E2" s="3" t="s">
        <v>198</v>
      </c>
      <c r="F2" s="3" t="s">
        <v>199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200</v>
      </c>
      <c r="M2" s="3" t="s">
        <v>16</v>
      </c>
      <c r="N2" s="3" t="s">
        <v>201</v>
      </c>
      <c r="O2" s="3" t="s">
        <v>202</v>
      </c>
    </row>
    <row r="3" customFormat="false" ht="39.75" hidden="false" customHeight="true" outlineLevel="0" collapsed="false">
      <c r="A3" s="49" t="n">
        <v>1</v>
      </c>
      <c r="B3" s="50" t="s">
        <v>80</v>
      </c>
      <c r="C3" s="49" t="n">
        <v>19</v>
      </c>
      <c r="D3" s="51" t="s">
        <v>203</v>
      </c>
      <c r="E3" s="49" t="s">
        <v>204</v>
      </c>
      <c r="F3" s="50" t="s">
        <v>205</v>
      </c>
      <c r="G3" s="52" t="n">
        <v>4.6</v>
      </c>
      <c r="H3" s="53" t="n">
        <v>4.7</v>
      </c>
      <c r="I3" s="53" t="n">
        <v>5</v>
      </c>
      <c r="J3" s="53" t="n">
        <v>4.8</v>
      </c>
      <c r="K3" s="53" t="n">
        <v>4.7</v>
      </c>
      <c r="L3" s="52" t="n">
        <v>4.5</v>
      </c>
      <c r="M3" s="54" t="n">
        <f aca="false">ROUND(AVERAGE(G3:L3),2)</f>
        <v>4.72</v>
      </c>
      <c r="N3" s="55" t="s">
        <v>206</v>
      </c>
      <c r="O3" s="56" t="s">
        <v>207</v>
      </c>
    </row>
    <row r="4" customFormat="false" ht="39.75" hidden="false" customHeight="true" outlineLevel="0" collapsed="false">
      <c r="A4" s="40" t="n">
        <v>2</v>
      </c>
      <c r="B4" s="41" t="s">
        <v>60</v>
      </c>
      <c r="C4" s="40" t="n">
        <v>13</v>
      </c>
      <c r="D4" s="42" t="s">
        <v>208</v>
      </c>
      <c r="E4" s="40" t="s">
        <v>209</v>
      </c>
      <c r="F4" s="41" t="s">
        <v>210</v>
      </c>
      <c r="G4" s="53" t="n">
        <v>4.9</v>
      </c>
      <c r="H4" s="53" t="n">
        <v>4.9</v>
      </c>
      <c r="I4" s="53" t="n">
        <v>5</v>
      </c>
      <c r="J4" s="52" t="n">
        <v>4.5</v>
      </c>
      <c r="K4" s="53" t="n">
        <v>5</v>
      </c>
      <c r="L4" s="53" t="n">
        <v>4.8</v>
      </c>
      <c r="M4" s="54" t="n">
        <f aca="false">ROUND(AVERAGE(G4:L4),2)</f>
        <v>4.85</v>
      </c>
      <c r="N4" s="55" t="s">
        <v>206</v>
      </c>
      <c r="O4" s="56" t="s">
        <v>211</v>
      </c>
    </row>
    <row r="5" customFormat="false" ht="39.75" hidden="false" customHeight="true" outlineLevel="0" collapsed="false">
      <c r="A5" s="49" t="n">
        <v>3</v>
      </c>
      <c r="B5" s="50" t="s">
        <v>20</v>
      </c>
      <c r="C5" s="49" t="n">
        <v>1</v>
      </c>
      <c r="D5" s="49" t="s">
        <v>212</v>
      </c>
      <c r="E5" s="49" t="s">
        <v>213</v>
      </c>
      <c r="F5" s="50" t="s">
        <v>214</v>
      </c>
      <c r="G5" s="53" t="n">
        <v>4.7</v>
      </c>
      <c r="H5" s="53" t="n">
        <v>4.8</v>
      </c>
      <c r="I5" s="53" t="n">
        <v>4.9</v>
      </c>
      <c r="J5" s="52" t="n">
        <v>4.2</v>
      </c>
      <c r="K5" s="52" t="n">
        <v>4.5</v>
      </c>
      <c r="L5" s="52" t="n">
        <v>4.4</v>
      </c>
      <c r="M5" s="57" t="n">
        <f aca="false">ROUND(AVERAGE(G5:L5),2)</f>
        <v>4.58</v>
      </c>
      <c r="N5" s="55" t="s">
        <v>206</v>
      </c>
      <c r="O5" s="56" t="s">
        <v>215</v>
      </c>
    </row>
    <row r="6" customFormat="false" ht="39.75" hidden="false" customHeight="true" outlineLevel="0" collapsed="false">
      <c r="A6" s="40" t="n">
        <v>4</v>
      </c>
      <c r="B6" s="41" t="s">
        <v>20</v>
      </c>
      <c r="C6" s="40" t="n">
        <v>1</v>
      </c>
      <c r="D6" s="40" t="s">
        <v>216</v>
      </c>
      <c r="E6" s="40" t="s">
        <v>217</v>
      </c>
      <c r="F6" s="41" t="s">
        <v>218</v>
      </c>
      <c r="G6" s="52" t="n">
        <v>4.6</v>
      </c>
      <c r="H6" s="53" t="n">
        <v>4.7</v>
      </c>
      <c r="I6" s="53" t="n">
        <v>4.8</v>
      </c>
      <c r="J6" s="52" t="n">
        <v>4.3</v>
      </c>
      <c r="K6" s="52" t="n">
        <v>4.5</v>
      </c>
      <c r="L6" s="52" t="n">
        <v>4.2</v>
      </c>
      <c r="M6" s="57" t="n">
        <f aca="false">ROUND(AVERAGE(G6:L6),2)</f>
        <v>4.52</v>
      </c>
      <c r="N6" s="55" t="s">
        <v>206</v>
      </c>
      <c r="O6" s="56" t="s">
        <v>219</v>
      </c>
    </row>
    <row r="7" customFormat="false" ht="39.75" hidden="false" customHeight="true" outlineLevel="0" collapsed="false">
      <c r="A7" s="49" t="n">
        <v>5</v>
      </c>
      <c r="B7" s="50" t="s">
        <v>29</v>
      </c>
      <c r="C7" s="49" t="n">
        <v>3</v>
      </c>
      <c r="D7" s="49" t="s">
        <v>220</v>
      </c>
      <c r="E7" s="49" t="s">
        <v>221</v>
      </c>
      <c r="F7" s="50" t="s">
        <v>222</v>
      </c>
      <c r="G7" s="52" t="n">
        <v>4.2</v>
      </c>
      <c r="H7" s="52" t="n">
        <v>4.3</v>
      </c>
      <c r="I7" s="52" t="n">
        <v>4.5</v>
      </c>
      <c r="J7" s="52" t="n">
        <v>4.4</v>
      </c>
      <c r="K7" s="52" t="n">
        <v>4.3</v>
      </c>
      <c r="L7" s="58" t="n">
        <v>4</v>
      </c>
      <c r="M7" s="57" t="n">
        <f aca="false">ROUND(AVERAGE(G7:L7),2)</f>
        <v>4.28</v>
      </c>
      <c r="N7" s="55" t="s">
        <v>206</v>
      </c>
      <c r="O7" s="56" t="s">
        <v>223</v>
      </c>
    </row>
    <row r="8" customFormat="false" ht="39.75" hidden="false" customHeight="true" outlineLevel="0" collapsed="false">
      <c r="A8" s="40" t="n">
        <v>6</v>
      </c>
      <c r="B8" s="41" t="s">
        <v>91</v>
      </c>
      <c r="C8" s="40" t="n">
        <v>22</v>
      </c>
      <c r="D8" s="42" t="s">
        <v>224</v>
      </c>
      <c r="E8" s="40" t="s">
        <v>225</v>
      </c>
      <c r="F8" s="41" t="s">
        <v>226</v>
      </c>
      <c r="G8" s="53" t="n">
        <v>4.9</v>
      </c>
      <c r="H8" s="53" t="n">
        <v>4.9</v>
      </c>
      <c r="I8" s="53" t="n">
        <v>5</v>
      </c>
      <c r="J8" s="52" t="n">
        <v>4.2</v>
      </c>
      <c r="K8" s="53" t="n">
        <v>5</v>
      </c>
      <c r="L8" s="53" t="n">
        <v>4.9</v>
      </c>
      <c r="M8" s="54" t="n">
        <f aca="false">ROUND(AVERAGE(G8:L8),2)</f>
        <v>4.82</v>
      </c>
      <c r="N8" s="59" t="s">
        <v>227</v>
      </c>
      <c r="O8" s="56" t="s">
        <v>228</v>
      </c>
    </row>
    <row r="9" customFormat="false" ht="39.75" hidden="false" customHeight="true" outlineLevel="0" collapsed="false">
      <c r="A9" s="49" t="n">
        <v>7</v>
      </c>
      <c r="B9" s="50" t="s">
        <v>86</v>
      </c>
      <c r="C9" s="49" t="n">
        <v>21</v>
      </c>
      <c r="D9" s="51" t="s">
        <v>229</v>
      </c>
      <c r="E9" s="49" t="s">
        <v>230</v>
      </c>
      <c r="F9" s="50" t="s">
        <v>231</v>
      </c>
      <c r="G9" s="52" t="n">
        <v>4.6</v>
      </c>
      <c r="H9" s="53" t="n">
        <v>4.7</v>
      </c>
      <c r="I9" s="53" t="n">
        <v>4.8</v>
      </c>
      <c r="J9" s="58" t="n">
        <v>4</v>
      </c>
      <c r="K9" s="53" t="n">
        <v>5</v>
      </c>
      <c r="L9" s="52" t="n">
        <v>4.5</v>
      </c>
      <c r="M9" s="57" t="n">
        <f aca="false">ROUND(AVERAGE(G9:L9),2)</f>
        <v>4.6</v>
      </c>
      <c r="N9" s="59" t="s">
        <v>227</v>
      </c>
      <c r="O9" s="56" t="s">
        <v>232</v>
      </c>
    </row>
    <row r="10" customFormat="false" ht="39.75" hidden="false" customHeight="true" outlineLevel="0" collapsed="false">
      <c r="A10" s="40" t="n">
        <v>8</v>
      </c>
      <c r="B10" s="45" t="s">
        <v>165</v>
      </c>
      <c r="C10" s="40" t="n">
        <v>26</v>
      </c>
      <c r="D10" s="42" t="s">
        <v>233</v>
      </c>
      <c r="E10" s="40" t="s">
        <v>234</v>
      </c>
      <c r="F10" s="41" t="s">
        <v>235</v>
      </c>
      <c r="G10" s="52" t="n">
        <v>4.3</v>
      </c>
      <c r="H10" s="52" t="n">
        <v>4.4</v>
      </c>
      <c r="I10" s="52" t="n">
        <v>4.5</v>
      </c>
      <c r="J10" s="58" t="n">
        <v>3.5</v>
      </c>
      <c r="K10" s="52" t="n">
        <v>4.5</v>
      </c>
      <c r="L10" s="52" t="n">
        <v>4.4</v>
      </c>
      <c r="M10" s="57" t="n">
        <f aca="false">ROUND(AVERAGE(G10:L10),2)</f>
        <v>4.27</v>
      </c>
      <c r="N10" s="55" t="s">
        <v>206</v>
      </c>
      <c r="O10" s="56" t="s">
        <v>236</v>
      </c>
    </row>
    <row r="11" customFormat="false" ht="39.75" hidden="false" customHeight="true" outlineLevel="0" collapsed="false">
      <c r="A11" s="49" t="n">
        <v>9</v>
      </c>
      <c r="B11" s="50" t="s">
        <v>98</v>
      </c>
      <c r="C11" s="49" t="n">
        <v>24</v>
      </c>
      <c r="D11" s="51" t="s">
        <v>237</v>
      </c>
      <c r="E11" s="49" t="s">
        <v>238</v>
      </c>
      <c r="F11" s="50" t="s">
        <v>239</v>
      </c>
      <c r="G11" s="52" t="n">
        <v>4.2</v>
      </c>
      <c r="H11" s="52" t="n">
        <v>4.3</v>
      </c>
      <c r="I11" s="52" t="n">
        <v>4.5</v>
      </c>
      <c r="J11" s="58" t="n">
        <v>4.1</v>
      </c>
      <c r="K11" s="53" t="n">
        <v>4.9</v>
      </c>
      <c r="L11" s="52" t="n">
        <v>4.6</v>
      </c>
      <c r="M11" s="57" t="n">
        <f aca="false">ROUND(AVERAGE(G11:L11),2)</f>
        <v>4.43</v>
      </c>
      <c r="N11" s="55" t="s">
        <v>206</v>
      </c>
      <c r="O11" s="56" t="s">
        <v>240</v>
      </c>
    </row>
    <row r="12" customFormat="false" ht="39.75" hidden="false" customHeight="true" outlineLevel="0" collapsed="false">
      <c r="A12" s="40" t="n">
        <v>10</v>
      </c>
      <c r="B12" s="41" t="s">
        <v>50</v>
      </c>
      <c r="C12" s="40" t="n">
        <v>10</v>
      </c>
      <c r="D12" s="40" t="s">
        <v>241</v>
      </c>
      <c r="E12" s="40" t="s">
        <v>242</v>
      </c>
      <c r="F12" s="41" t="s">
        <v>243</v>
      </c>
      <c r="G12" s="52" t="n">
        <v>4.4</v>
      </c>
      <c r="H12" s="52" t="n">
        <v>4.5</v>
      </c>
      <c r="I12" s="52" t="n">
        <v>4.6</v>
      </c>
      <c r="J12" s="58" t="n">
        <v>4</v>
      </c>
      <c r="K12" s="52" t="n">
        <v>4.4</v>
      </c>
      <c r="L12" s="52" t="n">
        <v>4.2</v>
      </c>
      <c r="M12" s="57" t="n">
        <f aca="false">ROUND(AVERAGE(G12:L12),2)</f>
        <v>4.35</v>
      </c>
      <c r="N12" s="55" t="s">
        <v>206</v>
      </c>
      <c r="O12" s="56" t="s">
        <v>244</v>
      </c>
    </row>
    <row r="13" customFormat="false" ht="39.75" hidden="false" customHeight="true" outlineLevel="0" collapsed="false">
      <c r="A13" s="49" t="n">
        <v>11</v>
      </c>
      <c r="B13" s="50" t="s">
        <v>26</v>
      </c>
      <c r="C13" s="49" t="n">
        <v>2</v>
      </c>
      <c r="D13" s="49" t="s">
        <v>245</v>
      </c>
      <c r="E13" s="49" t="s">
        <v>246</v>
      </c>
      <c r="F13" s="50" t="s">
        <v>247</v>
      </c>
      <c r="G13" s="60" t="n">
        <v>2.5</v>
      </c>
      <c r="H13" s="60" t="n">
        <v>2.8</v>
      </c>
      <c r="I13" s="60" t="n">
        <v>3.1</v>
      </c>
      <c r="J13" s="61" t="n">
        <v>2</v>
      </c>
      <c r="K13" s="60" t="n">
        <v>3.2</v>
      </c>
      <c r="L13" s="60" t="n">
        <v>2.9</v>
      </c>
      <c r="M13" s="62" t="n">
        <f aca="false">ROUND(AVERAGE(G13:L13),2)</f>
        <v>2.75</v>
      </c>
      <c r="N13" s="63" t="s">
        <v>248</v>
      </c>
      <c r="O13" s="56" t="s">
        <v>249</v>
      </c>
    </row>
    <row r="14" customFormat="false" ht="39.75" hidden="false" customHeight="true" outlineLevel="0" collapsed="false">
      <c r="A14" s="40" t="n">
        <v>12</v>
      </c>
      <c r="B14" s="41" t="s">
        <v>38</v>
      </c>
      <c r="C14" s="40" t="n">
        <v>6</v>
      </c>
      <c r="D14" s="40" t="s">
        <v>250</v>
      </c>
      <c r="E14" s="40" t="s">
        <v>251</v>
      </c>
      <c r="F14" s="41" t="s">
        <v>252</v>
      </c>
      <c r="G14" s="61" t="n">
        <v>1.8</v>
      </c>
      <c r="H14" s="61" t="n">
        <v>1.9</v>
      </c>
      <c r="I14" s="61" t="n">
        <v>2</v>
      </c>
      <c r="J14" s="53" t="n">
        <v>4.8</v>
      </c>
      <c r="K14" s="60" t="n">
        <v>2.5</v>
      </c>
      <c r="L14" s="61" t="n">
        <v>2</v>
      </c>
      <c r="M14" s="62" t="n">
        <f aca="false">ROUND(AVERAGE(G14:L14),2)</f>
        <v>2.5</v>
      </c>
      <c r="N14" s="64" t="s">
        <v>253</v>
      </c>
      <c r="O14" s="56" t="s">
        <v>254</v>
      </c>
    </row>
    <row r="15" customFormat="false" ht="39.75" hidden="false" customHeight="true" outlineLevel="0" collapsed="false">
      <c r="A15" s="49" t="n">
        <v>13</v>
      </c>
      <c r="B15" s="50" t="s">
        <v>80</v>
      </c>
      <c r="C15" s="49" t="n">
        <v>19</v>
      </c>
      <c r="D15" s="49" t="s">
        <v>255</v>
      </c>
      <c r="E15" s="49" t="s">
        <v>256</v>
      </c>
      <c r="F15" s="50" t="s">
        <v>257</v>
      </c>
      <c r="G15" s="52" t="n">
        <v>4.6</v>
      </c>
      <c r="H15" s="53" t="n">
        <v>4.7</v>
      </c>
      <c r="I15" s="53" t="n">
        <v>5</v>
      </c>
      <c r="J15" s="53" t="n">
        <v>4.8</v>
      </c>
      <c r="K15" s="53" t="n">
        <v>4.7</v>
      </c>
      <c r="L15" s="52" t="n">
        <v>4.6</v>
      </c>
      <c r="M15" s="54" t="n">
        <f aca="false">ROUND(AVERAGE(G15:L15),2)</f>
        <v>4.73</v>
      </c>
      <c r="N15" s="59" t="s">
        <v>227</v>
      </c>
      <c r="O15" s="56" t="s">
        <v>258</v>
      </c>
    </row>
    <row r="16" customFormat="false" ht="39.75" hidden="false" customHeight="true" outlineLevel="0" collapsed="false">
      <c r="A16" s="40" t="n">
        <v>14</v>
      </c>
      <c r="B16" s="41" t="s">
        <v>112</v>
      </c>
      <c r="C16" s="40" t="n">
        <v>28</v>
      </c>
      <c r="D16" s="42" t="s">
        <v>259</v>
      </c>
      <c r="E16" s="40" t="s">
        <v>260</v>
      </c>
      <c r="F16" s="45" t="s">
        <v>261</v>
      </c>
      <c r="G16" s="52" t="n">
        <v>4.5</v>
      </c>
      <c r="H16" s="52" t="n">
        <v>4.6</v>
      </c>
      <c r="I16" s="53" t="n">
        <v>4.7</v>
      </c>
      <c r="J16" s="58" t="n">
        <v>4</v>
      </c>
      <c r="K16" s="53" t="n">
        <v>4.9</v>
      </c>
      <c r="L16" s="53" t="n">
        <v>4.8</v>
      </c>
      <c r="M16" s="57" t="n">
        <f aca="false">ROUND(AVERAGE(G16:L16),2)</f>
        <v>4.58</v>
      </c>
      <c r="N16" s="59" t="s">
        <v>227</v>
      </c>
      <c r="O16" s="65" t="s">
        <v>262</v>
      </c>
    </row>
    <row r="17" customFormat="false" ht="39.75" hidden="false" customHeight="true" outlineLevel="0" collapsed="false">
      <c r="A17" s="49" t="n">
        <v>15</v>
      </c>
      <c r="B17" s="50" t="s">
        <v>64</v>
      </c>
      <c r="C17" s="49" t="n">
        <v>14</v>
      </c>
      <c r="D17" s="49" t="s">
        <v>263</v>
      </c>
      <c r="E17" s="49" t="s">
        <v>264</v>
      </c>
      <c r="F17" s="50" t="s">
        <v>265</v>
      </c>
      <c r="G17" s="52" t="n">
        <v>4.3</v>
      </c>
      <c r="H17" s="52" t="n">
        <v>4.2</v>
      </c>
      <c r="I17" s="53" t="n">
        <v>4.7</v>
      </c>
      <c r="J17" s="52" t="n">
        <v>4.2</v>
      </c>
      <c r="K17" s="52" t="n">
        <v>4.6</v>
      </c>
      <c r="L17" s="52" t="n">
        <v>4.3</v>
      </c>
      <c r="M17" s="57" t="n">
        <f aca="false">ROUND(AVERAGE(G17:L17),2)</f>
        <v>4.38</v>
      </c>
      <c r="N17" s="55" t="s">
        <v>206</v>
      </c>
      <c r="O17" s="56" t="s">
        <v>266</v>
      </c>
    </row>
    <row r="19" customFormat="false" ht="21.75" hidden="false" customHeight="true" outlineLevel="0" collapsed="false">
      <c r="A19" s="46" t="s">
        <v>267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</row>
    <row r="20" customFormat="false" ht="15" hidden="false" customHeight="false" outlineLevel="0" collapsed="false">
      <c r="A20" s="66" t="s">
        <v>268</v>
      </c>
      <c r="B20" s="66" t="s">
        <v>269</v>
      </c>
      <c r="C20" s="66" t="s">
        <v>270</v>
      </c>
      <c r="D20" s="66" t="s">
        <v>271</v>
      </c>
      <c r="E20" s="66" t="s">
        <v>272</v>
      </c>
      <c r="F20" s="66" t="s">
        <v>273</v>
      </c>
      <c r="G20" s="66" t="s">
        <v>274</v>
      </c>
      <c r="H20" s="66" t="s">
        <v>275</v>
      </c>
      <c r="I20" s="66" t="s">
        <v>276</v>
      </c>
    </row>
    <row r="21" customFormat="false" ht="18" hidden="false" customHeight="true" outlineLevel="0" collapsed="false">
      <c r="A21" s="67" t="s">
        <v>80</v>
      </c>
      <c r="B21" s="49" t="n">
        <v>2</v>
      </c>
      <c r="C21" s="57" t="n">
        <v>4.6</v>
      </c>
      <c r="D21" s="54" t="n">
        <v>4.7</v>
      </c>
      <c r="E21" s="54" t="n">
        <v>5</v>
      </c>
      <c r="F21" s="54" t="n">
        <v>4.8</v>
      </c>
      <c r="G21" s="54" t="n">
        <v>4.7</v>
      </c>
      <c r="H21" s="57" t="n">
        <v>4.55</v>
      </c>
      <c r="I21" s="54" t="n">
        <v>4.73</v>
      </c>
    </row>
    <row r="22" customFormat="false" ht="18" hidden="false" customHeight="true" outlineLevel="0" collapsed="false">
      <c r="A22" s="68" t="s">
        <v>60</v>
      </c>
      <c r="B22" s="40" t="n">
        <v>1</v>
      </c>
      <c r="C22" s="54" t="n">
        <v>4.9</v>
      </c>
      <c r="D22" s="54" t="n">
        <v>4.9</v>
      </c>
      <c r="E22" s="54" t="n">
        <v>5</v>
      </c>
      <c r="F22" s="57" t="n">
        <v>4.5</v>
      </c>
      <c r="G22" s="54" t="n">
        <v>5</v>
      </c>
      <c r="H22" s="54" t="n">
        <v>4.8</v>
      </c>
      <c r="I22" s="54" t="n">
        <v>4.85</v>
      </c>
    </row>
    <row r="23" customFormat="false" ht="18" hidden="false" customHeight="true" outlineLevel="0" collapsed="false">
      <c r="A23" s="67" t="s">
        <v>20</v>
      </c>
      <c r="B23" s="49" t="n">
        <v>2</v>
      </c>
      <c r="C23" s="57" t="n">
        <v>4.65</v>
      </c>
      <c r="D23" s="54" t="n">
        <v>4.75</v>
      </c>
      <c r="E23" s="54" t="n">
        <v>4.85</v>
      </c>
      <c r="F23" s="57" t="n">
        <v>4.25</v>
      </c>
      <c r="G23" s="57" t="n">
        <v>4.5</v>
      </c>
      <c r="H23" s="57" t="n">
        <v>4.3</v>
      </c>
      <c r="I23" s="57" t="n">
        <v>4.55</v>
      </c>
    </row>
    <row r="24" customFormat="false" ht="18" hidden="false" customHeight="true" outlineLevel="0" collapsed="false">
      <c r="A24" s="68" t="s">
        <v>29</v>
      </c>
      <c r="B24" s="40" t="n">
        <v>1</v>
      </c>
      <c r="C24" s="57" t="n">
        <v>4.2</v>
      </c>
      <c r="D24" s="57" t="n">
        <v>4.3</v>
      </c>
      <c r="E24" s="57" t="n">
        <v>4.5</v>
      </c>
      <c r="F24" s="57" t="n">
        <v>4.4</v>
      </c>
      <c r="G24" s="57" t="n">
        <v>4.3</v>
      </c>
      <c r="H24" s="69" t="n">
        <v>4</v>
      </c>
      <c r="I24" s="57" t="n">
        <v>4.28</v>
      </c>
    </row>
    <row r="25" customFormat="false" ht="18" hidden="false" customHeight="true" outlineLevel="0" collapsed="false">
      <c r="A25" s="67" t="s">
        <v>91</v>
      </c>
      <c r="B25" s="49" t="n">
        <v>1</v>
      </c>
      <c r="C25" s="54" t="n">
        <v>4.9</v>
      </c>
      <c r="D25" s="54" t="n">
        <v>4.9</v>
      </c>
      <c r="E25" s="54" t="n">
        <v>5</v>
      </c>
      <c r="F25" s="57" t="n">
        <v>4.2</v>
      </c>
      <c r="G25" s="54" t="n">
        <v>5</v>
      </c>
      <c r="H25" s="54" t="n">
        <v>4.9</v>
      </c>
      <c r="I25" s="54" t="n">
        <v>4.82</v>
      </c>
    </row>
    <row r="26" customFormat="false" ht="18" hidden="false" customHeight="true" outlineLevel="0" collapsed="false">
      <c r="A26" s="68" t="s">
        <v>86</v>
      </c>
      <c r="B26" s="40" t="n">
        <v>1</v>
      </c>
      <c r="C26" s="57" t="n">
        <v>4.6</v>
      </c>
      <c r="D26" s="54" t="n">
        <v>4.7</v>
      </c>
      <c r="E26" s="54" t="n">
        <v>4.8</v>
      </c>
      <c r="F26" s="69" t="n">
        <v>4</v>
      </c>
      <c r="G26" s="54" t="n">
        <v>5</v>
      </c>
      <c r="H26" s="57" t="n">
        <v>4.5</v>
      </c>
      <c r="I26" s="57" t="n">
        <v>4.6</v>
      </c>
    </row>
    <row r="27" customFormat="false" ht="18" hidden="false" customHeight="true" outlineLevel="0" collapsed="false">
      <c r="A27" s="70" t="s">
        <v>277</v>
      </c>
      <c r="B27" s="49" t="n">
        <v>1</v>
      </c>
      <c r="C27" s="57" t="n">
        <v>4.3</v>
      </c>
      <c r="D27" s="57" t="n">
        <v>4.4</v>
      </c>
      <c r="E27" s="57" t="n">
        <v>4.5</v>
      </c>
      <c r="F27" s="69" t="n">
        <v>3.5</v>
      </c>
      <c r="G27" s="57" t="n">
        <v>4.5</v>
      </c>
      <c r="H27" s="57" t="n">
        <v>4.4</v>
      </c>
      <c r="I27" s="57" t="n">
        <v>4.27</v>
      </c>
    </row>
    <row r="28" customFormat="false" ht="18" hidden="false" customHeight="true" outlineLevel="0" collapsed="false">
      <c r="A28" s="68" t="s">
        <v>98</v>
      </c>
      <c r="B28" s="40" t="n">
        <v>1</v>
      </c>
      <c r="C28" s="57" t="n">
        <v>4.2</v>
      </c>
      <c r="D28" s="57" t="n">
        <v>4.3</v>
      </c>
      <c r="E28" s="57" t="n">
        <v>4.5</v>
      </c>
      <c r="F28" s="69" t="n">
        <v>4.1</v>
      </c>
      <c r="G28" s="54" t="n">
        <v>4.9</v>
      </c>
      <c r="H28" s="57" t="n">
        <v>4.6</v>
      </c>
      <c r="I28" s="57" t="n">
        <v>4.43</v>
      </c>
    </row>
    <row r="29" customFormat="false" ht="18" hidden="false" customHeight="true" outlineLevel="0" collapsed="false">
      <c r="A29" s="67" t="s">
        <v>50</v>
      </c>
      <c r="B29" s="49" t="n">
        <v>1</v>
      </c>
      <c r="C29" s="57" t="n">
        <v>4.4</v>
      </c>
      <c r="D29" s="57" t="n">
        <v>4.5</v>
      </c>
      <c r="E29" s="57" t="n">
        <v>4.6</v>
      </c>
      <c r="F29" s="69" t="n">
        <v>4</v>
      </c>
      <c r="G29" s="57" t="n">
        <v>4.4</v>
      </c>
      <c r="H29" s="57" t="n">
        <v>4.2</v>
      </c>
      <c r="I29" s="57" t="n">
        <v>4.35</v>
      </c>
    </row>
    <row r="30" customFormat="false" ht="18" hidden="false" customHeight="true" outlineLevel="0" collapsed="false">
      <c r="A30" s="68" t="s">
        <v>26</v>
      </c>
      <c r="B30" s="40" t="n">
        <v>1</v>
      </c>
      <c r="C30" s="62" t="n">
        <v>2.5</v>
      </c>
      <c r="D30" s="62" t="n">
        <v>2.8</v>
      </c>
      <c r="E30" s="62" t="n">
        <v>3.1</v>
      </c>
      <c r="F30" s="71" t="n">
        <v>2</v>
      </c>
      <c r="G30" s="62" t="n">
        <v>3.2</v>
      </c>
      <c r="H30" s="62" t="n">
        <v>2.9</v>
      </c>
      <c r="I30" s="62" t="n">
        <v>2.75</v>
      </c>
    </row>
    <row r="31" customFormat="false" ht="18" hidden="false" customHeight="true" outlineLevel="0" collapsed="false">
      <c r="A31" s="67" t="s">
        <v>38</v>
      </c>
      <c r="B31" s="49" t="n">
        <v>1</v>
      </c>
      <c r="C31" s="71" t="n">
        <v>1.8</v>
      </c>
      <c r="D31" s="71" t="n">
        <v>1.9</v>
      </c>
      <c r="E31" s="71" t="n">
        <v>2</v>
      </c>
      <c r="F31" s="54" t="n">
        <v>4.8</v>
      </c>
      <c r="G31" s="62" t="n">
        <v>2.5</v>
      </c>
      <c r="H31" s="71" t="n">
        <v>2</v>
      </c>
      <c r="I31" s="62" t="n">
        <v>2.5</v>
      </c>
    </row>
    <row r="32" customFormat="false" ht="18" hidden="false" customHeight="true" outlineLevel="0" collapsed="false">
      <c r="A32" s="68" t="s">
        <v>112</v>
      </c>
      <c r="B32" s="40" t="n">
        <v>1</v>
      </c>
      <c r="C32" s="57" t="n">
        <v>4.5</v>
      </c>
      <c r="D32" s="57" t="n">
        <v>4.6</v>
      </c>
      <c r="E32" s="54" t="n">
        <v>4.7</v>
      </c>
      <c r="F32" s="69" t="n">
        <v>4</v>
      </c>
      <c r="G32" s="54" t="n">
        <v>4.9</v>
      </c>
      <c r="H32" s="54" t="n">
        <v>4.8</v>
      </c>
      <c r="I32" s="57" t="n">
        <v>4.58</v>
      </c>
    </row>
    <row r="33" customFormat="false" ht="18" hidden="false" customHeight="true" outlineLevel="0" collapsed="false">
      <c r="A33" s="67" t="s">
        <v>64</v>
      </c>
      <c r="B33" s="49" t="n">
        <v>1</v>
      </c>
      <c r="C33" s="57" t="n">
        <v>4.3</v>
      </c>
      <c r="D33" s="57" t="n">
        <v>4.2</v>
      </c>
      <c r="E33" s="54" t="n">
        <v>4.7</v>
      </c>
      <c r="F33" s="57" t="n">
        <v>4.2</v>
      </c>
      <c r="G33" s="57" t="n">
        <v>4.6</v>
      </c>
      <c r="H33" s="57" t="n">
        <v>4.3</v>
      </c>
      <c r="I33" s="57" t="n">
        <v>4.38</v>
      </c>
    </row>
  </sheetData>
  <mergeCells count="2">
    <mergeCell ref="A1:O1"/>
    <mergeCell ref="A19:O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2026-04-08T00:51:21Z</dcterms:created>
  <dc:creator>openpyxl</dc:creator>
  <dc:description/>
  <dc:language>en-US</dc:language>
  <cp:lastModifiedBy/>
  <dcterms:modified xsi:type="dcterms:W3CDTF">2026-04-08T00:51:22Z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