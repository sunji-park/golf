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코스정보_국내" sheetId="1" state="visible" r:id="rId1"/>
    <sheet xmlns:r="http://schemas.openxmlformats.org/officeDocument/2006/relationships" name="코스정보_일본" sheetId="2" state="visible" r:id="rId2"/>
    <sheet xmlns:r="http://schemas.openxmlformats.org/officeDocument/2006/relationships" name="지역별집계" sheetId="3" state="visible" r:id="rId3"/>
    <sheet xmlns:r="http://schemas.openxmlformats.org/officeDocument/2006/relationships" name="서비스확장로드맵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DejaVu Sans"/>
      <family val="2"/>
      <b val="1"/>
      <color rgb="FFFFFFFF"/>
      <sz val="12"/>
    </font>
    <font>
      <name val="Arial"/>
      <charset val="1"/>
      <family val="2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charset val="1"/>
      <family val="2"/>
      <b val="1"/>
      <color rgb="FFFFFFFF"/>
      <sz val="10"/>
    </font>
    <font>
      <name val="Arial"/>
      <charset val="1"/>
      <family val="2"/>
      <color rgb="FF1A1A2E"/>
      <sz val="9"/>
    </font>
    <font>
      <name val="DejaVu Sans"/>
      <family val="2"/>
      <color rgb="FF1A1A2E"/>
      <sz val="9"/>
    </font>
    <font>
      <name val="Arial"/>
      <charset val="1"/>
      <family val="2"/>
      <b val="1"/>
      <color rgb="FF1A1A2E"/>
      <sz val="9"/>
    </font>
    <font>
      <name val="DejaVu Sans"/>
      <family val="2"/>
      <b val="1"/>
      <color rgb="FF1A1A2E"/>
      <sz val="9"/>
    </font>
    <font>
      <name val="DejaVu Sans"/>
      <charset val="1"/>
      <family val="2"/>
      <color rgb="FF1A1A2E"/>
      <sz val="9"/>
    </font>
    <font>
      <name val="DejaVu Sans"/>
      <family val="2"/>
      <b val="1"/>
      <color rgb="FF4B5563"/>
      <sz val="9"/>
    </font>
    <font>
      <name val="DejaVu Sans"/>
      <charset val="1"/>
      <family val="2"/>
      <color theme="1"/>
      <sz val="11"/>
    </font>
    <font>
      <name val="DejaVu Sans"/>
      <charset val="1"/>
      <family val="2"/>
      <b val="1"/>
      <color rgb="FF1A1A2E"/>
      <sz val="9"/>
    </font>
    <font>
      <name val="DejaVu Sans"/>
      <family val="2"/>
      <b val="1"/>
      <color rgb="FF065F46"/>
      <sz val="9"/>
    </font>
    <font>
      <name val="Arial"/>
      <charset val="1"/>
      <family val="2"/>
      <color rgb="FF0563C1"/>
      <sz val="9"/>
      <u val="single"/>
    </font>
    <font>
      <name val="DejaVu Sans"/>
      <family val="2"/>
      <color rgb="FF6B7280"/>
      <sz val="8"/>
    </font>
    <font>
      <name val="DejaVu Sans"/>
      <charset val="1"/>
      <family val="2"/>
      <color rgb="FF6B7280"/>
      <sz val="8"/>
    </font>
    <font>
      <name val="Arial"/>
      <charset val="1"/>
      <family val="2"/>
      <color rgb="FF1A1A2E"/>
      <sz val="8"/>
    </font>
    <font>
      <name val="DejaVu Sans"/>
      <family val="2"/>
      <color rgb="FF1A1A2E"/>
      <sz val="8"/>
    </font>
    <font>
      <name val="DejaVu Sans"/>
      <family val="2"/>
      <color theme="1"/>
      <sz val="11"/>
    </font>
    <font>
      <name val="DejaVu Sans"/>
      <family val="2"/>
      <b val="1"/>
      <color rgb="FFFFFFFF"/>
      <sz val="9"/>
    </font>
    <font>
      <name val="Arial"/>
      <charset val="1"/>
      <family val="2"/>
      <b val="1"/>
      <color rgb="FF00E4C9"/>
      <sz val="11"/>
    </font>
    <font>
      <name val="Arial"/>
      <charset val="1"/>
      <family val="2"/>
      <color rgb="FF374151"/>
      <sz val="9"/>
    </font>
    <font>
      <name val="DejaVu Sans"/>
      <family val="2"/>
      <color rgb="FF374151"/>
      <sz val="9"/>
    </font>
  </fonts>
  <fills count="23">
    <fill>
      <patternFill/>
    </fill>
    <fill>
      <patternFill patternType="gray125"/>
    </fill>
    <fill>
      <patternFill patternType="solid">
        <fgColor rgb="FF100443"/>
        <bgColor rgb="FF1E0C6B"/>
      </patternFill>
    </fill>
    <fill>
      <patternFill patternType="solid">
        <fgColor rgb="FF1E0C6B"/>
        <bgColor rgb="FF100443"/>
      </patternFill>
    </fill>
    <fill>
      <patternFill patternType="solid">
        <fgColor rgb="FFFFFFFF"/>
        <bgColor rgb="FFF9FAFB"/>
      </patternFill>
    </fill>
    <fill>
      <patternFill patternType="solid">
        <fgColor rgb="FFE0F2FE"/>
        <bgColor rgb="FFDBEAFE"/>
      </patternFill>
    </fill>
    <fill>
      <patternFill patternType="solid">
        <fgColor rgb="FFF5F5F5"/>
        <bgColor rgb="FFF3F4F6"/>
      </patternFill>
    </fill>
    <fill>
      <patternFill patternType="solid">
        <fgColor rgb="FFF3F4F6"/>
        <bgColor rgb="FFF5F5F5"/>
      </patternFill>
    </fill>
    <fill>
      <patternFill patternType="solid">
        <fgColor rgb="FFF2F0FC"/>
        <bgColor rgb="FFF3F4F6"/>
      </patternFill>
    </fill>
    <fill>
      <patternFill patternType="solid">
        <fgColor rgb="FFEDE9FE"/>
        <bgColor rgb="FFF2F0FC"/>
      </patternFill>
    </fill>
    <fill>
      <patternFill patternType="solid">
        <fgColor rgb="FF6EE7B7"/>
        <bgColor rgb="FFBBF7D0"/>
      </patternFill>
    </fill>
    <fill>
      <patternFill patternType="solid">
        <fgColor rgb="FFBBF7D0"/>
        <bgColor rgb="FFD1FAE5"/>
      </patternFill>
    </fill>
    <fill>
      <patternFill patternType="solid">
        <fgColor rgb="FFFEF9C3"/>
        <bgColor rgb="FFFEF3C7"/>
      </patternFill>
    </fill>
    <fill>
      <patternFill patternType="solid">
        <fgColor rgb="FFD1FAE5"/>
        <bgColor rgb="FFE0F2FE"/>
      </patternFill>
    </fill>
    <fill>
      <patternFill patternType="solid">
        <fgColor rgb="FFFED7AA"/>
        <bgColor rgb="FFFECACA"/>
      </patternFill>
    </fill>
    <fill>
      <patternFill patternType="solid">
        <fgColor rgb="FFFECACA"/>
        <bgColor rgb="FFFED7AA"/>
      </patternFill>
    </fill>
    <fill>
      <patternFill patternType="solid">
        <fgColor rgb="FFFEF08A"/>
        <bgColor rgb="FFFEF9C3"/>
      </patternFill>
    </fill>
    <fill>
      <patternFill patternType="solid">
        <fgColor rgb="FFFFE4E6"/>
        <bgColor rgb="FFFEE2E2"/>
      </patternFill>
    </fill>
    <fill>
      <patternFill patternType="solid">
        <fgColor rgb="FFDBEAFE"/>
        <bgColor rgb="FFE0F2FE"/>
      </patternFill>
    </fill>
    <fill>
      <patternFill patternType="solid">
        <fgColor rgb="FFFFF0F0"/>
        <bgColor rgb="FFF5F5F5"/>
      </patternFill>
    </fill>
    <fill>
      <patternFill patternType="solid">
        <fgColor rgb="FFF9FAFB"/>
        <bgColor rgb="FFF5F5F5"/>
      </patternFill>
    </fill>
    <fill>
      <patternFill patternType="solid">
        <fgColor rgb="FFFEE2E2"/>
        <bgColor rgb="FFFFE4E6"/>
      </patternFill>
    </fill>
    <fill>
      <patternFill patternType="solid">
        <fgColor rgb="FFFEF3C7"/>
        <bgColor rgb="FFFEF9C3"/>
      </patternFill>
    </fill>
  </fills>
  <borders count="3">
    <border>
      <left/>
      <right/>
      <top/>
      <bottom/>
      <diagonal/>
    </border>
    <border>
      <left style="thin">
        <color rgb="FFD0CDE8"/>
      </left>
      <right style="thin">
        <color rgb="FFD0CDE8"/>
      </right>
      <top style="thin">
        <color rgb="FFD0CDE8"/>
      </top>
      <bottom style="thin">
        <color rgb="FFD0CDE8"/>
      </bottom>
      <diagonal/>
    </border>
    <border>
      <left style="thin">
        <color rgb="FFD0CDE8"/>
      </left>
      <right style="thin">
        <color rgb="FFD0CDE8"/>
      </right>
      <top style="medium">
        <color rgb="FF8B85C1"/>
      </top>
      <bottom style="thin">
        <color rgb="FFD0CD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3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3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general" vertical="bottom"/>
    </xf>
    <xf numFmtId="0" fontId="12" fillId="8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general" vertical="bottom"/>
    </xf>
    <xf numFmtId="0" fontId="9" fillId="8" borderId="1" applyAlignment="1" pivotButton="0" quotePrefix="0" xfId="0">
      <alignment horizontal="left" vertical="center"/>
    </xf>
    <xf numFmtId="164" fontId="11" fillId="10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2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/>
    </xf>
    <xf numFmtId="164" fontId="11" fillId="14" borderId="1" applyAlignment="1" pivotButton="0" quotePrefix="0" xfId="0">
      <alignment horizontal="center" vertical="center"/>
    </xf>
    <xf numFmtId="164" fontId="11" fillId="15" borderId="1" applyAlignment="1" pivotButton="0" quotePrefix="0" xfId="0">
      <alignment horizontal="center" vertical="center"/>
    </xf>
    <xf numFmtId="2" fontId="11" fillId="1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2" fontId="11" fillId="10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/>
    </xf>
    <xf numFmtId="164" fontId="11" fillId="16" borderId="1" applyAlignment="1" pivotButton="0" quotePrefix="0" xfId="0">
      <alignment horizontal="center" vertical="center"/>
    </xf>
    <xf numFmtId="2" fontId="11" fillId="16" borderId="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 wrapText="1"/>
    </xf>
    <xf numFmtId="3" fontId="9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general" vertical="bottom"/>
    </xf>
    <xf numFmtId="0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 wrapText="1"/>
    </xf>
    <xf numFmtId="3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164" fontId="9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general" vertical="bottom"/>
    </xf>
    <xf numFmtId="0" fontId="11" fillId="8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/>
    </xf>
    <xf numFmtId="0" fontId="12" fillId="18" borderId="1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5" fillId="4" borderId="2" applyAlignment="1" pivotButton="0" quotePrefix="0" xfId="0">
      <alignment horizontal="general" vertical="bottom"/>
    </xf>
    <xf numFmtId="164" fontId="11" fillId="14" borderId="2" applyAlignment="1" pivotButton="0" quotePrefix="0" xfId="0">
      <alignment horizontal="center" vertical="center"/>
    </xf>
    <xf numFmtId="164" fontId="11" fillId="16" borderId="2" applyAlignment="1" pivotButton="0" quotePrefix="0" xfId="0">
      <alignment horizontal="center" vertical="center"/>
    </xf>
    <xf numFmtId="2" fontId="11" fillId="14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left" vertical="center"/>
    </xf>
    <xf numFmtId="0" fontId="15" fillId="8" borderId="2" applyAlignment="1" pivotButton="0" quotePrefix="0" xfId="0">
      <alignment horizontal="general" vertical="bottom"/>
    </xf>
    <xf numFmtId="0" fontId="9" fillId="4" borderId="2" applyAlignment="1" pivotButton="0" quotePrefix="0" xfId="0">
      <alignment horizontal="left" vertical="center"/>
    </xf>
    <xf numFmtId="0" fontId="19" fillId="0" borderId="0" applyAlignment="1" pivotButton="0" quotePrefix="0" xfId="0">
      <alignment horizontal="general" vertical="bottom"/>
    </xf>
    <xf numFmtId="0" fontId="21" fillId="15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3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3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general" vertical="bottom"/>
    </xf>
    <xf numFmtId="0" fontId="12" fillId="8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general" vertical="bottom"/>
    </xf>
    <xf numFmtId="0" fontId="9" fillId="8" borderId="1" applyAlignment="1" pivotButton="0" quotePrefix="0" xfId="0">
      <alignment horizontal="left" vertical="center"/>
    </xf>
    <xf numFmtId="164" fontId="11" fillId="10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2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/>
    </xf>
    <xf numFmtId="164" fontId="11" fillId="14" borderId="1" applyAlignment="1" pivotButton="0" quotePrefix="0" xfId="0">
      <alignment horizontal="center" vertical="center"/>
    </xf>
    <xf numFmtId="164" fontId="11" fillId="15" borderId="1" applyAlignment="1" pivotButton="0" quotePrefix="0" xfId="0">
      <alignment horizontal="center" vertical="center"/>
    </xf>
    <xf numFmtId="2" fontId="11" fillId="1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2" fontId="11" fillId="10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/>
    </xf>
    <xf numFmtId="164" fontId="11" fillId="16" borderId="1" applyAlignment="1" pivotButton="0" quotePrefix="0" xfId="0">
      <alignment horizontal="center" vertical="center"/>
    </xf>
    <xf numFmtId="2" fontId="11" fillId="16" borderId="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 wrapText="1"/>
    </xf>
    <xf numFmtId="3" fontId="9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general" vertical="bottom"/>
    </xf>
    <xf numFmtId="0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 wrapText="1"/>
    </xf>
    <xf numFmtId="3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164" fontId="9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general" vertical="bottom"/>
    </xf>
    <xf numFmtId="0" fontId="11" fillId="8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/>
    </xf>
    <xf numFmtId="0" fontId="12" fillId="18" borderId="1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5" fillId="4" borderId="2" applyAlignment="1" pivotButton="0" quotePrefix="0" xfId="0">
      <alignment horizontal="general" vertical="bottom"/>
    </xf>
    <xf numFmtId="164" fontId="11" fillId="14" borderId="2" applyAlignment="1" pivotButton="0" quotePrefix="0" xfId="0">
      <alignment horizontal="center" vertical="center"/>
    </xf>
    <xf numFmtId="164" fontId="11" fillId="16" borderId="2" applyAlignment="1" pivotButton="0" quotePrefix="0" xfId="0">
      <alignment horizontal="center" vertical="center"/>
    </xf>
    <xf numFmtId="2" fontId="11" fillId="14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left" vertical="center"/>
    </xf>
    <xf numFmtId="0" fontId="15" fillId="8" borderId="2" applyAlignment="1" pivotButton="0" quotePrefix="0" xfId="0">
      <alignment horizontal="general" vertical="bottom"/>
    </xf>
    <xf numFmtId="0" fontId="9" fillId="4" borderId="2" applyAlignment="1" pivotButton="0" quotePrefix="0" xfId="0">
      <alignment horizontal="left" vertical="center"/>
    </xf>
    <xf numFmtId="0" fontId="19" fillId="0" borderId="0" applyAlignment="1" pivotButton="0" quotePrefix="0" xfId="0">
      <alignment horizontal="general" vertical="bottom"/>
    </xf>
    <xf numFmtId="0" fontId="21" fillId="15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EF3C7"/>
      <rgbColor rgb="FFFF00FF"/>
      <rgbColor rgb="FF00FFFF"/>
      <rgbColor rgb="FF800000"/>
      <rgbColor rgb="FF008000"/>
      <rgbColor rgb="FF1E0C6B"/>
      <rgbColor rgb="FF808000"/>
      <rgbColor rgb="FF800080"/>
      <rgbColor rgb="FF065F46"/>
      <rgbColor rgb="FFFECACA"/>
      <rgbColor rgb="FF808080"/>
      <rgbColor rgb="FFF2F0FC"/>
      <rgbColor rgb="FF993366"/>
      <rgbColor rgb="FFFEF9C3"/>
      <rgbColor rgb="FFE0F2FE"/>
      <rgbColor rgb="FF660066"/>
      <rgbColor rgb="FFF3F4F6"/>
      <rgbColor rgb="FF0563C1"/>
      <rgbColor rgb="FFD0CDE8"/>
      <rgbColor rgb="FF100443"/>
      <rgbColor rgb="FFFF00FF"/>
      <rgbColor rgb="FFFFF0F0"/>
      <rgbColor rgb="FF00FFFF"/>
      <rgbColor rgb="FF800080"/>
      <rgbColor rgb="FF800000"/>
      <rgbColor rgb="FF008080"/>
      <rgbColor rgb="FF0000FF"/>
      <rgbColor rgb="FF00E4C9"/>
      <rgbColor rgb="FFDBEAFE"/>
      <rgbColor rgb="FFD1FAE5"/>
      <rgbColor rgb="FFFEF08A"/>
      <rgbColor rgb="FFBBF7D0"/>
      <rgbColor rgb="FFFEE2E2"/>
      <rgbColor rgb="FFEDE9FE"/>
      <rgbColor rgb="FFFED7AA"/>
      <rgbColor rgb="FF3366FF"/>
      <rgbColor rgb="FF6EE7B7"/>
      <rgbColor rgb="FFF5F5F5"/>
      <rgbColor rgb="FFFFE4E6"/>
      <rgbColor rgb="FFF9FAFB"/>
      <rgbColor rgb="FFFF6600"/>
      <rgbColor rgb="FF6B7280"/>
      <rgbColor rgb="FF8B85C1"/>
      <rgbColor rgb="FF003366"/>
      <rgbColor rgb="FF339966"/>
      <rgbColor rgb="FF003300"/>
      <rgbColor rgb="FF1A1A2E"/>
      <rgbColor rgb="FF993300"/>
      <rgbColor rgb="FF993366"/>
      <rgbColor rgb="FF4B5563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nscc.co.kr/" TargetMode="External" Id="rId1"/><Relationship Type="http://schemas.openxmlformats.org/officeDocument/2006/relationships/hyperlink" Target="https://www.lakeside.kr/" TargetMode="External" Id="rId2"/><Relationship Type="http://schemas.openxmlformats.org/officeDocument/2006/relationships/hyperlink" Target="https://www.eastvalley.co.kr/" TargetMode="External" Id="rId3"/><Relationship Type="http://schemas.openxmlformats.org/officeDocument/2006/relationships/hyperlink" Target="https://www.hanyangcc.com/" TargetMode="External" Id="rId4"/><Relationship Type="http://schemas.openxmlformats.org/officeDocument/2006/relationships/hyperlink" Target="https://www.elysian.co.kr/" TargetMode="External" Id="rId5"/><Relationship Type="http://schemas.openxmlformats.org/officeDocument/2006/relationships/hyperlink" Target="https://www.golfzoncounty.com/" TargetMode="External" Id="rId6"/><Relationship Type="http://schemas.openxmlformats.org/officeDocument/2006/relationships/hyperlink" Target="https://www.yusungcc.co.kr/" TargetMode="External" Id="rId7"/><Relationship Type="http://schemas.openxmlformats.org/officeDocument/2006/relationships/hyperlink" Target="https://sj.blueone.com/" TargetMode="External" Id="rId8"/><Relationship Type="http://schemas.openxmlformats.org/officeDocument/2006/relationships/hyperlink" Target="https://www.gayacc.com/" TargetMode="External" Id="rId9"/><Relationship Type="http://schemas.openxmlformats.org/officeDocument/2006/relationships/hyperlink" Target="https://www.ninebridges.co.kr/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://www.taiheiyoclub.com/gotemba" TargetMode="External" Id="rId1"/><Relationship Type="http://schemas.openxmlformats.org/officeDocument/2006/relationships/hyperlink" Target="https://hironogolfclub.jp/" TargetMode="External" Id="rId2"/><Relationship Type="http://schemas.openxmlformats.org/officeDocument/2006/relationships/hyperlink" Target="https://www.kasumigasekicc.or.jp/" TargetMode="External" Id="rId3"/><Relationship Type="http://schemas.openxmlformats.org/officeDocument/2006/relationships/hyperlink" Target="https://www.princehotels.com/kawana/facilities/kawanagolf/" TargetMode="External" Id="rId4"/><Relationship Type="http://schemas.openxmlformats.org/officeDocument/2006/relationships/hyperlink" Target="https://www.kogagolfclub.jp/" TargetMode="External" Id="rId5"/><Relationship Type="http://schemas.openxmlformats.org/officeDocument/2006/relationships/hyperlink" Target="http://www.pacificgolf.co.jp/okinawa/" TargetMode="External" Id="rId6"/><Relationship Type="http://schemas.openxmlformats.org/officeDocument/2006/relationships/hyperlink" Target="https://www.princehotels.com/en/golf/karu72/" TargetMode="External" Id="rId7"/><Relationship Type="http://schemas.openxmlformats.org/officeDocument/2006/relationships/hyperlink" Target="https://www.tokyogolfclub.jp/" TargetMode="External" Id="rId8"/><Relationship Type="http://schemas.openxmlformats.org/officeDocument/2006/relationships/hyperlink" Target="https://www.biwakocc.com/" TargetMode="External" Id="rId9"/><Relationship Type="http://schemas.openxmlformats.org/officeDocument/2006/relationships/hyperlink" Target="https://www.accordia-golf.com/course/akodanarashinogolf/" TargetMode="External" Id="rId1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512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T20" activeCellId="0" sqref="T20"/>
    </sheetView>
  </sheetViews>
  <sheetFormatPr baseColWidth="8" defaultColWidth="8.71484375" defaultRowHeight="15" customHeight="0" zeroHeight="0" outlineLevelRow="0"/>
  <cols>
    <col width="5" customWidth="1" style="96" min="1" max="1"/>
    <col width="8" customWidth="1" style="96" min="2" max="2"/>
    <col width="22" customWidth="1" style="96" min="3" max="3"/>
    <col width="8" customWidth="1" style="96" min="4" max="4"/>
    <col width="47.29" customWidth="1" style="96" min="5" max="5"/>
    <col width="6" customWidth="1" style="96" min="6" max="6"/>
    <col width="8" customWidth="1" style="96" min="7" max="7"/>
    <col width="10" customWidth="1" style="96" min="8" max="8"/>
    <col width="25.71" customWidth="1" style="96" min="9" max="9"/>
    <col width="8" customWidth="1" style="96" min="10" max="10"/>
    <col width="9" customWidth="1" style="96" min="11" max="11"/>
    <col width="8" customWidth="1" style="96" min="12" max="15"/>
    <col width="7" customWidth="1" style="96" min="16" max="16"/>
    <col width="8" customWidth="1" style="96" min="17" max="17"/>
    <col width="10.71" customWidth="1" style="96" min="18" max="18"/>
    <col width="20.71" customWidth="1" style="96" min="19" max="19"/>
    <col width="32" customWidth="1" style="96" min="20" max="20"/>
    <col width="12" customWidth="1" style="96" min="21" max="21"/>
    <col width="16" customWidth="1" style="96" min="22" max="22"/>
  </cols>
  <sheetData>
    <row r="1" ht="27.75" customHeight="1" s="97">
      <c r="A1" s="98" t="inlineStr">
        <is>
          <t>⛳ GolfNow — 국내 골프장 마스터 (총 507개)</t>
        </is>
      </c>
    </row>
    <row r="2" ht="36" customHeight="1" s="97">
      <c r="A2" s="99" t="inlineStr">
        <is>
          <t>No.</t>
        </is>
      </c>
      <c r="B2" s="100" t="inlineStr">
        <is>
          <t>지역</t>
        </is>
      </c>
      <c r="C2" s="100" t="inlineStr">
        <is>
          <t>골프장명</t>
        </is>
      </c>
      <c r="D2" s="100" t="inlineStr">
        <is>
          <t>세부종류</t>
        </is>
      </c>
      <c r="E2" s="100" t="inlineStr">
        <is>
          <t>소재지</t>
        </is>
      </c>
      <c r="F2" s="100" t="inlineStr">
        <is>
          <t>홀수</t>
        </is>
      </c>
      <c r="G2" s="100" t="inlineStr">
        <is>
          <t>파(Par)
=홀수×4</t>
        </is>
      </c>
      <c r="H2" s="100" t="inlineStr">
        <is>
          <t>총면적
(㎡)</t>
        </is>
      </c>
      <c r="I2" s="100" t="inlineStr">
        <is>
          <t>사업자명</t>
        </is>
      </c>
      <c r="J2" s="100" t="inlineStr">
        <is>
          <t>티박스
(1-5)</t>
        </is>
      </c>
      <c r="K2" s="100" t="inlineStr">
        <is>
          <t>페어웨이
(1-5)</t>
        </is>
      </c>
      <c r="L2" s="100" t="inlineStr">
        <is>
          <t>그린
(1-5)</t>
        </is>
      </c>
      <c r="M2" s="100" t="inlineStr">
        <is>
          <t>페이스
(1-5)</t>
        </is>
      </c>
      <c r="N2" s="100" t="inlineStr">
        <is>
          <t>캐디
(1-5)</t>
        </is>
      </c>
      <c r="O2" s="100" t="inlineStr">
        <is>
          <t>종합평점</t>
        </is>
      </c>
      <c r="P2" s="100" t="inlineStr">
        <is>
          <t>슬로프</t>
        </is>
      </c>
      <c r="Q2" s="100" t="inlineStr">
        <is>
          <t>코스
레이팅</t>
        </is>
      </c>
      <c r="R2" s="100" t="inlineStr">
        <is>
          <t>난이도</t>
        </is>
      </c>
      <c r="S2" s="100" t="inlineStr">
        <is>
          <t>서비스상태</t>
        </is>
      </c>
      <c r="T2" s="100" t="inlineStr">
        <is>
          <t>공식 홈페이지</t>
        </is>
      </c>
      <c r="U2" s="100" t="inlineStr">
        <is>
          <t>개장년도</t>
        </is>
      </c>
      <c r="V2" s="100" t="inlineStr">
        <is>
          <t>전화번호</t>
        </is>
      </c>
      <c r="W2" s="100" t="inlineStr">
        <is>
          <t>비고</t>
        </is>
      </c>
    </row>
    <row r="3" ht="18" customHeight="1" s="97">
      <c r="A3" s="101" t="n">
        <v>1</v>
      </c>
      <c r="B3" s="102" t="inlineStr">
        <is>
          <t>경기</t>
        </is>
      </c>
      <c r="C3" s="103" t="inlineStr">
        <is>
          <t>360도</t>
        </is>
      </c>
      <c r="D3" s="104" t="inlineStr">
        <is>
          <t>대중제</t>
        </is>
      </c>
      <c r="E3" s="105" t="inlineStr">
        <is>
          <t>여주시 강천면 부평로 609( 강천면 부평리 산59-3 일원)</t>
        </is>
      </c>
      <c r="F3" s="101" t="n">
        <v>18</v>
      </c>
      <c r="G3" s="101">
        <f>F3*4</f>
        <v/>
      </c>
      <c r="H3" s="106" t="n">
        <v>818914</v>
      </c>
      <c r="I3" s="107" t="inlineStr">
        <is>
          <t>제이타우젠트㈜(김태호)</t>
        </is>
      </c>
      <c r="J3" s="108" t="n"/>
      <c r="K3" s="108" t="n"/>
      <c r="L3" s="108" t="n"/>
      <c r="M3" s="108" t="n"/>
      <c r="N3" s="108" t="n"/>
      <c r="O3" s="108" t="n"/>
      <c r="P3" s="101" t="n"/>
      <c r="Q3" s="109" t="n"/>
      <c r="R3" s="108" t="n"/>
      <c r="S3" s="110" t="inlineStr">
        <is>
          <t>🔲 데이터수집예정</t>
        </is>
      </c>
      <c r="T3" s="107" t="n"/>
      <c r="W3" s="111" t="n"/>
    </row>
    <row r="4" ht="18" customHeight="1" s="97">
      <c r="A4" s="112" t="n">
        <v>2</v>
      </c>
      <c r="B4" s="113" t="inlineStr">
        <is>
          <t>경기</t>
        </is>
      </c>
      <c r="C4" s="114" t="inlineStr">
        <is>
          <t>88CC</t>
        </is>
      </c>
      <c r="D4" s="115" t="inlineStr">
        <is>
          <t>회원제</t>
        </is>
      </c>
      <c r="E4" s="116" t="inlineStr">
        <is>
          <t>용인시 기흥구 석성로 521번길 169</t>
        </is>
      </c>
      <c r="F4" s="112" t="n">
        <v>36</v>
      </c>
      <c r="G4" s="112">
        <f>F4*4</f>
        <v/>
      </c>
      <c r="H4" s="117" t="n">
        <v>2814762</v>
      </c>
      <c r="I4" s="118" t="inlineStr">
        <is>
          <t>국가보훈처장</t>
        </is>
      </c>
      <c r="J4" s="108" t="n"/>
      <c r="K4" s="108" t="n"/>
      <c r="L4" s="108" t="n"/>
      <c r="M4" s="108" t="n"/>
      <c r="N4" s="108" t="n"/>
      <c r="O4" s="108" t="n"/>
      <c r="P4" s="112" t="n"/>
      <c r="Q4" s="119" t="n"/>
      <c r="R4" s="108" t="n"/>
      <c r="S4" s="110" t="inlineStr">
        <is>
          <t>🔲 데이터수집예정</t>
        </is>
      </c>
      <c r="T4" s="120" t="inlineStr">
        <is>
          <t>https://www.88cc.co.kr/</t>
        </is>
      </c>
      <c r="U4" s="96" t="n">
        <v>1988</v>
      </c>
      <c r="V4" s="96" t="inlineStr">
        <is>
          <t>031-332-8811</t>
        </is>
      </c>
      <c r="W4" s="121" t="n"/>
    </row>
    <row r="5" ht="18" customHeight="1" s="97">
      <c r="A5" s="101" t="n">
        <v>3</v>
      </c>
      <c r="B5" s="102" t="inlineStr">
        <is>
          <t>경기</t>
        </is>
      </c>
      <c r="C5" s="103" t="inlineStr">
        <is>
          <t>ROUTE 52CC</t>
        </is>
      </c>
      <c r="D5" s="104" t="inlineStr">
        <is>
          <t>대중제</t>
        </is>
      </c>
      <c r="E5" s="105" t="inlineStr">
        <is>
          <t>여주시 북내면 중암1길 36</t>
        </is>
      </c>
      <c r="F5" s="101" t="n">
        <v>18</v>
      </c>
      <c r="G5" s="101">
        <f>F5*4</f>
        <v/>
      </c>
      <c r="H5" s="106" t="n">
        <v>981310</v>
      </c>
      <c r="I5" s="107" t="inlineStr">
        <is>
          <t>케이알레저주식회사(유용승)</t>
        </is>
      </c>
      <c r="J5" s="108" t="n"/>
      <c r="K5" s="108" t="n"/>
      <c r="L5" s="108" t="n"/>
      <c r="M5" s="108" t="n"/>
      <c r="N5" s="108" t="n"/>
      <c r="O5" s="108" t="n"/>
      <c r="P5" s="101" t="n"/>
      <c r="Q5" s="109" t="n"/>
      <c r="R5" s="108" t="n"/>
      <c r="S5" s="110" t="inlineStr">
        <is>
          <t>🔲 데이터수집예정</t>
        </is>
      </c>
      <c r="T5" s="107" t="n"/>
      <c r="W5" s="111" t="n"/>
    </row>
    <row r="6" ht="18" customHeight="1" s="97">
      <c r="A6" s="112" t="n">
        <v>4</v>
      </c>
      <c r="B6" s="113" t="inlineStr">
        <is>
          <t>경기</t>
        </is>
      </c>
      <c r="C6" s="122" t="inlineStr">
        <is>
          <t>㈜캐슬렉스서울 캐슬렉스골프클럽</t>
        </is>
      </c>
      <c r="D6" s="115" t="inlineStr">
        <is>
          <t>회원제</t>
        </is>
      </c>
      <c r="E6" s="116" t="inlineStr">
        <is>
          <t>하남시 감이로 317(감이동)</t>
        </is>
      </c>
      <c r="F6" s="112" t="n">
        <v>18</v>
      </c>
      <c r="G6" s="112">
        <f>F6*4</f>
        <v/>
      </c>
      <c r="H6" s="117" t="n">
        <v>1756532</v>
      </c>
      <c r="I6" s="118" t="inlineStr">
        <is>
          <t>㈜캐슬렉스서울(이성무)</t>
        </is>
      </c>
      <c r="J6" s="108" t="n"/>
      <c r="K6" s="108" t="n"/>
      <c r="L6" s="108" t="n"/>
      <c r="M6" s="108" t="n"/>
      <c r="N6" s="108" t="n"/>
      <c r="O6" s="108" t="n"/>
      <c r="P6" s="112" t="n"/>
      <c r="Q6" s="119" t="n"/>
      <c r="R6" s="108" t="n"/>
      <c r="S6" s="110" t="inlineStr">
        <is>
          <t>🔲 데이터수집예정</t>
        </is>
      </c>
      <c r="T6" s="118" t="n"/>
      <c r="W6" s="121" t="n"/>
    </row>
    <row r="7" ht="18" customHeight="1" s="97">
      <c r="A7" s="101" t="n">
        <v>5</v>
      </c>
      <c r="B7" s="102" t="inlineStr">
        <is>
          <t>경기</t>
        </is>
      </c>
      <c r="C7" s="123" t="inlineStr">
        <is>
          <t>강남300컨트리클럽</t>
        </is>
      </c>
      <c r="D7" s="115" t="inlineStr">
        <is>
          <t>회원제</t>
        </is>
      </c>
      <c r="E7" s="105" t="inlineStr">
        <is>
          <t>광주시 새말길 353(목동)</t>
        </is>
      </c>
      <c r="F7" s="101" t="n">
        <v>18</v>
      </c>
      <c r="G7" s="101">
        <f>F7*4</f>
        <v/>
      </c>
      <c r="H7" s="106" t="n">
        <v>830063</v>
      </c>
      <c r="I7" s="107" t="inlineStr">
        <is>
          <t>자인관광 주식회사(김한별)</t>
        </is>
      </c>
      <c r="J7" s="108" t="n"/>
      <c r="K7" s="108" t="n"/>
      <c r="L7" s="108" t="n"/>
      <c r="M7" s="108" t="n"/>
      <c r="N7" s="108" t="n"/>
      <c r="O7" s="108" t="n"/>
      <c r="P7" s="101" t="n"/>
      <c r="Q7" s="109" t="n"/>
      <c r="R7" s="108" t="n"/>
      <c r="S7" s="110" t="inlineStr">
        <is>
          <t>🔲 데이터수집예정</t>
        </is>
      </c>
      <c r="T7" s="107" t="n"/>
      <c r="W7" s="111" t="n"/>
    </row>
    <row r="8" ht="18" customHeight="1" s="97">
      <c r="A8" s="112" t="n">
        <v>6</v>
      </c>
      <c r="B8" s="113" t="inlineStr">
        <is>
          <t>경기</t>
        </is>
      </c>
      <c r="C8" s="122" t="inlineStr">
        <is>
          <t>고양컨트리클럽</t>
        </is>
      </c>
      <c r="D8" s="104" t="inlineStr">
        <is>
          <t>대중제</t>
        </is>
      </c>
      <c r="E8" s="116" t="inlineStr">
        <is>
          <t>고양시 덕양구 흥도로 304-23</t>
        </is>
      </c>
      <c r="F8" s="112" t="n">
        <v>9</v>
      </c>
      <c r="G8" s="112">
        <f>F8*4</f>
        <v/>
      </c>
      <c r="H8" s="117" t="n">
        <v>295598</v>
      </c>
      <c r="I8" s="118" t="inlineStr">
        <is>
          <t>김기자</t>
        </is>
      </c>
      <c r="J8" s="108" t="n"/>
      <c r="K8" s="108" t="n"/>
      <c r="L8" s="108" t="n"/>
      <c r="M8" s="108" t="n"/>
      <c r="N8" s="108" t="n"/>
      <c r="O8" s="108" t="n"/>
      <c r="P8" s="112" t="n"/>
      <c r="Q8" s="119" t="n"/>
      <c r="R8" s="108" t="n"/>
      <c r="S8" s="110" t="inlineStr">
        <is>
          <t>🔲 데이터수집예정</t>
        </is>
      </c>
      <c r="T8" s="118" t="n"/>
      <c r="W8" s="121" t="n"/>
    </row>
    <row r="9" ht="18" customHeight="1" s="97">
      <c r="A9" s="101" t="n">
        <v>7</v>
      </c>
      <c r="B9" s="102" t="inlineStr">
        <is>
          <t>경기</t>
        </is>
      </c>
      <c r="C9" s="123" t="inlineStr">
        <is>
          <t>곤지암GC</t>
        </is>
      </c>
      <c r="D9" s="115" t="inlineStr">
        <is>
          <t>회원제</t>
        </is>
      </c>
      <c r="E9" s="105" t="inlineStr">
        <is>
          <t>광주시 도척면 도척윗로 280</t>
        </is>
      </c>
      <c r="F9" s="101" t="n">
        <v>18</v>
      </c>
      <c r="G9" s="101">
        <f>F9*4</f>
        <v/>
      </c>
      <c r="H9" s="106" t="n">
        <v>1038998</v>
      </c>
      <c r="I9" s="107" t="inlineStr">
        <is>
          <t>주식회사 디앤오(이동언)</t>
        </is>
      </c>
      <c r="J9" s="108" t="n"/>
      <c r="K9" s="108" t="n"/>
      <c r="L9" s="108" t="n"/>
      <c r="M9" s="108" t="n"/>
      <c r="N9" s="108" t="n"/>
      <c r="O9" s="108" t="n"/>
      <c r="P9" s="101" t="n"/>
      <c r="Q9" s="109" t="n"/>
      <c r="R9" s="108" t="n"/>
      <c r="S9" s="110" t="inlineStr">
        <is>
          <t>🔲 데이터수집예정</t>
        </is>
      </c>
      <c r="T9" s="124" t="inlineStr">
        <is>
          <t>https://www.konjiamgolfclub.co.kr/</t>
        </is>
      </c>
      <c r="U9" s="96" t="n">
        <v>2008</v>
      </c>
      <c r="V9" s="96" t="inlineStr">
        <is>
          <t>031-760-3555</t>
        </is>
      </c>
      <c r="W9" s="125" t="n"/>
    </row>
    <row r="10" ht="18" customHeight="1" s="97">
      <c r="A10" s="112" t="n">
        <v>8</v>
      </c>
      <c r="B10" s="113" t="inlineStr">
        <is>
          <t>경기</t>
        </is>
      </c>
      <c r="C10" s="122" t="inlineStr">
        <is>
          <t>골드CC</t>
        </is>
      </c>
      <c r="D10" s="115" t="inlineStr">
        <is>
          <t>회원제</t>
        </is>
      </c>
      <c r="E10" s="116" t="inlineStr">
        <is>
          <t>용인시 기흥구 기흥단지로 398</t>
        </is>
      </c>
      <c r="F10" s="112" t="n">
        <v>36</v>
      </c>
      <c r="G10" s="112">
        <f>F10*4</f>
        <v/>
      </c>
      <c r="H10" s="117" t="n">
        <v>1366197</v>
      </c>
      <c r="I10" s="118" t="inlineStr">
        <is>
          <t>이응로</t>
        </is>
      </c>
      <c r="J10" s="108" t="n"/>
      <c r="K10" s="108" t="n"/>
      <c r="L10" s="108" t="n"/>
      <c r="M10" s="108" t="n"/>
      <c r="N10" s="108" t="n"/>
      <c r="O10" s="108" t="n"/>
      <c r="P10" s="112" t="n"/>
      <c r="Q10" s="119" t="n"/>
      <c r="R10" s="108" t="n"/>
      <c r="S10" s="110" t="inlineStr">
        <is>
          <t>🔲 데이터수집예정</t>
        </is>
      </c>
      <c r="T10" s="118" t="n"/>
      <c r="W10" s="121" t="n"/>
    </row>
    <row r="11" ht="18" customHeight="1" s="97">
      <c r="A11" s="101" t="n">
        <v>9</v>
      </c>
      <c r="B11" s="102" t="inlineStr">
        <is>
          <t>경기</t>
        </is>
      </c>
      <c r="C11" s="123" t="inlineStr">
        <is>
          <t>골프존카운티 안성H</t>
        </is>
      </c>
      <c r="D11" s="104" t="inlineStr">
        <is>
          <t>대중제</t>
        </is>
      </c>
      <c r="E11" s="105" t="inlineStr">
        <is>
          <t>안성시 보개면 보삼로 302</t>
        </is>
      </c>
      <c r="F11" s="101" t="n">
        <v>18</v>
      </c>
      <c r="G11" s="101">
        <f>F11*4</f>
        <v/>
      </c>
      <c r="H11" s="106" t="n">
        <v>1106490</v>
      </c>
      <c r="I11" s="107" t="inlineStr">
        <is>
          <t>㈜골프존카운티(서상현)</t>
        </is>
      </c>
      <c r="J11" s="108" t="n"/>
      <c r="K11" s="108" t="n"/>
      <c r="L11" s="108" t="n"/>
      <c r="M11" s="108" t="n"/>
      <c r="N11" s="108" t="n"/>
      <c r="O11" s="108" t="n"/>
      <c r="P11" s="101" t="n"/>
      <c r="Q11" s="109" t="n"/>
      <c r="R11" s="108" t="n"/>
      <c r="S11" s="110" t="inlineStr">
        <is>
          <t>🔲 데이터수집예정</t>
        </is>
      </c>
      <c r="T11" s="107" t="n"/>
      <c r="W11" s="111" t="n"/>
    </row>
    <row r="12" ht="18" customHeight="1" s="97">
      <c r="A12" s="112" t="n">
        <v>10</v>
      </c>
      <c r="B12" s="113" t="inlineStr">
        <is>
          <t>경기</t>
        </is>
      </c>
      <c r="C12" s="122" t="inlineStr">
        <is>
          <t>골프존카운티 안성W</t>
        </is>
      </c>
      <c r="D12" s="104" t="inlineStr">
        <is>
          <t>대중제</t>
        </is>
      </c>
      <c r="E12" s="116" t="inlineStr">
        <is>
          <t>안성시 양성면 교동길 19-70</t>
        </is>
      </c>
      <c r="F12" s="112" t="n">
        <v>9</v>
      </c>
      <c r="G12" s="112">
        <f>F12*4</f>
        <v/>
      </c>
      <c r="H12" s="117" t="n">
        <v>565751</v>
      </c>
      <c r="I12" s="118" t="inlineStr">
        <is>
          <t>㈜골프존카운티(서상현)</t>
        </is>
      </c>
      <c r="J12" s="108" t="n"/>
      <c r="K12" s="108" t="n"/>
      <c r="L12" s="108" t="n"/>
      <c r="M12" s="108" t="n"/>
      <c r="N12" s="108" t="n"/>
      <c r="O12" s="108" t="n"/>
      <c r="P12" s="112" t="n"/>
      <c r="Q12" s="119" t="n"/>
      <c r="R12" s="108" t="n"/>
      <c r="S12" s="110" t="inlineStr">
        <is>
          <t>🔲 데이터수집예정</t>
        </is>
      </c>
      <c r="T12" s="118" t="n"/>
      <c r="W12" s="121" t="n"/>
    </row>
    <row r="13" ht="18" customHeight="1" s="97">
      <c r="A13" s="101" t="n">
        <v>11</v>
      </c>
      <c r="B13" s="102" t="inlineStr">
        <is>
          <t>경기</t>
        </is>
      </c>
      <c r="C13" s="123" t="inlineStr">
        <is>
          <t>골프클럽Q</t>
        </is>
      </c>
      <c r="D13" s="104" t="inlineStr">
        <is>
          <t>대중제</t>
        </is>
      </c>
      <c r="E13" s="105" t="inlineStr">
        <is>
          <t>안성시 죽산면 장계길 20-229</t>
        </is>
      </c>
      <c r="F13" s="101" t="n">
        <v>18</v>
      </c>
      <c r="G13" s="101">
        <f>F13*4</f>
        <v/>
      </c>
      <c r="H13" s="106" t="n">
        <v>1001876</v>
      </c>
      <c r="I13" s="107" t="inlineStr">
        <is>
          <t>골프클럽큐레저(전상필)</t>
        </is>
      </c>
      <c r="J13" s="108" t="n"/>
      <c r="K13" s="108" t="n"/>
      <c r="L13" s="108" t="n"/>
      <c r="M13" s="108" t="n"/>
      <c r="N13" s="108" t="n"/>
      <c r="O13" s="108" t="n"/>
      <c r="P13" s="101" t="n"/>
      <c r="Q13" s="109" t="n"/>
      <c r="R13" s="108" t="n"/>
      <c r="S13" s="110" t="inlineStr">
        <is>
          <t>🔲 데이터수집예정</t>
        </is>
      </c>
      <c r="T13" s="107" t="n"/>
      <c r="W13" s="111" t="n"/>
    </row>
    <row r="14" ht="18" customHeight="1" s="97">
      <c r="A14" s="112" t="n">
        <v>12</v>
      </c>
      <c r="B14" s="113" t="inlineStr">
        <is>
          <t>경기</t>
        </is>
      </c>
      <c r="C14" s="122" t="inlineStr">
        <is>
          <t>그린힐컨트리클럽</t>
        </is>
      </c>
      <c r="D14" s="115" t="inlineStr">
        <is>
          <t>회원제</t>
        </is>
      </c>
      <c r="E14" s="116" t="inlineStr">
        <is>
          <t>광주시 곤지암읍 내선길 176</t>
        </is>
      </c>
      <c r="F14" s="112" t="n">
        <v>18</v>
      </c>
      <c r="G14" s="112">
        <f>F14*4</f>
        <v/>
      </c>
      <c r="H14" s="117" t="n">
        <v>862228</v>
      </c>
      <c r="I14" s="118" t="inlineStr">
        <is>
          <t>신안개발㈜(박훈)</t>
        </is>
      </c>
      <c r="J14" s="108" t="n"/>
      <c r="K14" s="108" t="n"/>
      <c r="L14" s="108" t="n"/>
      <c r="M14" s="108" t="n"/>
      <c r="N14" s="108" t="n"/>
      <c r="O14" s="108" t="n"/>
      <c r="P14" s="112" t="n"/>
      <c r="Q14" s="119" t="n"/>
      <c r="R14" s="108" t="n"/>
      <c r="S14" s="110" t="inlineStr">
        <is>
          <t>🔲 데이터수집예정</t>
        </is>
      </c>
      <c r="T14" s="118" t="n"/>
      <c r="W14" s="121" t="n"/>
    </row>
    <row r="15" ht="18" customHeight="1" s="97">
      <c r="A15" s="101" t="n">
        <v>13</v>
      </c>
      <c r="B15" s="102" t="inlineStr">
        <is>
          <t>경기</t>
        </is>
      </c>
      <c r="C15" s="123" t="inlineStr">
        <is>
          <t>글렌로스골프클럽</t>
        </is>
      </c>
      <c r="D15" s="104" t="inlineStr">
        <is>
          <t>대중제</t>
        </is>
      </c>
      <c r="E15" s="105" t="inlineStr">
        <is>
          <t>용인시 처인구 포곡읍 에버랜드로 562번길 69</t>
        </is>
      </c>
      <c r="F15" s="101" t="n">
        <v>9</v>
      </c>
      <c r="G15" s="101">
        <f>F15*4</f>
        <v/>
      </c>
      <c r="H15" s="106" t="n">
        <v>465916</v>
      </c>
      <c r="I15" s="107" t="inlineStr">
        <is>
          <t>한승환</t>
        </is>
      </c>
      <c r="J15" s="108" t="n"/>
      <c r="K15" s="108" t="n"/>
      <c r="L15" s="108" t="n"/>
      <c r="M15" s="108" t="n"/>
      <c r="N15" s="108" t="n"/>
      <c r="O15" s="108" t="n"/>
      <c r="P15" s="101" t="n"/>
      <c r="Q15" s="109" t="n"/>
      <c r="R15" s="108" t="n"/>
      <c r="S15" s="110" t="inlineStr">
        <is>
          <t>🔲 데이터수집예정</t>
        </is>
      </c>
      <c r="T15" s="107" t="n"/>
      <c r="W15" s="111" t="n"/>
    </row>
    <row r="16" ht="18" customHeight="1" s="97">
      <c r="A16" s="112" t="n">
        <v>14</v>
      </c>
      <c r="B16" s="113" t="inlineStr">
        <is>
          <t>경기</t>
        </is>
      </c>
      <c r="C16" s="122" t="inlineStr">
        <is>
          <t>금강</t>
        </is>
      </c>
      <c r="D16" s="115" t="inlineStr">
        <is>
          <t>회원제</t>
        </is>
      </c>
      <c r="E16" s="116" t="inlineStr">
        <is>
          <t>여주시 가남읍 여주남로 541(가남면 본두리 1-2)</t>
        </is>
      </c>
      <c r="F16" s="112" t="n">
        <v>18</v>
      </c>
      <c r="G16" s="112">
        <f>F16*4</f>
        <v/>
      </c>
      <c r="H16" s="117" t="n">
        <v>890860</v>
      </c>
      <c r="I16" s="126" t="inlineStr">
        <is>
          <t>(주)금강레저(안경근)</t>
        </is>
      </c>
      <c r="J16" s="108" t="n"/>
      <c r="K16" s="108" t="n"/>
      <c r="L16" s="108" t="n"/>
      <c r="M16" s="108" t="n"/>
      <c r="N16" s="108" t="n"/>
      <c r="O16" s="108" t="n"/>
      <c r="P16" s="112" t="n"/>
      <c r="Q16" s="119" t="n"/>
      <c r="R16" s="108" t="n"/>
      <c r="S16" s="110" t="inlineStr">
        <is>
          <t>🔲 데이터수집예정</t>
        </is>
      </c>
      <c r="T16" s="126" t="n"/>
      <c r="W16" s="121" t="n"/>
    </row>
    <row r="17" ht="18" customHeight="1" s="97">
      <c r="A17" s="101" t="n">
        <v>15</v>
      </c>
      <c r="B17" s="102" t="inlineStr">
        <is>
          <t>경기</t>
        </is>
      </c>
      <c r="C17" s="123" t="inlineStr">
        <is>
          <t>기흥CC</t>
        </is>
      </c>
      <c r="D17" s="115" t="inlineStr">
        <is>
          <t>회원제</t>
        </is>
      </c>
      <c r="E17" s="105" t="inlineStr">
        <is>
          <t>화성시 동탄면 풀무골로106번길 244</t>
        </is>
      </c>
      <c r="F17" s="101" t="n">
        <v>36</v>
      </c>
      <c r="G17" s="101">
        <f>F17*4</f>
        <v/>
      </c>
      <c r="H17" s="106" t="n">
        <v>2437045</v>
      </c>
      <c r="I17" s="107" t="inlineStr">
        <is>
          <t>삼남개발(주)(김장자)</t>
        </is>
      </c>
      <c r="J17" s="108" t="n"/>
      <c r="K17" s="108" t="n"/>
      <c r="L17" s="108" t="n"/>
      <c r="M17" s="108" t="n"/>
      <c r="N17" s="108" t="n"/>
      <c r="O17" s="108" t="n"/>
      <c r="P17" s="101" t="n"/>
      <c r="Q17" s="109" t="n"/>
      <c r="R17" s="108" t="n"/>
      <c r="S17" s="110" t="inlineStr">
        <is>
          <t>🔲 데이터수집예정</t>
        </is>
      </c>
      <c r="T17" s="124" t="inlineStr">
        <is>
          <t>https://www.ghcc.kr/</t>
        </is>
      </c>
      <c r="U17" s="96" t="n">
        <v>1987</v>
      </c>
      <c r="V17" s="96" t="inlineStr">
        <is>
          <t>031-288-4001</t>
        </is>
      </c>
      <c r="W17" s="125" t="n"/>
    </row>
    <row r="18" ht="18" customHeight="1" s="97">
      <c r="A18" s="112" t="n">
        <v>16</v>
      </c>
      <c r="B18" s="113" t="inlineStr">
        <is>
          <t>경기</t>
        </is>
      </c>
      <c r="C18" s="122" t="inlineStr">
        <is>
          <t>김포 SEASIDE 컨트리클럽</t>
        </is>
      </c>
      <c r="D18" s="115" t="inlineStr">
        <is>
          <t>회원제</t>
        </is>
      </c>
      <c r="E18" s="116" t="inlineStr">
        <is>
          <t>김포시 월곶면 김포대로 2081번길 219</t>
        </is>
      </c>
      <c r="F18" s="112" t="n">
        <v>18</v>
      </c>
      <c r="G18" s="112">
        <f>F18*4</f>
        <v/>
      </c>
      <c r="H18" s="117" t="n">
        <v>932683</v>
      </c>
      <c r="I18" s="118" t="inlineStr">
        <is>
          <t>해강개발주식회사(정인철)</t>
        </is>
      </c>
      <c r="J18" s="108" t="n"/>
      <c r="K18" s="108" t="n"/>
      <c r="L18" s="108" t="n"/>
      <c r="M18" s="108" t="n"/>
      <c r="N18" s="108" t="n"/>
      <c r="O18" s="108" t="n"/>
      <c r="P18" s="112" t="n"/>
      <c r="Q18" s="119" t="n"/>
      <c r="R18" s="108" t="n"/>
      <c r="S18" s="110" t="inlineStr">
        <is>
          <t>🔲 데이터수집예정</t>
        </is>
      </c>
      <c r="T18" s="126" t="n"/>
      <c r="W18" s="121" t="n"/>
    </row>
    <row r="19" ht="18" customHeight="1" s="97">
      <c r="A19" s="101" t="n">
        <v>17</v>
      </c>
      <c r="B19" s="102" t="inlineStr">
        <is>
          <t>경기</t>
        </is>
      </c>
      <c r="C19" s="123" t="inlineStr">
        <is>
          <t>남부CC</t>
        </is>
      </c>
      <c r="D19" s="115" t="inlineStr">
        <is>
          <t>회원제</t>
        </is>
      </c>
      <c r="E19" s="105" t="inlineStr">
        <is>
          <t>용인시 기흥구 사은로 163</t>
        </is>
      </c>
      <c r="F19" s="101" t="n">
        <v>18</v>
      </c>
      <c r="G19" s="101">
        <f>F19*4</f>
        <v/>
      </c>
      <c r="H19" s="106" t="n">
        <v>964521</v>
      </c>
      <c r="I19" s="107" t="inlineStr">
        <is>
          <t>정원석</t>
        </is>
      </c>
      <c r="J19" s="108" t="n"/>
      <c r="K19" s="108" t="n"/>
      <c r="L19" s="108" t="n"/>
      <c r="M19" s="108" t="n"/>
      <c r="N19" s="108" t="n"/>
      <c r="O19" s="108" t="n"/>
      <c r="P19" s="101" t="n"/>
      <c r="Q19" s="109" t="n"/>
      <c r="R19" s="108" t="n"/>
      <c r="S19" s="110" t="inlineStr">
        <is>
          <t>🔲 데이터수집예정</t>
        </is>
      </c>
      <c r="T19" s="124" t="inlineStr">
        <is>
          <t>https://www.namboocc.co.kr/</t>
        </is>
      </c>
      <c r="U19" s="96" t="n">
        <v>1988</v>
      </c>
      <c r="V19" s="96" t="inlineStr">
        <is>
          <t>031-286-6100</t>
        </is>
      </c>
      <c r="W19" s="125" t="n"/>
    </row>
    <row r="20" ht="18" customHeight="1" s="97">
      <c r="A20" s="112" t="n">
        <v>18</v>
      </c>
      <c r="B20" s="113" t="inlineStr">
        <is>
          <t>경기</t>
        </is>
      </c>
      <c r="C20" s="122" t="inlineStr">
        <is>
          <t>남서울컨트리클럽</t>
        </is>
      </c>
      <c r="D20" s="115" t="inlineStr">
        <is>
          <t>회원제</t>
        </is>
      </c>
      <c r="E20" s="116" t="inlineStr">
        <is>
          <t>성남시 분당구 안양판교로1201번길 1201</t>
        </is>
      </c>
      <c r="F20" s="112" t="n">
        <v>18</v>
      </c>
      <c r="G20" s="112">
        <f>F20*4</f>
        <v/>
      </c>
      <c r="H20" s="117" t="n">
        <v>968466</v>
      </c>
      <c r="I20" s="126" t="inlineStr">
        <is>
          <t>(주)경원건설정철승</t>
        </is>
      </c>
      <c r="J20" s="127" t="n">
        <v>4.7</v>
      </c>
      <c r="K20" s="127" t="n">
        <v>4.8</v>
      </c>
      <c r="L20" s="127" t="n">
        <v>4.9</v>
      </c>
      <c r="M20" s="128" t="n">
        <v>4.2</v>
      </c>
      <c r="N20" s="128" t="n">
        <v>4.5</v>
      </c>
      <c r="O20" s="129">
        <f>ROUND(AVERAGE(J20:N20),2)</f>
        <v/>
      </c>
      <c r="P20" s="112" t="n">
        <v>127</v>
      </c>
      <c r="Q20" s="119" t="n">
        <v>71.5</v>
      </c>
      <c r="R20" s="130" t="inlineStr">
        <is>
          <t>중급</t>
        </is>
      </c>
      <c r="S20" s="131" t="inlineStr">
        <is>
          <t>✅ 서비스중</t>
        </is>
      </c>
      <c r="T20" s="132" t="inlineStr">
        <is>
          <t>https://www.nscc.co.kr</t>
        </is>
      </c>
      <c r="U20" s="96" t="n">
        <v>1968</v>
      </c>
      <c r="V20" s="96" t="inlineStr">
        <is>
          <t>031-707-0071</t>
        </is>
      </c>
      <c r="W20" s="121" t="n"/>
    </row>
    <row r="21" ht="18" customHeight="1" s="97">
      <c r="A21" s="101" t="n">
        <v>19</v>
      </c>
      <c r="B21" s="102" t="inlineStr">
        <is>
          <t>경기</t>
        </is>
      </c>
      <c r="C21" s="123" t="inlineStr">
        <is>
          <t>남양주C.C</t>
        </is>
      </c>
      <c r="D21" s="104" t="inlineStr">
        <is>
          <t>대중제</t>
        </is>
      </c>
      <c r="E21" s="105" t="inlineStr">
        <is>
          <t>남양주시 오남읍 진건오남로536번길 44</t>
        </is>
      </c>
      <c r="F21" s="101" t="n">
        <v>9</v>
      </c>
      <c r="G21" s="101">
        <f>F21*4</f>
        <v/>
      </c>
      <c r="H21" s="106" t="n">
        <v>979769</v>
      </c>
      <c r="I21" s="107" t="inlineStr">
        <is>
          <t>라미드관광주식회사문병근</t>
        </is>
      </c>
      <c r="J21" s="108" t="n"/>
      <c r="K21" s="108" t="n"/>
      <c r="L21" s="108" t="n"/>
      <c r="M21" s="108" t="n"/>
      <c r="N21" s="108" t="n"/>
      <c r="O21" s="108" t="n"/>
      <c r="P21" s="101" t="n"/>
      <c r="Q21" s="109" t="n"/>
      <c r="R21" s="108" t="n"/>
      <c r="S21" s="110" t="inlineStr">
        <is>
          <t>🔲 데이터수집예정</t>
        </is>
      </c>
      <c r="T21" s="107" t="n"/>
      <c r="W21" s="111" t="n"/>
    </row>
    <row r="22" ht="18" customHeight="1" s="97">
      <c r="A22" s="112" t="n">
        <v>20</v>
      </c>
      <c r="B22" s="113" t="inlineStr">
        <is>
          <t>경기</t>
        </is>
      </c>
      <c r="C22" s="122" t="inlineStr">
        <is>
          <t>남여주</t>
        </is>
      </c>
      <c r="D22" s="104" t="inlineStr">
        <is>
          <t>대중제</t>
        </is>
      </c>
      <c r="E22" s="116" t="inlineStr">
        <is>
          <t>여주시 가여로 532(여주읍 하거리 산49)</t>
        </is>
      </c>
      <c r="F22" s="112" t="n">
        <v>27</v>
      </c>
      <c r="G22" s="112">
        <f>F22*4</f>
        <v/>
      </c>
      <c r="H22" s="117" t="n">
        <v>1160743</v>
      </c>
      <c r="I22" s="118" t="inlineStr">
        <is>
          <t>남여주레저개발㈜(강봉석)</t>
        </is>
      </c>
      <c r="J22" s="108" t="n"/>
      <c r="K22" s="108" t="n"/>
      <c r="L22" s="108" t="n"/>
      <c r="M22" s="108" t="n"/>
      <c r="N22" s="108" t="n"/>
      <c r="O22" s="108" t="n"/>
      <c r="P22" s="112" t="n"/>
      <c r="Q22" s="119" t="n"/>
      <c r="R22" s="108" t="n"/>
      <c r="S22" s="110" t="inlineStr">
        <is>
          <t>🔲 데이터수집예정</t>
        </is>
      </c>
      <c r="T22" s="126" t="n"/>
      <c r="W22" s="121" t="n"/>
    </row>
    <row r="23" ht="18" customHeight="1" s="97">
      <c r="A23" s="101" t="n">
        <v>21</v>
      </c>
      <c r="B23" s="102" t="inlineStr">
        <is>
          <t>경기</t>
        </is>
      </c>
      <c r="C23" s="123" t="inlineStr">
        <is>
          <t>남촌컨트리클럽</t>
        </is>
      </c>
      <c r="D23" s="115" t="inlineStr">
        <is>
          <t>회원제</t>
        </is>
      </c>
      <c r="E23" s="105" t="inlineStr">
        <is>
          <t>광주시 곤지암읍 부항길 135-38</t>
        </is>
      </c>
      <c r="F23" s="101" t="n">
        <v>18</v>
      </c>
      <c r="G23" s="101">
        <f>F23*4</f>
        <v/>
      </c>
      <c r="H23" s="106" t="n">
        <v>1079154</v>
      </c>
      <c r="I23" s="107" t="inlineStr">
        <is>
          <t>남촌레저개발㈜(한명희)</t>
        </is>
      </c>
      <c r="J23" s="108" t="n"/>
      <c r="K23" s="108" t="n"/>
      <c r="L23" s="108" t="n"/>
      <c r="M23" s="108" t="n"/>
      <c r="N23" s="108" t="n"/>
      <c r="O23" s="108" t="n"/>
      <c r="P23" s="101" t="n"/>
      <c r="Q23" s="109" t="n"/>
      <c r="R23" s="108" t="n"/>
      <c r="S23" s="110" t="inlineStr">
        <is>
          <t>🔲 데이터수집예정</t>
        </is>
      </c>
      <c r="T23" s="107" t="n"/>
      <c r="W23" s="111" t="n"/>
    </row>
    <row r="24" ht="18" customHeight="1" s="97">
      <c r="A24" s="112" t="n">
        <v>22</v>
      </c>
      <c r="B24" s="113" t="inlineStr">
        <is>
          <t>경기</t>
        </is>
      </c>
      <c r="C24" s="122" t="inlineStr">
        <is>
          <t>노스팜</t>
        </is>
      </c>
      <c r="D24" s="104" t="inlineStr">
        <is>
          <t>대중제</t>
        </is>
      </c>
      <c r="E24" s="116" t="inlineStr">
        <is>
          <t>파주시 광탄면 쇠장이길 227</t>
        </is>
      </c>
      <c r="F24" s="112" t="n">
        <v>18</v>
      </c>
      <c r="G24" s="112">
        <f>F24*4</f>
        <v/>
      </c>
      <c r="H24" s="117" t="n">
        <v>986314</v>
      </c>
      <c r="I24" s="118" t="inlineStr">
        <is>
          <t>㈜노스팜(김정춘)</t>
        </is>
      </c>
      <c r="J24" s="108" t="n"/>
      <c r="K24" s="108" t="n"/>
      <c r="L24" s="108" t="n"/>
      <c r="M24" s="108" t="n"/>
      <c r="N24" s="108" t="n"/>
      <c r="O24" s="108" t="n"/>
      <c r="P24" s="112" t="n"/>
      <c r="Q24" s="119" t="n"/>
      <c r="R24" s="108" t="n"/>
      <c r="S24" s="110" t="inlineStr">
        <is>
          <t>🔲 데이터수집예정</t>
        </is>
      </c>
      <c r="T24" s="126" t="n"/>
      <c r="W24" s="121" t="n"/>
    </row>
    <row r="25" ht="18" customHeight="1" s="97">
      <c r="A25" s="101" t="n">
        <v>23</v>
      </c>
      <c r="B25" s="102" t="inlineStr">
        <is>
          <t>경기</t>
        </is>
      </c>
      <c r="C25" s="123" t="inlineStr">
        <is>
          <t>뉴서울컨트리클럽</t>
        </is>
      </c>
      <c r="D25" s="115" t="inlineStr">
        <is>
          <t>회원제</t>
        </is>
      </c>
      <c r="E25" s="105" t="inlineStr">
        <is>
          <t>광주시 삼지곡길 95(삼동)</t>
        </is>
      </c>
      <c r="F25" s="101" t="n">
        <v>36</v>
      </c>
      <c r="G25" s="101">
        <f>F25*4</f>
        <v/>
      </c>
      <c r="H25" s="106" t="n">
        <v>2548234</v>
      </c>
      <c r="I25" s="107" t="inlineStr">
        <is>
          <t>한국문화예술위원회(박종관)</t>
        </is>
      </c>
      <c r="J25" s="108" t="n"/>
      <c r="K25" s="108" t="n"/>
      <c r="L25" s="108" t="n"/>
      <c r="M25" s="108" t="n"/>
      <c r="N25" s="108" t="n"/>
      <c r="O25" s="108" t="n"/>
      <c r="P25" s="101" t="n"/>
      <c r="Q25" s="109" t="n"/>
      <c r="R25" s="108" t="n"/>
      <c r="S25" s="110" t="inlineStr">
        <is>
          <t>🔲 데이터수집예정</t>
        </is>
      </c>
      <c r="T25" s="124" t="inlineStr">
        <is>
          <t>https://www.newseoulgolf.co.kr/</t>
        </is>
      </c>
      <c r="U25" s="96" t="n">
        <v>1994</v>
      </c>
      <c r="V25" s="96" t="inlineStr">
        <is>
          <t>031-760-8000</t>
        </is>
      </c>
      <c r="W25" s="125" t="n"/>
    </row>
    <row r="26" ht="18" customHeight="1" s="97">
      <c r="A26" s="112" t="n">
        <v>24</v>
      </c>
      <c r="B26" s="113" t="inlineStr">
        <is>
          <t>경기</t>
        </is>
      </c>
      <c r="C26" s="122" t="inlineStr">
        <is>
          <t>뉴스프링빌C.C.</t>
        </is>
      </c>
      <c r="D26" s="115" t="inlineStr">
        <is>
          <t>회원제</t>
        </is>
      </c>
      <c r="E26" s="116" t="inlineStr">
        <is>
          <t>이천시 모가면 사실로 527번길 158</t>
        </is>
      </c>
      <c r="F26" s="112" t="n">
        <v>36</v>
      </c>
      <c r="G26" s="112">
        <f>F26*4</f>
        <v/>
      </c>
      <c r="H26" s="117" t="n">
        <v>1584094</v>
      </c>
      <c r="I26" s="118" t="inlineStr">
        <is>
          <t>㈜동승골프앤리조트(양병덕)</t>
        </is>
      </c>
      <c r="J26" s="108" t="n"/>
      <c r="K26" s="108" t="n"/>
      <c r="L26" s="108" t="n"/>
      <c r="M26" s="108" t="n"/>
      <c r="N26" s="108" t="n"/>
      <c r="O26" s="108" t="n"/>
      <c r="P26" s="112" t="n"/>
      <c r="Q26" s="119" t="n"/>
      <c r="R26" s="108" t="n"/>
      <c r="S26" s="110" t="inlineStr">
        <is>
          <t>🔲 데이터수집예정</t>
        </is>
      </c>
      <c r="T26" s="126" t="n"/>
      <c r="W26" s="121" t="n"/>
    </row>
    <row r="27" ht="18" customHeight="1" s="97">
      <c r="A27" s="101" t="n">
        <v>25</v>
      </c>
      <c r="B27" s="102" t="inlineStr">
        <is>
          <t>경기</t>
        </is>
      </c>
      <c r="C27" s="123" t="inlineStr">
        <is>
          <t>뉴코리아 컨트리클럽</t>
        </is>
      </c>
      <c r="D27" s="115" t="inlineStr">
        <is>
          <t>회원제</t>
        </is>
      </c>
      <c r="E27" s="105" t="inlineStr">
        <is>
          <t>고양시 덕양구 신원2로 57</t>
        </is>
      </c>
      <c r="F27" s="101" t="n">
        <v>18</v>
      </c>
      <c r="G27" s="101">
        <f>F27*4</f>
        <v/>
      </c>
      <c r="H27" s="106" t="n">
        <v>880053</v>
      </c>
      <c r="I27" s="107" t="inlineStr">
        <is>
          <t>성하현</t>
        </is>
      </c>
      <c r="J27" s="108" t="n"/>
      <c r="K27" s="108" t="n"/>
      <c r="L27" s="108" t="n"/>
      <c r="M27" s="108" t="n"/>
      <c r="N27" s="108" t="n"/>
      <c r="O27" s="108" t="n"/>
      <c r="P27" s="101" t="n"/>
      <c r="Q27" s="109" t="n"/>
      <c r="R27" s="108" t="n"/>
      <c r="S27" s="110" t="inlineStr">
        <is>
          <t>🔲 데이터수집예정</t>
        </is>
      </c>
      <c r="T27" s="124" t="inlineStr">
        <is>
          <t>https://www.newkoreacc.co.kr/</t>
        </is>
      </c>
      <c r="U27" s="96" t="n">
        <v>1965</v>
      </c>
      <c r="V27" s="96" t="inlineStr">
        <is>
          <t>02-353-0091</t>
        </is>
      </c>
      <c r="W27" s="125" t="n"/>
    </row>
    <row r="28" ht="18" customHeight="1" s="97">
      <c r="A28" s="112" t="n">
        <v>26</v>
      </c>
      <c r="B28" s="113" t="inlineStr">
        <is>
          <t>경기</t>
        </is>
      </c>
      <c r="C28" s="122" t="inlineStr">
        <is>
          <t>더반G.C.</t>
        </is>
      </c>
      <c r="D28" s="104" t="inlineStr">
        <is>
          <t>대중제</t>
        </is>
      </c>
      <c r="E28" s="116" t="inlineStr">
        <is>
          <t>이천시 대월면 대월로 627-141</t>
        </is>
      </c>
      <c r="F28" s="112" t="n">
        <v>9</v>
      </c>
      <c r="G28" s="112">
        <f>F28*4</f>
        <v/>
      </c>
      <c r="H28" s="117" t="n">
        <v>299311</v>
      </c>
      <c r="I28" s="118" t="inlineStr">
        <is>
          <t>㈜명문투자개발(우석민)</t>
        </is>
      </c>
      <c r="J28" s="108" t="n"/>
      <c r="K28" s="108" t="n"/>
      <c r="L28" s="108" t="n"/>
      <c r="M28" s="108" t="n"/>
      <c r="N28" s="108" t="n"/>
      <c r="O28" s="108" t="n"/>
      <c r="P28" s="112" t="n"/>
      <c r="Q28" s="119" t="n"/>
      <c r="R28" s="108" t="n"/>
      <c r="S28" s="110" t="inlineStr">
        <is>
          <t>🔲 데이터수집예정</t>
        </is>
      </c>
      <c r="T28" s="126" t="n"/>
      <c r="W28" s="121" t="n"/>
    </row>
    <row r="29" ht="18" customHeight="1" s="97">
      <c r="A29" s="101" t="n">
        <v>27</v>
      </c>
      <c r="B29" s="102" t="inlineStr">
        <is>
          <t>경기</t>
        </is>
      </c>
      <c r="C29" s="123" t="inlineStr">
        <is>
          <t>더크로스비골프클럽</t>
        </is>
      </c>
      <c r="D29" s="104" t="inlineStr">
        <is>
          <t>대중제</t>
        </is>
      </c>
      <c r="E29" s="105" t="inlineStr">
        <is>
          <t>이천시 호법면 중부대로798번길 177</t>
        </is>
      </c>
      <c r="F29" s="101" t="n">
        <v>27</v>
      </c>
      <c r="G29" s="101">
        <f>F29*4</f>
        <v/>
      </c>
      <c r="H29" s="106" t="n">
        <v>1062819</v>
      </c>
      <c r="I29" s="107" t="inlineStr">
        <is>
          <t>주식회사 호법포레(김한룡)</t>
        </is>
      </c>
      <c r="J29" s="108" t="n"/>
      <c r="K29" s="108" t="n"/>
      <c r="L29" s="108" t="n"/>
      <c r="M29" s="108" t="n"/>
      <c r="N29" s="108" t="n"/>
      <c r="O29" s="108" t="n"/>
      <c r="P29" s="101" t="n"/>
      <c r="Q29" s="109" t="n"/>
      <c r="R29" s="108" t="n"/>
      <c r="S29" s="110" t="inlineStr">
        <is>
          <t>🔲 데이터수집예정</t>
        </is>
      </c>
      <c r="T29" s="107" t="n"/>
      <c r="W29" s="111" t="n"/>
    </row>
    <row r="30" ht="18" customHeight="1" s="97">
      <c r="A30" s="112" t="n">
        <v>28</v>
      </c>
      <c r="B30" s="113" t="inlineStr">
        <is>
          <t>경기</t>
        </is>
      </c>
      <c r="C30" s="122" t="inlineStr">
        <is>
          <t>라비돌대중</t>
        </is>
      </c>
      <c r="D30" s="104" t="inlineStr">
        <is>
          <t>대중제</t>
        </is>
      </c>
      <c r="E30" s="116" t="inlineStr">
        <is>
          <t>화성시 정남면 세자로 286</t>
        </is>
      </c>
      <c r="F30" s="112" t="n">
        <v>9</v>
      </c>
      <c r="G30" s="112">
        <f>F30*4</f>
        <v/>
      </c>
      <c r="H30" s="117" t="n">
        <v>261571</v>
      </c>
      <c r="I30" s="118" t="inlineStr">
        <is>
          <t>㈜라비돌(최서원)</t>
        </is>
      </c>
      <c r="J30" s="108" t="n"/>
      <c r="K30" s="108" t="n"/>
      <c r="L30" s="108" t="n"/>
      <c r="M30" s="108" t="n"/>
      <c r="N30" s="108" t="n"/>
      <c r="O30" s="108" t="n"/>
      <c r="P30" s="112" t="n"/>
      <c r="Q30" s="119" t="n"/>
      <c r="R30" s="108" t="n"/>
      <c r="S30" s="110" t="inlineStr">
        <is>
          <t>🔲 데이터수집예정</t>
        </is>
      </c>
      <c r="T30" s="126" t="n"/>
      <c r="W30" s="121" t="n"/>
    </row>
    <row r="31" ht="18" customHeight="1" s="97">
      <c r="A31" s="101" t="n">
        <v>29</v>
      </c>
      <c r="B31" s="102" t="inlineStr">
        <is>
          <t>경기</t>
        </is>
      </c>
      <c r="C31" s="123" t="inlineStr">
        <is>
          <t>라싸 골프클럽</t>
        </is>
      </c>
      <c r="D31" s="104" t="inlineStr">
        <is>
          <t>대중제</t>
        </is>
      </c>
      <c r="E31" s="105" t="inlineStr">
        <is>
          <t>포천시 이동면 산142-1번지 일원</t>
        </is>
      </c>
      <c r="F31" s="101" t="n">
        <v>27</v>
      </c>
      <c r="G31" s="101">
        <f>F31*4</f>
        <v/>
      </c>
      <c r="H31" s="106" t="n">
        <v>1504498</v>
      </c>
      <c r="I31" s="107" t="inlineStr">
        <is>
          <t>라싸디벨로프먼트(양창모)</t>
        </is>
      </c>
      <c r="J31" s="108" t="n"/>
      <c r="K31" s="108" t="n"/>
      <c r="L31" s="108" t="n"/>
      <c r="M31" s="108" t="n"/>
      <c r="N31" s="108" t="n"/>
      <c r="O31" s="108" t="n"/>
      <c r="P31" s="101" t="n"/>
      <c r="Q31" s="109" t="n"/>
      <c r="R31" s="108" t="n"/>
      <c r="S31" s="110" t="inlineStr">
        <is>
          <t>🔲 데이터수집예정</t>
        </is>
      </c>
      <c r="T31" s="107" t="n"/>
      <c r="W31" s="111" t="n"/>
    </row>
    <row r="32" ht="18" customHeight="1" s="97">
      <c r="A32" s="112" t="n">
        <v>30</v>
      </c>
      <c r="B32" s="113" t="inlineStr">
        <is>
          <t>경기</t>
        </is>
      </c>
      <c r="C32" s="122" t="inlineStr">
        <is>
          <t>레이크사이드CC</t>
        </is>
      </c>
      <c r="D32" s="104" t="inlineStr">
        <is>
          <t>대중제</t>
        </is>
      </c>
      <c r="E32" s="116" t="inlineStr">
        <is>
          <t>용인시 처인구 모현읍 능원로 181</t>
        </is>
      </c>
      <c r="F32" s="112" t="n">
        <v>36</v>
      </c>
      <c r="G32" s="112">
        <f>F32*4</f>
        <v/>
      </c>
      <c r="H32" s="117" t="n">
        <v>3198002</v>
      </c>
      <c r="I32" s="118" t="inlineStr">
        <is>
          <t>문지태</t>
        </is>
      </c>
      <c r="J32" s="133" t="n">
        <v>2.5</v>
      </c>
      <c r="K32" s="133" t="n">
        <v>2.8</v>
      </c>
      <c r="L32" s="133" t="n">
        <v>3.1</v>
      </c>
      <c r="M32" s="134" t="n">
        <v>2</v>
      </c>
      <c r="N32" s="133" t="n">
        <v>3.2</v>
      </c>
      <c r="O32" s="135">
        <f>ROUND(AVERAGE(J32:N32),2)</f>
        <v/>
      </c>
      <c r="P32" s="112" t="n">
        <v>118</v>
      </c>
      <c r="Q32" s="119" t="n">
        <v>70.2</v>
      </c>
      <c r="R32" s="130" t="inlineStr">
        <is>
          <t>중급</t>
        </is>
      </c>
      <c r="S32" s="131" t="inlineStr">
        <is>
          <t>✅ 서비스중</t>
        </is>
      </c>
      <c r="T32" s="132" t="inlineStr">
        <is>
          <t>https://www.lakeside.kr</t>
        </is>
      </c>
      <c r="U32" s="96" t="n">
        <v>1990</v>
      </c>
      <c r="V32" s="96" t="inlineStr">
        <is>
          <t>031-321-8000</t>
        </is>
      </c>
      <c r="W32" s="121" t="n"/>
    </row>
    <row r="33" ht="18" customHeight="1" s="97">
      <c r="A33" s="101" t="n">
        <v>31</v>
      </c>
      <c r="B33" s="102" t="inlineStr">
        <is>
          <t>경기</t>
        </is>
      </c>
      <c r="C33" s="123" t="inlineStr">
        <is>
          <t>레이크우드 골프장</t>
        </is>
      </c>
      <c r="D33" s="104" t="inlineStr">
        <is>
          <t>대중제</t>
        </is>
      </c>
      <c r="E33" s="105" t="inlineStr">
        <is>
          <t>양주시 만송로 244</t>
        </is>
      </c>
      <c r="F33" s="101" t="n">
        <v>9</v>
      </c>
      <c r="G33" s="101">
        <f>F33*4</f>
        <v/>
      </c>
      <c r="H33" s="106" t="n">
        <v>350029</v>
      </c>
      <c r="I33" s="107" t="inlineStr">
        <is>
          <t>최태영</t>
        </is>
      </c>
      <c r="J33" s="108" t="n"/>
      <c r="K33" s="108" t="n"/>
      <c r="L33" s="108" t="n"/>
      <c r="M33" s="108" t="n"/>
      <c r="N33" s="108" t="n"/>
      <c r="O33" s="108" t="n"/>
      <c r="P33" s="101" t="n"/>
      <c r="Q33" s="109" t="n"/>
      <c r="R33" s="108" t="n"/>
      <c r="S33" s="110" t="inlineStr">
        <is>
          <t>🔲 데이터수집예정</t>
        </is>
      </c>
      <c r="T33" s="124" t="inlineStr">
        <is>
          <t>https://lakewood.co.kr/</t>
        </is>
      </c>
      <c r="U33" s="96" t="n">
        <v>1997</v>
      </c>
      <c r="V33" s="96" t="inlineStr">
        <is>
          <t>031-860-0100</t>
        </is>
      </c>
      <c r="W33" s="125" t="n"/>
    </row>
    <row r="34" ht="18" customHeight="1" s="97">
      <c r="A34" s="112" t="n">
        <v>32</v>
      </c>
      <c r="B34" s="113" t="inlineStr">
        <is>
          <t>경기</t>
        </is>
      </c>
      <c r="C34" s="122" t="inlineStr">
        <is>
          <t>렉스필드</t>
        </is>
      </c>
      <c r="D34" s="115" t="inlineStr">
        <is>
          <t>회원제</t>
        </is>
      </c>
      <c r="E34" s="116" t="inlineStr">
        <is>
          <t>여주시 산북면 광여로 1115(산북면 상품리 산108)</t>
        </is>
      </c>
      <c r="F34" s="112" t="n">
        <v>18</v>
      </c>
      <c r="G34" s="112">
        <f>F34*4</f>
        <v/>
      </c>
      <c r="H34" s="117" t="n">
        <v>855727</v>
      </c>
      <c r="I34" s="126" t="inlineStr">
        <is>
          <t>(주)렉스필드 컨트리클럽(남기성)</t>
        </is>
      </c>
      <c r="J34" s="108" t="n"/>
      <c r="K34" s="108" t="n"/>
      <c r="L34" s="108" t="n"/>
      <c r="M34" s="108" t="n"/>
      <c r="N34" s="108" t="n"/>
      <c r="O34" s="108" t="n"/>
      <c r="P34" s="112" t="n"/>
      <c r="Q34" s="119" t="n"/>
      <c r="R34" s="108" t="n"/>
      <c r="S34" s="110" t="inlineStr">
        <is>
          <t>🔲 데이터수집예정</t>
        </is>
      </c>
      <c r="T34" s="126" t="inlineStr">
        <is>
          <t>https://www.rexfield.co.kr/</t>
        </is>
      </c>
      <c r="U34" s="96" t="n">
        <v>2007</v>
      </c>
      <c r="V34" s="96" t="inlineStr">
        <is>
          <t>031-883-5200</t>
        </is>
      </c>
      <c r="W34" s="121" t="n"/>
    </row>
    <row r="35" ht="18" customHeight="1" s="97">
      <c r="A35" s="101" t="n">
        <v>33</v>
      </c>
      <c r="B35" s="102" t="inlineStr">
        <is>
          <t>경기</t>
        </is>
      </c>
      <c r="C35" s="123" t="inlineStr">
        <is>
          <t>로얄개발㈜ 레이크우드 골프장</t>
        </is>
      </c>
      <c r="D35" s="115" t="inlineStr">
        <is>
          <t>회원제</t>
        </is>
      </c>
      <c r="E35" s="105" t="inlineStr">
        <is>
          <t>양주시 만송로 244</t>
        </is>
      </c>
      <c r="F35" s="101" t="n">
        <v>27</v>
      </c>
      <c r="G35" s="101">
        <f>F35*4</f>
        <v/>
      </c>
      <c r="H35" s="106" t="n">
        <v>1402074</v>
      </c>
      <c r="I35" s="107" t="inlineStr">
        <is>
          <t>최태영</t>
        </is>
      </c>
      <c r="J35" s="108" t="n"/>
      <c r="K35" s="108" t="n"/>
      <c r="L35" s="108" t="n"/>
      <c r="M35" s="108" t="n"/>
      <c r="N35" s="108" t="n"/>
      <c r="O35" s="108" t="n"/>
      <c r="P35" s="101" t="n"/>
      <c r="Q35" s="109" t="n"/>
      <c r="R35" s="108" t="n"/>
      <c r="S35" s="110" t="inlineStr">
        <is>
          <t>🔲 데이터수집예정</t>
        </is>
      </c>
      <c r="T35" s="124" t="inlineStr">
        <is>
          <t>https://lakewood.co.kr/</t>
        </is>
      </c>
      <c r="U35" s="96" t="n">
        <v>1997</v>
      </c>
      <c r="V35" s="96" t="inlineStr">
        <is>
          <t>031-860-0100</t>
        </is>
      </c>
      <c r="W35" s="125" t="n"/>
    </row>
    <row r="36" ht="18" customHeight="1" s="97">
      <c r="A36" s="112" t="n">
        <v>34</v>
      </c>
      <c r="B36" s="113" t="inlineStr">
        <is>
          <t>경기</t>
        </is>
      </c>
      <c r="C36" s="122" t="inlineStr">
        <is>
          <t>루나힐스 안성컨트리클럽</t>
        </is>
      </c>
      <c r="D36" s="104" t="inlineStr">
        <is>
          <t>대중제</t>
        </is>
      </c>
      <c r="E36" s="116" t="inlineStr">
        <is>
          <t>안성시 양성면 약산길 67-6</t>
        </is>
      </c>
      <c r="F36" s="112" t="n">
        <v>18</v>
      </c>
      <c r="G36" s="112">
        <f>F36*4</f>
        <v/>
      </c>
      <c r="H36" s="117" t="n">
        <v>1189332</v>
      </c>
      <c r="I36" s="118" t="inlineStr">
        <is>
          <t>블루원레저㈜(정영채)</t>
        </is>
      </c>
      <c r="J36" s="108" t="n"/>
      <c r="K36" s="108" t="n"/>
      <c r="L36" s="108" t="n"/>
      <c r="M36" s="108" t="n"/>
      <c r="N36" s="108" t="n"/>
      <c r="O36" s="108" t="n"/>
      <c r="P36" s="112" t="n"/>
      <c r="Q36" s="119" t="n"/>
      <c r="R36" s="108" t="n"/>
      <c r="S36" s="110" t="inlineStr">
        <is>
          <t>🔲 데이터수집예정</t>
        </is>
      </c>
      <c r="T36" s="126" t="n"/>
      <c r="W36" s="121" t="n"/>
    </row>
    <row r="37" ht="18" customHeight="1" s="97">
      <c r="A37" s="101" t="n">
        <v>35</v>
      </c>
      <c r="B37" s="102" t="inlineStr">
        <is>
          <t>경기</t>
        </is>
      </c>
      <c r="C37" s="123" t="inlineStr">
        <is>
          <t>리베라CC</t>
        </is>
      </c>
      <c r="D37" s="115" t="inlineStr">
        <is>
          <t>회원제</t>
        </is>
      </c>
      <c r="E37" s="105" t="inlineStr">
        <is>
          <t>화성시 동탄면 중리길 183</t>
        </is>
      </c>
      <c r="F37" s="101" t="n">
        <v>36</v>
      </c>
      <c r="G37" s="101">
        <f>F37*4</f>
        <v/>
      </c>
      <c r="H37" s="106" t="n">
        <v>1602766</v>
      </c>
      <c r="I37" s="107" t="inlineStr">
        <is>
          <t>㈜관악(이진철)</t>
        </is>
      </c>
      <c r="J37" s="108" t="n"/>
      <c r="K37" s="108" t="n"/>
      <c r="L37" s="108" t="n"/>
      <c r="M37" s="108" t="n"/>
      <c r="N37" s="108" t="n"/>
      <c r="O37" s="108" t="n"/>
      <c r="P37" s="101" t="n"/>
      <c r="Q37" s="109" t="n"/>
      <c r="R37" s="108" t="n"/>
      <c r="S37" s="110" t="inlineStr">
        <is>
          <t>🔲 데이터수집예정</t>
        </is>
      </c>
      <c r="T37" s="107" t="n"/>
      <c r="W37" s="111" t="n"/>
    </row>
    <row r="38" ht="18" customHeight="1" s="97">
      <c r="A38" s="112" t="n">
        <v>36</v>
      </c>
      <c r="B38" s="113" t="inlineStr">
        <is>
          <t>경기</t>
        </is>
      </c>
      <c r="C38" s="122" t="inlineStr">
        <is>
          <t>리앤리C.C</t>
        </is>
      </c>
      <c r="D38" s="104" t="inlineStr">
        <is>
          <t>대중제</t>
        </is>
      </c>
      <c r="E38" s="116" t="inlineStr">
        <is>
          <t>가평군 조종면 운악청계로 702-24</t>
        </is>
      </c>
      <c r="F38" s="112" t="n">
        <v>27</v>
      </c>
      <c r="G38" s="112">
        <f>F38*4</f>
        <v/>
      </c>
      <c r="H38" s="117" t="n">
        <v>1372780</v>
      </c>
      <c r="I38" s="118" t="inlineStr">
        <is>
          <t>리앤리어드바이저스㈜ (이강복)</t>
        </is>
      </c>
      <c r="J38" s="108" t="n"/>
      <c r="K38" s="108" t="n"/>
      <c r="L38" s="108" t="n"/>
      <c r="M38" s="108" t="n"/>
      <c r="N38" s="108" t="n"/>
      <c r="O38" s="108" t="n"/>
      <c r="P38" s="112" t="n"/>
      <c r="Q38" s="119" t="n"/>
      <c r="R38" s="108" t="n"/>
      <c r="S38" s="110" t="inlineStr">
        <is>
          <t>🔲 데이터수집예정</t>
        </is>
      </c>
      <c r="T38" s="126" t="n"/>
      <c r="W38" s="121" t="n"/>
    </row>
    <row r="39" ht="18" customHeight="1" s="97">
      <c r="A39" s="101" t="n">
        <v>37</v>
      </c>
      <c r="B39" s="102" t="inlineStr">
        <is>
          <t>경기</t>
        </is>
      </c>
      <c r="C39" s="123" t="inlineStr">
        <is>
          <t>링크나인골프클럽</t>
        </is>
      </c>
      <c r="D39" s="104" t="inlineStr">
        <is>
          <t>대중제</t>
        </is>
      </c>
      <c r="E39" s="105" t="inlineStr">
        <is>
          <t>화성시 마도면 해운로630번길 49</t>
        </is>
      </c>
      <c r="F39" s="101" t="n">
        <v>9</v>
      </c>
      <c r="G39" s="101">
        <f>F39*4</f>
        <v/>
      </c>
      <c r="H39" s="106" t="n">
        <v>166549</v>
      </c>
      <c r="I39" s="136" t="inlineStr">
        <is>
          <t>(주)금당개발(소홍서)</t>
        </is>
      </c>
      <c r="J39" s="108" t="n"/>
      <c r="K39" s="108" t="n"/>
      <c r="L39" s="108" t="n"/>
      <c r="M39" s="108" t="n"/>
      <c r="N39" s="108" t="n"/>
      <c r="O39" s="108" t="n"/>
      <c r="P39" s="101" t="n"/>
      <c r="Q39" s="109" t="n"/>
      <c r="R39" s="108" t="n"/>
      <c r="S39" s="110" t="inlineStr">
        <is>
          <t>🔲 데이터수집예정</t>
        </is>
      </c>
      <c r="T39" s="136" t="n"/>
      <c r="W39" s="111" t="n"/>
    </row>
    <row r="40" ht="18" customHeight="1" s="97">
      <c r="A40" s="112" t="n">
        <v>38</v>
      </c>
      <c r="B40" s="113" t="inlineStr">
        <is>
          <t>경기</t>
        </is>
      </c>
      <c r="C40" s="122" t="inlineStr">
        <is>
          <t>마에스트로 CC</t>
        </is>
      </c>
      <c r="D40" s="104" t="inlineStr">
        <is>
          <t>대중제</t>
        </is>
      </c>
      <c r="E40" s="116" t="inlineStr">
        <is>
          <t>안성시 양성면 안성맞춤대로 2134-36</t>
        </is>
      </c>
      <c r="F40" s="112" t="n">
        <v>18</v>
      </c>
      <c r="G40" s="112">
        <f>F40*4</f>
        <v/>
      </c>
      <c r="H40" s="117" t="n">
        <v>919620</v>
      </c>
      <c r="I40" s="118" t="inlineStr">
        <is>
          <t>천원종합개발㈜(이성욱)</t>
        </is>
      </c>
      <c r="J40" s="108" t="n"/>
      <c r="K40" s="108" t="n"/>
      <c r="L40" s="108" t="n"/>
      <c r="M40" s="108" t="n"/>
      <c r="N40" s="108" t="n"/>
      <c r="O40" s="108" t="n"/>
      <c r="P40" s="112" t="n"/>
      <c r="Q40" s="119" t="n"/>
      <c r="R40" s="108" t="n"/>
      <c r="S40" s="110" t="inlineStr">
        <is>
          <t>🔲 데이터수집예정</t>
        </is>
      </c>
      <c r="T40" s="126" t="n"/>
      <c r="W40" s="121" t="n"/>
    </row>
    <row r="41" ht="18" customHeight="1" s="97">
      <c r="A41" s="101" t="n">
        <v>39</v>
      </c>
      <c r="B41" s="102" t="inlineStr">
        <is>
          <t>경기</t>
        </is>
      </c>
      <c r="C41" s="123" t="inlineStr">
        <is>
          <t>몽베르컨트리클럽</t>
        </is>
      </c>
      <c r="D41" s="115" t="inlineStr">
        <is>
          <t>회원제</t>
        </is>
      </c>
      <c r="E41" s="105" t="inlineStr">
        <is>
          <t>포천시 영북면 산정호수로 359-12</t>
        </is>
      </c>
      <c r="F41" s="101" t="n">
        <v>18</v>
      </c>
      <c r="G41" s="101">
        <f>F41*4</f>
        <v/>
      </c>
      <c r="H41" s="106" t="n">
        <v>1492261</v>
      </c>
      <c r="I41" s="107" t="inlineStr">
        <is>
          <t>㈜동강홀딩스(김상국)㈜스마트홀딩스(김봉성)</t>
        </is>
      </c>
      <c r="J41" s="108" t="n"/>
      <c r="K41" s="108" t="n"/>
      <c r="L41" s="108" t="n"/>
      <c r="M41" s="108" t="n"/>
      <c r="N41" s="108" t="n"/>
      <c r="O41" s="108" t="n"/>
      <c r="P41" s="101" t="n"/>
      <c r="Q41" s="109" t="n"/>
      <c r="R41" s="108" t="n"/>
      <c r="S41" s="110" t="inlineStr">
        <is>
          <t>🔲 데이터수집예정</t>
        </is>
      </c>
      <c r="T41" s="136" t="inlineStr">
        <is>
          <t>https://www.monbert.co.kr/</t>
        </is>
      </c>
      <c r="U41" s="96" t="n">
        <v>2005</v>
      </c>
      <c r="V41" s="96" t="inlineStr">
        <is>
          <t>031-539-4000</t>
        </is>
      </c>
      <c r="W41" s="125" t="n"/>
    </row>
    <row r="42" ht="18" customHeight="1" s="97">
      <c r="A42" s="112" t="n">
        <v>40</v>
      </c>
      <c r="B42" s="113" t="inlineStr">
        <is>
          <t>경기</t>
        </is>
      </c>
      <c r="C42" s="122" t="inlineStr">
        <is>
          <t>발리오스CC</t>
        </is>
      </c>
      <c r="D42" s="115" t="inlineStr">
        <is>
          <t>회원제</t>
        </is>
      </c>
      <c r="E42" s="116" t="inlineStr">
        <is>
          <t>화성시 팔탄면 3.1만세로 641-28</t>
        </is>
      </c>
      <c r="F42" s="112" t="n">
        <v>18</v>
      </c>
      <c r="G42" s="112">
        <f>F42*4</f>
        <v/>
      </c>
      <c r="H42" s="117" t="n">
        <v>868471</v>
      </c>
      <c r="I42" s="118" t="inlineStr">
        <is>
          <t>신창기업(주)(배창환)</t>
        </is>
      </c>
      <c r="J42" s="108" t="n"/>
      <c r="K42" s="108" t="n"/>
      <c r="L42" s="108" t="n"/>
      <c r="M42" s="108" t="n"/>
      <c r="N42" s="108" t="n"/>
      <c r="O42" s="108" t="n"/>
      <c r="P42" s="112" t="n"/>
      <c r="Q42" s="119" t="n"/>
      <c r="R42" s="108" t="n"/>
      <c r="S42" s="110" t="inlineStr">
        <is>
          <t>🔲 데이터수집예정</t>
        </is>
      </c>
      <c r="T42" s="126" t="n"/>
      <c r="W42" s="121" t="n"/>
    </row>
    <row r="43" ht="18" customHeight="1" s="97">
      <c r="A43" s="101" t="n">
        <v>41</v>
      </c>
      <c r="B43" s="102" t="inlineStr">
        <is>
          <t>경기</t>
        </is>
      </c>
      <c r="C43" s="123" t="inlineStr">
        <is>
          <t>발리오스대중</t>
        </is>
      </c>
      <c r="D43" s="104" t="inlineStr">
        <is>
          <t>대중제</t>
        </is>
      </c>
      <c r="E43" s="105" t="inlineStr">
        <is>
          <t>화성시 팔탄면 3.1만세로 641-28</t>
        </is>
      </c>
      <c r="F43" s="101" t="n">
        <v>9</v>
      </c>
      <c r="G43" s="101">
        <f>F43*4</f>
        <v/>
      </c>
      <c r="H43" s="106" t="n">
        <v>257744</v>
      </c>
      <c r="I43" s="107" t="inlineStr">
        <is>
          <t>신창기업(주)(배창환)</t>
        </is>
      </c>
      <c r="J43" s="108" t="n"/>
      <c r="K43" s="108" t="n"/>
      <c r="L43" s="108" t="n"/>
      <c r="M43" s="108" t="n"/>
      <c r="N43" s="108" t="n"/>
      <c r="O43" s="108" t="n"/>
      <c r="P43" s="101" t="n"/>
      <c r="Q43" s="109" t="n"/>
      <c r="R43" s="108" t="n"/>
      <c r="S43" s="110" t="inlineStr">
        <is>
          <t>🔲 데이터수집예정</t>
        </is>
      </c>
      <c r="T43" s="136" t="n"/>
      <c r="W43" s="111" t="n"/>
    </row>
    <row r="44" ht="18" customHeight="1" s="97">
      <c r="A44" s="112" t="n">
        <v>42</v>
      </c>
      <c r="B44" s="113" t="inlineStr">
        <is>
          <t>경기</t>
        </is>
      </c>
      <c r="C44" s="122" t="inlineStr">
        <is>
          <t>베네스트G.C</t>
        </is>
      </c>
      <c r="D44" s="115" t="inlineStr">
        <is>
          <t>회원제</t>
        </is>
      </c>
      <c r="E44" s="116" t="inlineStr">
        <is>
          <t>가평군 상면 둔덕말길 232</t>
        </is>
      </c>
      <c r="F44" s="112" t="n">
        <v>27</v>
      </c>
      <c r="G44" s="112">
        <f>F44*4</f>
        <v/>
      </c>
      <c r="H44" s="117" t="n">
        <v>1707465</v>
      </c>
      <c r="I44" s="118" t="inlineStr">
        <is>
          <t>삼성물산㈜ (정금용)</t>
        </is>
      </c>
      <c r="J44" s="108" t="n"/>
      <c r="K44" s="108" t="n"/>
      <c r="L44" s="108" t="n"/>
      <c r="M44" s="108" t="n"/>
      <c r="N44" s="108" t="n"/>
      <c r="O44" s="108" t="n"/>
      <c r="P44" s="112" t="n"/>
      <c r="Q44" s="119" t="n"/>
      <c r="R44" s="108" t="n"/>
      <c r="S44" s="110" t="inlineStr">
        <is>
          <t>🔲 데이터수집예정</t>
        </is>
      </c>
      <c r="T44" s="126" t="n"/>
      <c r="W44" s="121" t="n"/>
    </row>
    <row r="45" ht="18" customHeight="1" s="97">
      <c r="A45" s="101" t="n">
        <v>43</v>
      </c>
      <c r="B45" s="102" t="inlineStr">
        <is>
          <t>경기</t>
        </is>
      </c>
      <c r="C45" s="123" t="inlineStr">
        <is>
          <t>베뉴지C.C</t>
        </is>
      </c>
      <c r="D45" s="104" t="inlineStr">
        <is>
          <t>대중제</t>
        </is>
      </c>
      <c r="E45" s="105" t="inlineStr">
        <is>
          <t>가평군 가평읍 용추로 171번길 100</t>
        </is>
      </c>
      <c r="F45" s="101" t="n">
        <v>27</v>
      </c>
      <c r="G45" s="101">
        <f>F45*4</f>
        <v/>
      </c>
      <c r="H45" s="106" t="n">
        <v>1694212</v>
      </c>
      <c r="I45" s="107" t="inlineStr">
        <is>
          <t>부국관광㈜ (김연경)</t>
        </is>
      </c>
      <c r="J45" s="108" t="n"/>
      <c r="K45" s="108" t="n"/>
      <c r="L45" s="108" t="n"/>
      <c r="M45" s="108" t="n"/>
      <c r="N45" s="108" t="n"/>
      <c r="O45" s="108" t="n"/>
      <c r="P45" s="101" t="n"/>
      <c r="Q45" s="109" t="n"/>
      <c r="R45" s="108" t="n"/>
      <c r="S45" s="110" t="inlineStr">
        <is>
          <t>🔲 데이터수집예정</t>
        </is>
      </c>
      <c r="T45" s="136" t="n"/>
      <c r="W45" s="111" t="n"/>
    </row>
    <row r="46" ht="18" customHeight="1" s="97">
      <c r="A46" s="112" t="n">
        <v>44</v>
      </c>
      <c r="B46" s="113" t="inlineStr">
        <is>
          <t>경기</t>
        </is>
      </c>
      <c r="C46" s="122" t="inlineStr">
        <is>
          <t>베스트밸리</t>
        </is>
      </c>
      <c r="D46" s="104" t="inlineStr">
        <is>
          <t>대중제</t>
        </is>
      </c>
      <c r="E46" s="116" t="inlineStr">
        <is>
          <t>파주시 광탄면 장지산로200번길 32-41</t>
        </is>
      </c>
      <c r="F46" s="112" t="n">
        <v>9</v>
      </c>
      <c r="G46" s="112">
        <f>F46*4</f>
        <v/>
      </c>
      <c r="H46" s="117" t="n">
        <v>411962</v>
      </c>
      <c r="I46" s="118" t="inlineStr">
        <is>
          <t>㈜베스트밸리(박세철)</t>
        </is>
      </c>
      <c r="J46" s="108" t="n"/>
      <c r="K46" s="108" t="n"/>
      <c r="L46" s="108" t="n"/>
      <c r="M46" s="108" t="n"/>
      <c r="N46" s="108" t="n"/>
      <c r="O46" s="108" t="n"/>
      <c r="P46" s="112" t="n"/>
      <c r="Q46" s="119" t="n"/>
      <c r="R46" s="108" t="n"/>
      <c r="S46" s="110" t="inlineStr">
        <is>
          <t>🔲 데이터수집예정</t>
        </is>
      </c>
      <c r="T46" s="126" t="n"/>
      <c r="W46" s="121" t="n"/>
    </row>
    <row r="47" ht="18" customHeight="1" s="97">
      <c r="A47" s="101" t="n">
        <v>45</v>
      </c>
      <c r="B47" s="102" t="inlineStr">
        <is>
          <t>경기</t>
        </is>
      </c>
      <c r="C47" s="123" t="inlineStr">
        <is>
          <t>베어크리크골프클럽</t>
        </is>
      </c>
      <c r="D47" s="104" t="inlineStr">
        <is>
          <t>대중제</t>
        </is>
      </c>
      <c r="E47" s="105" t="inlineStr">
        <is>
          <t>포천시 화현면 달인동로 35</t>
        </is>
      </c>
      <c r="F47" s="101" t="n">
        <v>36</v>
      </c>
      <c r="G47" s="101">
        <f>F47*4</f>
        <v/>
      </c>
      <c r="H47" s="106" t="n">
        <v>2252583</v>
      </c>
      <c r="I47" s="107" t="inlineStr">
        <is>
          <t>㈜삼보개발(류경호)</t>
        </is>
      </c>
      <c r="J47" s="108" t="n"/>
      <c r="K47" s="108" t="n"/>
      <c r="L47" s="108" t="n"/>
      <c r="M47" s="108" t="n"/>
      <c r="N47" s="108" t="n"/>
      <c r="O47" s="108" t="n"/>
      <c r="P47" s="101" t="n"/>
      <c r="Q47" s="109" t="n"/>
      <c r="R47" s="108" t="n"/>
      <c r="S47" s="110" t="inlineStr">
        <is>
          <t>🔲 데이터수집예정</t>
        </is>
      </c>
      <c r="T47" s="136" t="inlineStr">
        <is>
          <t>https://www.bearcreek.co.kr/</t>
        </is>
      </c>
      <c r="U47" s="96" t="n">
        <v>1999</v>
      </c>
      <c r="V47" s="96" t="inlineStr">
        <is>
          <t>031-531-9000</t>
        </is>
      </c>
      <c r="W47" s="125" t="n"/>
    </row>
    <row r="48" ht="18" customHeight="1" s="97">
      <c r="A48" s="112" t="n">
        <v>46</v>
      </c>
      <c r="B48" s="113" t="inlineStr">
        <is>
          <t>경기</t>
        </is>
      </c>
      <c r="C48" s="122" t="inlineStr">
        <is>
          <t>블랙스톤리조트이천</t>
        </is>
      </c>
      <c r="D48" s="115" t="inlineStr">
        <is>
          <t>회원제</t>
        </is>
      </c>
      <c r="E48" s="116" t="inlineStr">
        <is>
          <t>이천시 장호원읍 장여로 459-160</t>
        </is>
      </c>
      <c r="F48" s="112" t="n">
        <v>18</v>
      </c>
      <c r="G48" s="112">
        <f>F48*4</f>
        <v/>
      </c>
      <c r="H48" s="117" t="n">
        <v>874136</v>
      </c>
      <c r="I48" s="118" t="inlineStr">
        <is>
          <t>㈜블랙스톤리조트 이천(원기룡)</t>
        </is>
      </c>
      <c r="J48" s="108" t="n"/>
      <c r="K48" s="108" t="n"/>
      <c r="L48" s="108" t="n"/>
      <c r="M48" s="108" t="n"/>
      <c r="N48" s="108" t="n"/>
      <c r="O48" s="108" t="n"/>
      <c r="P48" s="112" t="n"/>
      <c r="Q48" s="119" t="n"/>
      <c r="R48" s="108" t="n"/>
      <c r="S48" s="110" t="inlineStr">
        <is>
          <t>🔲 데이터수집예정</t>
        </is>
      </c>
      <c r="T48" s="126" t="n"/>
      <c r="W48" s="121" t="n"/>
    </row>
    <row r="49" ht="18" customHeight="1" s="97">
      <c r="A49" s="101" t="n">
        <v>47</v>
      </c>
      <c r="B49" s="102" t="inlineStr">
        <is>
          <t>경기</t>
        </is>
      </c>
      <c r="C49" s="123" t="inlineStr">
        <is>
          <t>블루원용인CC</t>
        </is>
      </c>
      <c r="D49" s="115" t="inlineStr">
        <is>
          <t>회원제</t>
        </is>
      </c>
      <c r="E49" s="105" t="inlineStr">
        <is>
          <t>용인시 처인구 원삼면 보개원삼로 1534번길 40</t>
        </is>
      </c>
      <c r="F49" s="101" t="n">
        <v>18</v>
      </c>
      <c r="G49" s="101">
        <f>F49*4</f>
        <v/>
      </c>
      <c r="H49" s="106" t="n">
        <v>1079798</v>
      </c>
      <c r="I49" s="107" t="inlineStr">
        <is>
          <t>윤재원</t>
        </is>
      </c>
      <c r="J49" s="108" t="n"/>
      <c r="K49" s="108" t="n"/>
      <c r="L49" s="108" t="n"/>
      <c r="M49" s="108" t="n"/>
      <c r="N49" s="108" t="n"/>
      <c r="O49" s="108" t="n"/>
      <c r="P49" s="101" t="n"/>
      <c r="Q49" s="109" t="n"/>
      <c r="R49" s="108" t="n"/>
      <c r="S49" s="110" t="inlineStr">
        <is>
          <t>🔲 데이터수집예정</t>
        </is>
      </c>
      <c r="T49" s="136" t="n"/>
      <c r="W49" s="111" t="n"/>
    </row>
    <row r="50" ht="18" customHeight="1" s="97">
      <c r="A50" s="112" t="n">
        <v>48</v>
      </c>
      <c r="B50" s="113" t="inlineStr">
        <is>
          <t>경기</t>
        </is>
      </c>
      <c r="C50" s="122" t="inlineStr">
        <is>
          <t>블루헤런</t>
        </is>
      </c>
      <c r="D50" s="115" t="inlineStr">
        <is>
          <t>회원제</t>
        </is>
      </c>
      <c r="E50" s="116" t="inlineStr">
        <is>
          <t>여주시 대신면 고달사로 67(대신면 상구리 산11-1)</t>
        </is>
      </c>
      <c r="F50" s="112" t="n">
        <v>18</v>
      </c>
      <c r="G50" s="112">
        <f>F50*4</f>
        <v/>
      </c>
      <c r="H50" s="117" t="n">
        <v>1081010</v>
      </c>
      <c r="I50" s="118" t="inlineStr">
        <is>
          <t>블루헤런㈜(권오삼)</t>
        </is>
      </c>
      <c r="J50" s="108" t="n"/>
      <c r="K50" s="108" t="n"/>
      <c r="L50" s="108" t="n"/>
      <c r="M50" s="108" t="n"/>
      <c r="N50" s="108" t="n"/>
      <c r="O50" s="108" t="n"/>
      <c r="P50" s="112" t="n"/>
      <c r="Q50" s="119" t="n"/>
      <c r="R50" s="108" t="n"/>
      <c r="S50" s="110" t="inlineStr">
        <is>
          <t>🔲 데이터수집예정</t>
        </is>
      </c>
      <c r="T50" s="126" t="inlineStr">
        <is>
          <t>https://www.blueheron.co.kr/</t>
        </is>
      </c>
      <c r="U50" s="96" t="n">
        <v>2007</v>
      </c>
      <c r="V50" s="96" t="inlineStr">
        <is>
          <t>041-621-8000</t>
        </is>
      </c>
      <c r="W50" s="121" t="n"/>
    </row>
    <row r="51" ht="18" customHeight="1" s="97">
      <c r="A51" s="101" t="n">
        <v>49</v>
      </c>
      <c r="B51" s="102" t="inlineStr">
        <is>
          <t>경기</t>
        </is>
      </c>
      <c r="C51" s="123" t="inlineStr">
        <is>
          <t>비에이비스타C.C.</t>
        </is>
      </c>
      <c r="D51" s="115" t="inlineStr">
        <is>
          <t>회원제</t>
        </is>
      </c>
      <c r="E51" s="105" t="inlineStr">
        <is>
          <t>이천시 모가면 어농로 272</t>
        </is>
      </c>
      <c r="F51" s="101" t="n">
        <v>36</v>
      </c>
      <c r="G51" s="101">
        <f>F51*4</f>
        <v/>
      </c>
      <c r="H51" s="106" t="n">
        <v>1580588</v>
      </c>
      <c r="I51" s="107" t="inlineStr">
        <is>
          <t>㈜삼풍관광(최철종)</t>
        </is>
      </c>
      <c r="J51" s="108" t="n"/>
      <c r="K51" s="108" t="n"/>
      <c r="L51" s="108" t="n"/>
      <c r="M51" s="108" t="n"/>
      <c r="N51" s="108" t="n"/>
      <c r="O51" s="108" t="n"/>
      <c r="P51" s="101" t="n"/>
      <c r="Q51" s="109" t="n"/>
      <c r="R51" s="108" t="n"/>
      <c r="S51" s="110" t="inlineStr">
        <is>
          <t>🔲 데이터수집예정</t>
        </is>
      </c>
      <c r="T51" s="136" t="n"/>
      <c r="W51" s="111" t="n"/>
    </row>
    <row r="52" ht="18" customHeight="1" s="97">
      <c r="A52" s="112" t="n">
        <v>50</v>
      </c>
      <c r="B52" s="113" t="inlineStr">
        <is>
          <t>경기</t>
        </is>
      </c>
      <c r="C52" s="122" t="inlineStr">
        <is>
          <t>비전힐스C.C</t>
        </is>
      </c>
      <c r="D52" s="115" t="inlineStr">
        <is>
          <t>회원제</t>
        </is>
      </c>
      <c r="E52" s="116" t="inlineStr">
        <is>
          <t>남양주시 화도읍 마치로 226-220</t>
        </is>
      </c>
      <c r="F52" s="112" t="n">
        <v>18</v>
      </c>
      <c r="G52" s="112">
        <f>F52*4</f>
        <v/>
      </c>
      <c r="H52" s="117" t="n">
        <v>980000</v>
      </c>
      <c r="I52" s="118" t="inlineStr">
        <is>
          <t>㈜비젼힐스김상대</t>
        </is>
      </c>
      <c r="J52" s="108" t="n"/>
      <c r="K52" s="108" t="n"/>
      <c r="L52" s="108" t="n"/>
      <c r="M52" s="108" t="n"/>
      <c r="N52" s="108" t="n"/>
      <c r="O52" s="108" t="n"/>
      <c r="P52" s="112" t="n"/>
      <c r="Q52" s="119" t="n"/>
      <c r="R52" s="108" t="n"/>
      <c r="S52" s="110" t="inlineStr">
        <is>
          <t>🔲 데이터수집예정</t>
        </is>
      </c>
      <c r="T52" s="126" t="inlineStr">
        <is>
          <t>https://www.visionhills.co.kr/</t>
        </is>
      </c>
      <c r="U52" s="96" t="n">
        <v>2008</v>
      </c>
      <c r="V52" s="96" t="inlineStr">
        <is>
          <t>031-886-9000</t>
        </is>
      </c>
      <c r="W52" s="121" t="n"/>
    </row>
    <row r="53" ht="18" customHeight="1" s="97">
      <c r="A53" s="101" t="n">
        <v>51</v>
      </c>
      <c r="B53" s="102" t="inlineStr">
        <is>
          <t>경기</t>
        </is>
      </c>
      <c r="C53" s="123" t="inlineStr">
        <is>
          <t>빅토리아</t>
        </is>
      </c>
      <c r="D53" s="104" t="inlineStr">
        <is>
          <t>대중제</t>
        </is>
      </c>
      <c r="E53" s="105" t="inlineStr">
        <is>
          <t>여주시 가남읍 송삼로 191(가남면 송림리 214)</t>
        </is>
      </c>
      <c r="F53" s="101" t="n">
        <v>9</v>
      </c>
      <c r="G53" s="101">
        <f>F53*4</f>
        <v/>
      </c>
      <c r="H53" s="106" t="n">
        <v>264176</v>
      </c>
      <c r="I53" s="107" t="inlineStr">
        <is>
          <t>㈜에스비레져(원용석)</t>
        </is>
      </c>
      <c r="J53" s="108" t="n"/>
      <c r="K53" s="108" t="n"/>
      <c r="L53" s="108" t="n"/>
      <c r="M53" s="108" t="n"/>
      <c r="N53" s="108" t="n"/>
      <c r="O53" s="108" t="n"/>
      <c r="P53" s="101" t="n"/>
      <c r="Q53" s="109" t="n"/>
      <c r="R53" s="108" t="n"/>
      <c r="S53" s="110" t="inlineStr">
        <is>
          <t>🔲 데이터수집예정</t>
        </is>
      </c>
      <c r="T53" s="136" t="n"/>
      <c r="W53" s="111" t="n"/>
    </row>
    <row r="54" ht="18" customHeight="1" s="97">
      <c r="A54" s="112" t="n">
        <v>52</v>
      </c>
      <c r="B54" s="113" t="inlineStr">
        <is>
          <t>경기</t>
        </is>
      </c>
      <c r="C54" s="122" t="inlineStr">
        <is>
          <t>사우스스프링스C.C.</t>
        </is>
      </c>
      <c r="D54" s="104" t="inlineStr">
        <is>
          <t>대중제</t>
        </is>
      </c>
      <c r="E54" s="116" t="inlineStr">
        <is>
          <t>이천시 모가면 공원로 64</t>
        </is>
      </c>
      <c r="F54" s="112" t="n">
        <v>18</v>
      </c>
      <c r="G54" s="112">
        <f>F54*4</f>
        <v/>
      </c>
      <c r="H54" s="117" t="n">
        <v>975509</v>
      </c>
      <c r="I54" s="118" t="inlineStr">
        <is>
          <t>㈜사우스스프링스(장수진)</t>
        </is>
      </c>
      <c r="J54" s="108" t="n"/>
      <c r="K54" s="108" t="n"/>
      <c r="L54" s="108" t="n"/>
      <c r="M54" s="108" t="n"/>
      <c r="N54" s="108" t="n"/>
      <c r="O54" s="108" t="n"/>
      <c r="P54" s="112" t="n"/>
      <c r="Q54" s="119" t="n"/>
      <c r="R54" s="108" t="n"/>
      <c r="S54" s="110" t="inlineStr">
        <is>
          <t>🔲 데이터수집예정</t>
        </is>
      </c>
      <c r="T54" s="126" t="n"/>
      <c r="W54" s="121" t="n"/>
    </row>
    <row r="55" ht="18" customHeight="1" s="97">
      <c r="A55" s="101" t="n">
        <v>53</v>
      </c>
      <c r="B55" s="102" t="inlineStr">
        <is>
          <t>경기</t>
        </is>
      </c>
      <c r="C55" s="123" t="inlineStr">
        <is>
          <t>삼성물산(주)안양컨트리클럽</t>
        </is>
      </c>
      <c r="D55" s="115" t="inlineStr">
        <is>
          <t>회원제</t>
        </is>
      </c>
      <c r="E55" s="105" t="inlineStr">
        <is>
          <t>군포시 군포로364(부곡동)</t>
        </is>
      </c>
      <c r="F55" s="101" t="n">
        <v>18</v>
      </c>
      <c r="G55" s="101">
        <f>F55*4</f>
        <v/>
      </c>
      <c r="H55" s="106" t="n">
        <v>878287</v>
      </c>
      <c r="I55" s="107" t="inlineStr">
        <is>
          <t>삼성물산(주)안양컨트리클럽(한승환)</t>
        </is>
      </c>
      <c r="J55" s="108" t="n"/>
      <c r="K55" s="108" t="n"/>
      <c r="L55" s="108" t="n"/>
      <c r="M55" s="108" t="n"/>
      <c r="N55" s="108" t="n"/>
      <c r="O55" s="108" t="n"/>
      <c r="P55" s="101" t="n"/>
      <c r="Q55" s="109" t="n"/>
      <c r="R55" s="108" t="n"/>
      <c r="S55" s="110" t="inlineStr">
        <is>
          <t>🔲 데이터수집예정</t>
        </is>
      </c>
      <c r="T55" s="136" t="n"/>
      <c r="W55" s="111" t="n"/>
    </row>
    <row r="56" ht="18" customHeight="1" s="97">
      <c r="A56" s="112" t="n">
        <v>54</v>
      </c>
      <c r="B56" s="113" t="inlineStr">
        <is>
          <t>경기</t>
        </is>
      </c>
      <c r="C56" s="122" t="inlineStr">
        <is>
          <t>상록GC</t>
        </is>
      </c>
      <c r="D56" s="104" t="inlineStr">
        <is>
          <t>대중제</t>
        </is>
      </c>
      <c r="E56" s="116" t="inlineStr">
        <is>
          <t>화성시 동탄면 풀무골로60번길 80</t>
        </is>
      </c>
      <c r="F56" s="112" t="n">
        <v>27</v>
      </c>
      <c r="G56" s="112">
        <f>F56*4</f>
        <v/>
      </c>
      <c r="H56" s="117" t="n">
        <v>1472080</v>
      </c>
      <c r="I56" s="118" t="inlineStr">
        <is>
          <t>공무원연금관리공단(박노종)</t>
        </is>
      </c>
      <c r="J56" s="108" t="n"/>
      <c r="K56" s="108" t="n"/>
      <c r="L56" s="108" t="n"/>
      <c r="M56" s="108" t="n"/>
      <c r="N56" s="108" t="n"/>
      <c r="O56" s="108" t="n"/>
      <c r="P56" s="112" t="n"/>
      <c r="Q56" s="119" t="n"/>
      <c r="R56" s="108" t="n"/>
      <c r="S56" s="110" t="inlineStr">
        <is>
          <t>🔲 데이터수집예정</t>
        </is>
      </c>
      <c r="T56" s="126" t="n"/>
      <c r="W56" s="121" t="n"/>
    </row>
    <row r="57" ht="18" customHeight="1" s="97">
      <c r="A57" s="101" t="n">
        <v>55</v>
      </c>
      <c r="B57" s="102" t="inlineStr">
        <is>
          <t>경기</t>
        </is>
      </c>
      <c r="C57" s="123" t="inlineStr">
        <is>
          <t>샴발라 컨트리클럽</t>
        </is>
      </c>
      <c r="D57" s="104" t="inlineStr">
        <is>
          <t>대중제</t>
        </is>
      </c>
      <c r="E57" s="105" t="inlineStr">
        <is>
          <t>포천시 군내면 직두리 산1-1번지 일원</t>
        </is>
      </c>
      <c r="F57" s="101" t="n">
        <v>18</v>
      </c>
      <c r="G57" s="101">
        <f>F57*4</f>
        <v/>
      </c>
      <c r="H57" s="106" t="n">
        <v>851634</v>
      </c>
      <c r="I57" s="107" t="inlineStr">
        <is>
          <t>㈜샴발라(이완국)</t>
        </is>
      </c>
      <c r="J57" s="108" t="n"/>
      <c r="K57" s="108" t="n"/>
      <c r="L57" s="108" t="n"/>
      <c r="M57" s="108" t="n"/>
      <c r="N57" s="108" t="n"/>
      <c r="O57" s="108" t="n"/>
      <c r="P57" s="101" t="n"/>
      <c r="Q57" s="109" t="n"/>
      <c r="R57" s="108" t="n"/>
      <c r="S57" s="110" t="inlineStr">
        <is>
          <t>🔲 데이터수집예정</t>
        </is>
      </c>
      <c r="T57" s="136" t="n"/>
      <c r="W57" s="111" t="n"/>
    </row>
    <row r="58" ht="18" customHeight="1" s="97">
      <c r="A58" s="112" t="n">
        <v>56</v>
      </c>
      <c r="B58" s="113" t="inlineStr">
        <is>
          <t>경기</t>
        </is>
      </c>
      <c r="C58" s="122" t="inlineStr">
        <is>
          <t>서서울</t>
        </is>
      </c>
      <c r="D58" s="115" t="inlineStr">
        <is>
          <t>회원제</t>
        </is>
      </c>
      <c r="E58" s="116" t="inlineStr">
        <is>
          <t>파주시 광탄면 혜음로 324</t>
        </is>
      </c>
      <c r="F58" s="112" t="n">
        <v>18</v>
      </c>
      <c r="G58" s="112">
        <f>F58*4</f>
        <v/>
      </c>
      <c r="H58" s="117" t="n">
        <v>1035150</v>
      </c>
      <c r="I58" s="118" t="inlineStr">
        <is>
          <t>호반서서울(주)(이정호)</t>
        </is>
      </c>
      <c r="J58" s="108" t="n"/>
      <c r="K58" s="108" t="n"/>
      <c r="L58" s="108" t="n"/>
      <c r="M58" s="108" t="n"/>
      <c r="N58" s="108" t="n"/>
      <c r="O58" s="108" t="n"/>
      <c r="P58" s="112" t="n"/>
      <c r="Q58" s="119" t="n"/>
      <c r="R58" s="108" t="n"/>
      <c r="S58" s="110" t="inlineStr">
        <is>
          <t>🔲 데이터수집예정</t>
        </is>
      </c>
      <c r="T58" s="126" t="inlineStr">
        <is>
          <t>https://www.seoseoul.co.kr/</t>
        </is>
      </c>
      <c r="U58" s="96" t="n">
        <v>1978</v>
      </c>
      <c r="V58" s="96" t="inlineStr">
        <is>
          <t>031-499-0123</t>
        </is>
      </c>
      <c r="W58" s="121" t="n"/>
    </row>
    <row r="59" ht="18" customHeight="1" s="97">
      <c r="A59" s="101" t="n">
        <v>57</v>
      </c>
      <c r="B59" s="102" t="inlineStr">
        <is>
          <t>경기</t>
        </is>
      </c>
      <c r="C59" s="123" t="inlineStr">
        <is>
          <t>서원밸리</t>
        </is>
      </c>
      <c r="D59" s="115" t="inlineStr">
        <is>
          <t>회원제</t>
        </is>
      </c>
      <c r="E59" s="105" t="inlineStr">
        <is>
          <t>파주시 광탄면 서원길 333</t>
        </is>
      </c>
      <c r="F59" s="101" t="n">
        <v>27</v>
      </c>
      <c r="G59" s="101">
        <f>F59*4</f>
        <v/>
      </c>
      <c r="H59" s="106" t="n">
        <v>1275973</v>
      </c>
      <c r="I59" s="107" t="inlineStr">
        <is>
          <t>서원레저㈜(이석호)</t>
        </is>
      </c>
      <c r="J59" s="108" t="n"/>
      <c r="K59" s="108" t="n"/>
      <c r="L59" s="108" t="n"/>
      <c r="M59" s="108" t="n"/>
      <c r="N59" s="108" t="n"/>
      <c r="O59" s="108" t="n"/>
      <c r="P59" s="101" t="n"/>
      <c r="Q59" s="109" t="n"/>
      <c r="R59" s="108" t="n"/>
      <c r="S59" s="110" t="inlineStr">
        <is>
          <t>🔲 데이터수집예정</t>
        </is>
      </c>
      <c r="T59" s="136" t="inlineStr">
        <is>
          <t>https://www.seowongolf.co.kr/</t>
        </is>
      </c>
      <c r="U59" s="96" t="n">
        <v>2001</v>
      </c>
      <c r="V59" s="96" t="inlineStr">
        <is>
          <t>031-940-9400</t>
        </is>
      </c>
      <c r="W59" s="125" t="n"/>
    </row>
    <row r="60" ht="18" customHeight="1" s="97">
      <c r="A60" s="112" t="n">
        <v>58</v>
      </c>
      <c r="B60" s="113" t="inlineStr">
        <is>
          <t>경기</t>
        </is>
      </c>
      <c r="C60" s="122" t="inlineStr">
        <is>
          <t>석천CC</t>
        </is>
      </c>
      <c r="D60" s="104" t="inlineStr">
        <is>
          <t>대중제</t>
        </is>
      </c>
      <c r="E60" s="116" t="inlineStr">
        <is>
          <t>용인시 처인구 백암면 황새울로 255</t>
        </is>
      </c>
      <c r="F60" s="112" t="n">
        <v>9</v>
      </c>
      <c r="G60" s="112">
        <f>F60*4</f>
        <v/>
      </c>
      <c r="H60" s="117" t="n">
        <v>241685</v>
      </c>
      <c r="I60" s="118" t="inlineStr">
        <is>
          <t>박범준</t>
        </is>
      </c>
      <c r="J60" s="108" t="n"/>
      <c r="K60" s="108" t="n"/>
      <c r="L60" s="108" t="n"/>
      <c r="M60" s="108" t="n"/>
      <c r="N60" s="108" t="n"/>
      <c r="O60" s="108" t="n"/>
      <c r="P60" s="112" t="n"/>
      <c r="Q60" s="119" t="n"/>
      <c r="R60" s="108" t="n"/>
      <c r="S60" s="110" t="inlineStr">
        <is>
          <t>🔲 데이터수집예정</t>
        </is>
      </c>
      <c r="T60" s="126" t="n"/>
      <c r="W60" s="121" t="n"/>
    </row>
    <row r="61" ht="18" customHeight="1" s="97">
      <c r="A61" s="101" t="n">
        <v>59</v>
      </c>
      <c r="B61" s="102" t="inlineStr">
        <is>
          <t>경기</t>
        </is>
      </c>
      <c r="C61" s="123" t="inlineStr">
        <is>
          <t>세라지오GC</t>
        </is>
      </c>
      <c r="D61" s="104" t="inlineStr">
        <is>
          <t>대중제</t>
        </is>
      </c>
      <c r="E61" s="105" t="inlineStr">
        <is>
          <t>여주시 여양로 530(북내면 신남리 산30-2)</t>
        </is>
      </c>
      <c r="F61" s="101" t="n">
        <v>18</v>
      </c>
      <c r="G61" s="101">
        <f>F61*4</f>
        <v/>
      </c>
      <c r="H61" s="106" t="n">
        <v>993332</v>
      </c>
      <c r="I61" s="107" t="inlineStr">
        <is>
          <t>주식회사 신한은행(문태식)</t>
        </is>
      </c>
      <c r="J61" s="108" t="n"/>
      <c r="K61" s="108" t="n"/>
      <c r="L61" s="108" t="n"/>
      <c r="M61" s="108" t="n"/>
      <c r="N61" s="108" t="n"/>
      <c r="O61" s="108" t="n"/>
      <c r="P61" s="101" t="n"/>
      <c r="Q61" s="109" t="n"/>
      <c r="R61" s="108" t="n"/>
      <c r="S61" s="110" t="inlineStr">
        <is>
          <t>🔲 데이터수집예정</t>
        </is>
      </c>
      <c r="T61" s="136" t="inlineStr">
        <is>
          <t>https://www.serragio.co.kr/</t>
        </is>
      </c>
      <c r="U61" s="96" t="n">
        <v>2007</v>
      </c>
      <c r="V61" s="96" t="inlineStr">
        <is>
          <t>031-880-8000</t>
        </is>
      </c>
      <c r="W61" s="125" t="n"/>
    </row>
    <row r="62" ht="18" customHeight="1" s="97">
      <c r="A62" s="112" t="n">
        <v>60</v>
      </c>
      <c r="B62" s="113" t="inlineStr">
        <is>
          <t>경기</t>
        </is>
      </c>
      <c r="C62" s="122" t="inlineStr">
        <is>
          <t>세현CC</t>
        </is>
      </c>
      <c r="D62" s="104" t="inlineStr">
        <is>
          <t>대중제</t>
        </is>
      </c>
      <c r="E62" s="116" t="inlineStr">
        <is>
          <t>용인시 처인구 이동읍 백자로 450</t>
        </is>
      </c>
      <c r="F62" s="112" t="n">
        <v>18</v>
      </c>
      <c r="G62" s="112">
        <f>F62*4</f>
        <v/>
      </c>
      <c r="H62" s="117" t="n">
        <v>997843</v>
      </c>
      <c r="I62" s="118" t="inlineStr">
        <is>
          <t>서남종</t>
        </is>
      </c>
      <c r="J62" s="108" t="n"/>
      <c r="K62" s="108" t="n"/>
      <c r="L62" s="108" t="n"/>
      <c r="M62" s="108" t="n"/>
      <c r="N62" s="108" t="n"/>
      <c r="O62" s="108" t="n"/>
      <c r="P62" s="112" t="n"/>
      <c r="Q62" s="119" t="n"/>
      <c r="R62" s="108" t="n"/>
      <c r="S62" s="110" t="inlineStr">
        <is>
          <t>🔲 데이터수집예정</t>
        </is>
      </c>
      <c r="T62" s="126" t="n"/>
      <c r="W62" s="121" t="n"/>
    </row>
    <row r="63" ht="18" customHeight="1" s="97">
      <c r="A63" s="101" t="n">
        <v>61</v>
      </c>
      <c r="B63" s="102" t="inlineStr">
        <is>
          <t>경기</t>
        </is>
      </c>
      <c r="C63" s="123" t="inlineStr">
        <is>
          <t>소피아그린</t>
        </is>
      </c>
      <c r="D63" s="104" t="inlineStr">
        <is>
          <t>대중제</t>
        </is>
      </c>
      <c r="E63" s="105" t="inlineStr">
        <is>
          <t>여주시 점동면 소피아그린길 84(점동면 현수리 산13)</t>
        </is>
      </c>
      <c r="F63" s="101" t="n">
        <v>27</v>
      </c>
      <c r="G63" s="101">
        <f>F63*4</f>
        <v/>
      </c>
      <c r="H63" s="106" t="n">
        <v>1438632</v>
      </c>
      <c r="I63" s="107" t="inlineStr">
        <is>
          <t>더케이소피아그린㈜(김용덕)</t>
        </is>
      </c>
      <c r="J63" s="108" t="n"/>
      <c r="K63" s="108" t="n"/>
      <c r="L63" s="108" t="n"/>
      <c r="M63" s="108" t="n"/>
      <c r="N63" s="108" t="n"/>
      <c r="O63" s="108" t="n"/>
      <c r="P63" s="101" t="n"/>
      <c r="Q63" s="109" t="n"/>
      <c r="R63" s="108" t="n"/>
      <c r="S63" s="110" t="inlineStr">
        <is>
          <t>🔲 데이터수집예정</t>
        </is>
      </c>
      <c r="T63" s="136" t="n"/>
      <c r="W63" s="111" t="n"/>
    </row>
    <row r="64" ht="18" customHeight="1" s="97">
      <c r="A64" s="112" t="n">
        <v>62</v>
      </c>
      <c r="B64" s="113" t="inlineStr">
        <is>
          <t>경기</t>
        </is>
      </c>
      <c r="C64" s="122" t="inlineStr">
        <is>
          <t>솔모로</t>
        </is>
      </c>
      <c r="D64" s="115" t="inlineStr">
        <is>
          <t>회원제</t>
        </is>
      </c>
      <c r="E64" s="116" t="inlineStr">
        <is>
          <t>여주시 가남읍 솔모로그린길 171(가남면 양귀리 산69)</t>
        </is>
      </c>
      <c r="F64" s="112" t="n">
        <v>36</v>
      </c>
      <c r="G64" s="112">
        <f>F64*4</f>
        <v/>
      </c>
      <c r="H64" s="117" t="n">
        <v>1924173</v>
      </c>
      <c r="I64" s="126" t="inlineStr">
        <is>
          <t>(주)한일레저(김정억)</t>
        </is>
      </c>
      <c r="J64" s="108" t="n"/>
      <c r="K64" s="108" t="n"/>
      <c r="L64" s="108" t="n"/>
      <c r="M64" s="108" t="n"/>
      <c r="N64" s="108" t="n"/>
      <c r="O64" s="108" t="n"/>
      <c r="P64" s="112" t="n"/>
      <c r="Q64" s="119" t="n"/>
      <c r="R64" s="108" t="n"/>
      <c r="S64" s="110" t="inlineStr">
        <is>
          <t>🔲 데이터수집예정</t>
        </is>
      </c>
      <c r="T64" s="126" t="n"/>
      <c r="W64" s="121" t="n"/>
    </row>
    <row r="65" ht="18" customHeight="1" s="97">
      <c r="A65" s="101" t="n">
        <v>63</v>
      </c>
      <c r="B65" s="102" t="inlineStr">
        <is>
          <t>경기</t>
        </is>
      </c>
      <c r="C65" s="123" t="inlineStr">
        <is>
          <t>솔트베이 골프클럽</t>
        </is>
      </c>
      <c r="D65" s="104" t="inlineStr">
        <is>
          <t>대중제</t>
        </is>
      </c>
      <c r="E65" s="105" t="inlineStr">
        <is>
          <t>시흥시 마유로 987 (장곡동)</t>
        </is>
      </c>
      <c r="F65" s="101" t="n">
        <v>18</v>
      </c>
      <c r="G65" s="101">
        <f>F65*4</f>
        <v/>
      </c>
      <c r="H65" s="106" t="n">
        <v>651583</v>
      </c>
      <c r="I65" s="107" t="inlineStr">
        <is>
          <t>㈜성담 솔트베이</t>
        </is>
      </c>
      <c r="J65" s="108" t="n"/>
      <c r="K65" s="108" t="n"/>
      <c r="L65" s="108" t="n"/>
      <c r="M65" s="108" t="n"/>
      <c r="N65" s="108" t="n"/>
      <c r="O65" s="108" t="n"/>
      <c r="P65" s="101" t="n"/>
      <c r="Q65" s="109" t="n"/>
      <c r="R65" s="108" t="n"/>
      <c r="S65" s="110" t="inlineStr">
        <is>
          <t>🔲 데이터수집예정</t>
        </is>
      </c>
      <c r="T65" s="136" t="n"/>
      <c r="W65" s="111" t="n"/>
    </row>
    <row r="66" ht="18" customHeight="1" s="97">
      <c r="A66" s="112" t="n">
        <v>64</v>
      </c>
      <c r="B66" s="113" t="inlineStr">
        <is>
          <t>경기</t>
        </is>
      </c>
      <c r="C66" s="122" t="inlineStr">
        <is>
          <t>송추cc</t>
        </is>
      </c>
      <c r="D66" s="115" t="inlineStr">
        <is>
          <t>회원제</t>
        </is>
      </c>
      <c r="E66" s="116" t="inlineStr">
        <is>
          <t>양주시 광적면 쇠장이길 435</t>
        </is>
      </c>
      <c r="F66" s="112" t="n">
        <v>18</v>
      </c>
      <c r="G66" s="112">
        <f>F66*4</f>
        <v/>
      </c>
      <c r="H66" s="117" t="n">
        <v>1401965</v>
      </c>
      <c r="I66" s="118" t="inlineStr">
        <is>
          <t>나승준</t>
        </is>
      </c>
      <c r="J66" s="108" t="n"/>
      <c r="K66" s="108" t="n"/>
      <c r="L66" s="108" t="n"/>
      <c r="M66" s="108" t="n"/>
      <c r="N66" s="108" t="n"/>
      <c r="O66" s="108" t="n"/>
      <c r="P66" s="112" t="n"/>
      <c r="Q66" s="119" t="n"/>
      <c r="R66" s="108" t="n"/>
      <c r="S66" s="110" t="inlineStr">
        <is>
          <t>🔲 데이터수집예정</t>
        </is>
      </c>
      <c r="T66" s="126" t="n"/>
      <c r="W66" s="121" t="n"/>
    </row>
    <row r="67" ht="18" customHeight="1" s="97">
      <c r="A67" s="101" t="n">
        <v>65</v>
      </c>
      <c r="B67" s="102" t="inlineStr">
        <is>
          <t>경기</t>
        </is>
      </c>
      <c r="C67" s="123" t="inlineStr">
        <is>
          <t>수원CC</t>
        </is>
      </c>
      <c r="D67" s="115" t="inlineStr">
        <is>
          <t>회원제</t>
        </is>
      </c>
      <c r="E67" s="105" t="inlineStr">
        <is>
          <t>용인시 기흥구 중부대로 495</t>
        </is>
      </c>
      <c r="F67" s="101" t="n">
        <v>36</v>
      </c>
      <c r="G67" s="101">
        <f>F67*4</f>
        <v/>
      </c>
      <c r="H67" s="106" t="n">
        <v>1480410</v>
      </c>
      <c r="I67" s="107" t="inlineStr">
        <is>
          <t>김효석,김우현</t>
        </is>
      </c>
      <c r="J67" s="108" t="n"/>
      <c r="K67" s="108" t="n"/>
      <c r="L67" s="108" t="n"/>
      <c r="M67" s="108" t="n"/>
      <c r="N67" s="108" t="n"/>
      <c r="O67" s="108" t="n"/>
      <c r="P67" s="101" t="n"/>
      <c r="Q67" s="109" t="n"/>
      <c r="R67" s="108" t="n"/>
      <c r="S67" s="110" t="inlineStr">
        <is>
          <t>🔲 데이터수집예정</t>
        </is>
      </c>
      <c r="T67" s="136" t="n"/>
      <c r="W67" s="111" t="n"/>
    </row>
    <row r="68" ht="18" customHeight="1" s="97">
      <c r="A68" s="112" t="n">
        <v>66</v>
      </c>
      <c r="B68" s="113" t="inlineStr">
        <is>
          <t>경기</t>
        </is>
      </c>
      <c r="C68" s="122" t="inlineStr">
        <is>
          <t>스마트KU골프 파빌리온</t>
        </is>
      </c>
      <c r="D68" s="104" t="inlineStr">
        <is>
          <t>대중제</t>
        </is>
      </c>
      <c r="E68" s="116" t="inlineStr">
        <is>
          <t>파주시 법원읍 보광로 1616</t>
        </is>
      </c>
      <c r="F68" s="112" t="n">
        <v>27</v>
      </c>
      <c r="G68" s="112">
        <f>F68*4</f>
        <v/>
      </c>
      <c r="H68" s="117" t="n">
        <v>1702445</v>
      </c>
      <c r="I68" s="118" t="inlineStr">
        <is>
          <t>학교법인 건국대학교(유자은)</t>
        </is>
      </c>
      <c r="J68" s="108" t="n"/>
      <c r="K68" s="108" t="n"/>
      <c r="L68" s="108" t="n"/>
      <c r="M68" s="108" t="n"/>
      <c r="N68" s="108" t="n"/>
      <c r="O68" s="108" t="n"/>
      <c r="P68" s="112" t="n"/>
      <c r="Q68" s="119" t="n"/>
      <c r="R68" s="108" t="n"/>
      <c r="S68" s="110" t="inlineStr">
        <is>
          <t>🔲 데이터수집예정</t>
        </is>
      </c>
      <c r="T68" s="126" t="n"/>
      <c r="W68" s="121" t="n"/>
    </row>
    <row r="69" ht="18" customHeight="1" s="97">
      <c r="A69" s="101" t="n">
        <v>67</v>
      </c>
      <c r="B69" s="102" t="inlineStr">
        <is>
          <t>경기</t>
        </is>
      </c>
      <c r="C69" s="123" t="inlineStr">
        <is>
          <t>스카이밸리</t>
        </is>
      </c>
      <c r="D69" s="115" t="inlineStr">
        <is>
          <t>회원제</t>
        </is>
      </c>
      <c r="E69" s="105" t="inlineStr">
        <is>
          <t>여주시 북내면 운촌길 254(북내면 운촌리 산40)</t>
        </is>
      </c>
      <c r="F69" s="101" t="n">
        <v>18</v>
      </c>
      <c r="G69" s="101">
        <f>F69*4</f>
        <v/>
      </c>
      <c r="H69" s="106" t="n">
        <v>1048693</v>
      </c>
      <c r="I69" s="107" t="inlineStr">
        <is>
          <t>힐드로사이㈜(이재원)</t>
        </is>
      </c>
      <c r="J69" s="108" t="n"/>
      <c r="K69" s="108" t="n"/>
      <c r="L69" s="108" t="n"/>
      <c r="M69" s="108" t="n"/>
      <c r="N69" s="108" t="n"/>
      <c r="O69" s="108" t="n"/>
      <c r="P69" s="101" t="n"/>
      <c r="Q69" s="109" t="n"/>
      <c r="R69" s="108" t="n"/>
      <c r="S69" s="110" t="inlineStr">
        <is>
          <t>🔲 데이터수집예정</t>
        </is>
      </c>
      <c r="T69" s="136" t="inlineStr">
        <is>
          <t>https://www.skyvalley.co.kr/</t>
        </is>
      </c>
      <c r="U69" s="96" t="n">
        <v>2008</v>
      </c>
      <c r="V69" s="96" t="inlineStr">
        <is>
          <t>031-637-5000</t>
        </is>
      </c>
      <c r="W69" s="125" t="n"/>
    </row>
    <row r="70" ht="18" customHeight="1" s="97">
      <c r="A70" s="112" t="n">
        <v>68</v>
      </c>
      <c r="B70" s="113" t="inlineStr">
        <is>
          <t>경기</t>
        </is>
      </c>
      <c r="C70" s="122" t="inlineStr">
        <is>
          <t>신라</t>
        </is>
      </c>
      <c r="D70" s="104" t="inlineStr">
        <is>
          <t>대중제</t>
        </is>
      </c>
      <c r="E70" s="116" t="inlineStr">
        <is>
          <t>여주시 북내면 신라그린길 84(북내면 덕산리 산3-1)</t>
        </is>
      </c>
      <c r="F70" s="112" t="n">
        <v>27</v>
      </c>
      <c r="G70" s="112">
        <f>F70*4</f>
        <v/>
      </c>
      <c r="H70" s="117" t="n">
        <v>1771550</v>
      </c>
      <c r="I70" s="118" t="inlineStr">
        <is>
          <t>㈜케이엠에이치신라레저(박형식)</t>
        </is>
      </c>
      <c r="J70" s="108" t="n"/>
      <c r="K70" s="108" t="n"/>
      <c r="L70" s="108" t="n"/>
      <c r="M70" s="108" t="n"/>
      <c r="N70" s="108" t="n"/>
      <c r="O70" s="108" t="n"/>
      <c r="P70" s="112" t="n"/>
      <c r="Q70" s="119" t="n"/>
      <c r="R70" s="108" t="n"/>
      <c r="S70" s="110" t="inlineStr">
        <is>
          <t>🔲 데이터수집예정</t>
        </is>
      </c>
      <c r="T70" s="126" t="inlineStr">
        <is>
          <t>https://www.gyeongjushilla.co.kr/</t>
        </is>
      </c>
      <c r="U70" s="96" t="n">
        <v>1978</v>
      </c>
      <c r="V70" s="96" t="inlineStr">
        <is>
          <t>054-745-7000</t>
        </is>
      </c>
      <c r="W70" s="121" t="n"/>
    </row>
    <row r="71" ht="18" customHeight="1" s="97">
      <c r="A71" s="101" t="n">
        <v>69</v>
      </c>
      <c r="B71" s="102" t="inlineStr">
        <is>
          <t>경기</t>
        </is>
      </c>
      <c r="C71" s="123" t="inlineStr">
        <is>
          <t>신안 퍼블릭 CC</t>
        </is>
      </c>
      <c r="D71" s="104" t="inlineStr">
        <is>
          <t>대중제</t>
        </is>
      </c>
      <c r="E71" s="105" t="inlineStr">
        <is>
          <t>안성시 고삼면 개울말길 149</t>
        </is>
      </c>
      <c r="F71" s="101" t="n">
        <v>9</v>
      </c>
      <c r="G71" s="101">
        <f>F71*4</f>
        <v/>
      </c>
      <c r="H71" s="106" t="n">
        <v>297073</v>
      </c>
      <c r="I71" s="107" t="inlineStr">
        <is>
          <t>신안종합레져㈜(박  훈)</t>
        </is>
      </c>
      <c r="J71" s="108" t="n"/>
      <c r="K71" s="108" t="n"/>
      <c r="L71" s="108" t="n"/>
      <c r="M71" s="108" t="n"/>
      <c r="N71" s="108" t="n"/>
      <c r="O71" s="108" t="n"/>
      <c r="P71" s="101" t="n"/>
      <c r="Q71" s="109" t="n"/>
      <c r="R71" s="108" t="n"/>
      <c r="S71" s="110" t="inlineStr">
        <is>
          <t>🔲 데이터수집예정</t>
        </is>
      </c>
      <c r="T71" s="136" t="n"/>
      <c r="W71" s="111" t="n"/>
    </row>
    <row r="72" ht="18" customHeight="1" s="97">
      <c r="A72" s="112" t="n">
        <v>70</v>
      </c>
      <c r="B72" s="113" t="inlineStr">
        <is>
          <t>경기</t>
        </is>
      </c>
      <c r="C72" s="122" t="inlineStr">
        <is>
          <t>신안컨트리클럽</t>
        </is>
      </c>
      <c r="D72" s="115" t="inlineStr">
        <is>
          <t>회원제</t>
        </is>
      </c>
      <c r="E72" s="116" t="inlineStr">
        <is>
          <t>안성시 고삼면 개울말길 149</t>
        </is>
      </c>
      <c r="F72" s="112" t="n">
        <v>18</v>
      </c>
      <c r="G72" s="112">
        <f>F72*4</f>
        <v/>
      </c>
      <c r="H72" s="117" t="n">
        <v>1102867</v>
      </c>
      <c r="I72" s="118" t="inlineStr">
        <is>
          <t>신안종합레져㈜(박  훈)</t>
        </is>
      </c>
      <c r="J72" s="108" t="n"/>
      <c r="K72" s="108" t="n"/>
      <c r="L72" s="108" t="n"/>
      <c r="M72" s="108" t="n"/>
      <c r="N72" s="108" t="n"/>
      <c r="O72" s="108" t="n"/>
      <c r="P72" s="112" t="n"/>
      <c r="Q72" s="119" t="n"/>
      <c r="R72" s="108" t="n"/>
      <c r="S72" s="110" t="inlineStr">
        <is>
          <t>🔲 데이터수집예정</t>
        </is>
      </c>
      <c r="T72" s="126" t="n"/>
      <c r="W72" s="121" t="n"/>
    </row>
    <row r="73" ht="18" customHeight="1" s="97">
      <c r="A73" s="101" t="n">
        <v>71</v>
      </c>
      <c r="B73" s="102" t="inlineStr">
        <is>
          <t>경기</t>
        </is>
      </c>
      <c r="C73" s="123" t="inlineStr">
        <is>
          <t>신원CC</t>
        </is>
      </c>
      <c r="D73" s="115" t="inlineStr">
        <is>
          <t>회원제</t>
        </is>
      </c>
      <c r="E73" s="105" t="inlineStr">
        <is>
          <t>용인시 이동읍 이원로 225</t>
        </is>
      </c>
      <c r="F73" s="101" t="n">
        <v>27</v>
      </c>
      <c r="G73" s="101">
        <f>F73*4</f>
        <v/>
      </c>
      <c r="H73" s="106" t="n">
        <v>1721377</v>
      </c>
      <c r="I73" s="107" t="inlineStr">
        <is>
          <t>이소미</t>
        </is>
      </c>
      <c r="J73" s="108" t="n"/>
      <c r="K73" s="108" t="n"/>
      <c r="L73" s="108" t="n"/>
      <c r="M73" s="108" t="n"/>
      <c r="N73" s="108" t="n"/>
      <c r="O73" s="108" t="n"/>
      <c r="P73" s="101" t="n"/>
      <c r="Q73" s="109" t="n"/>
      <c r="R73" s="108" t="n"/>
      <c r="S73" s="110" t="inlineStr">
        <is>
          <t>🔲 데이터수집예정</t>
        </is>
      </c>
      <c r="T73" s="136" t="inlineStr">
        <is>
          <t>https://www.swcc.co.kr/</t>
        </is>
      </c>
      <c r="U73" s="96" t="n">
        <v>1995</v>
      </c>
      <c r="V73" s="96" t="inlineStr">
        <is>
          <t>031-774-5000</t>
        </is>
      </c>
      <c r="W73" s="125" t="n"/>
    </row>
    <row r="74" ht="18" customHeight="1" s="97">
      <c r="A74" s="112" t="n">
        <v>72</v>
      </c>
      <c r="B74" s="113" t="inlineStr">
        <is>
          <t>경기</t>
        </is>
      </c>
      <c r="C74" s="122" t="inlineStr">
        <is>
          <t>실크밸리G.C.</t>
        </is>
      </c>
      <c r="D74" s="104" t="inlineStr">
        <is>
          <t>대중제</t>
        </is>
      </c>
      <c r="E74" s="116" t="inlineStr">
        <is>
          <t>이천시 율면 임오산로 200번길 56-222</t>
        </is>
      </c>
      <c r="F74" s="112" t="n">
        <v>27</v>
      </c>
      <c r="G74" s="112">
        <f>F74*4</f>
        <v/>
      </c>
      <c r="H74" s="117" t="n">
        <v>1379636</v>
      </c>
      <c r="I74" s="118" t="inlineStr">
        <is>
          <t>㈜이천 실크밸리(양정자)</t>
        </is>
      </c>
      <c r="J74" s="108" t="n"/>
      <c r="K74" s="108" t="n"/>
      <c r="L74" s="108" t="n"/>
      <c r="M74" s="108" t="n"/>
      <c r="N74" s="108" t="n"/>
      <c r="O74" s="108" t="n"/>
      <c r="P74" s="112" t="n"/>
      <c r="Q74" s="119" t="n"/>
      <c r="R74" s="108" t="n"/>
      <c r="S74" s="110" t="inlineStr">
        <is>
          <t>🔲 데이터수집예정</t>
        </is>
      </c>
      <c r="T74" s="126" t="n"/>
      <c r="W74" s="121" t="n"/>
    </row>
    <row r="75" ht="18" customHeight="1" s="97">
      <c r="A75" s="101" t="n">
        <v>73</v>
      </c>
      <c r="B75" s="102" t="inlineStr">
        <is>
          <t>경기</t>
        </is>
      </c>
      <c r="C75" s="123" t="inlineStr">
        <is>
          <t>써닝포인트CC</t>
        </is>
      </c>
      <c r="D75" s="104" t="inlineStr">
        <is>
          <t>대중제</t>
        </is>
      </c>
      <c r="E75" s="105" t="inlineStr">
        <is>
          <t>용인시 처인구 백암면 고안로 51번길 205</t>
        </is>
      </c>
      <c r="F75" s="101" t="n">
        <v>18</v>
      </c>
      <c r="G75" s="101">
        <f>F75*4</f>
        <v/>
      </c>
      <c r="H75" s="106" t="n">
        <v>1032853</v>
      </c>
      <c r="I75" s="107" t="inlineStr">
        <is>
          <t>임노원</t>
        </is>
      </c>
      <c r="J75" s="108" t="n"/>
      <c r="K75" s="108" t="n"/>
      <c r="L75" s="108" t="n"/>
      <c r="M75" s="108" t="n"/>
      <c r="N75" s="108" t="n"/>
      <c r="O75" s="108" t="n"/>
      <c r="P75" s="101" t="n"/>
      <c r="Q75" s="109" t="n"/>
      <c r="R75" s="108" t="n"/>
      <c r="S75" s="110" t="inlineStr">
        <is>
          <t>🔲 데이터수집예정</t>
        </is>
      </c>
      <c r="T75" s="136" t="n"/>
      <c r="W75" s="111" t="n"/>
    </row>
    <row r="76" ht="18" customHeight="1" s="97">
      <c r="A76" s="112" t="n">
        <v>74</v>
      </c>
      <c r="B76" s="113" t="inlineStr">
        <is>
          <t>경기</t>
        </is>
      </c>
      <c r="C76" s="122" t="inlineStr">
        <is>
          <t>썬힐G.C</t>
        </is>
      </c>
      <c r="D76" s="115" t="inlineStr">
        <is>
          <t>회원제</t>
        </is>
      </c>
      <c r="E76" s="116" t="inlineStr">
        <is>
          <t>가평군 조종면 운악청계로589번길 73</t>
        </is>
      </c>
      <c r="F76" s="112" t="n">
        <v>18</v>
      </c>
      <c r="G76" s="112">
        <f>F76*4</f>
        <v/>
      </c>
      <c r="H76" s="117" t="n">
        <v>636434</v>
      </c>
      <c r="I76" s="126" t="inlineStr">
        <is>
          <t>(주)다함레져 (안응수)</t>
        </is>
      </c>
      <c r="J76" s="108" t="n"/>
      <c r="K76" s="108" t="n"/>
      <c r="L76" s="108" t="n"/>
      <c r="M76" s="108" t="n"/>
      <c r="N76" s="108" t="n"/>
      <c r="O76" s="108" t="n"/>
      <c r="P76" s="112" t="n"/>
      <c r="Q76" s="119" t="n"/>
      <c r="R76" s="108" t="n"/>
      <c r="S76" s="110" t="inlineStr">
        <is>
          <t>🔲 데이터수집예정</t>
        </is>
      </c>
      <c r="T76" s="126" t="n"/>
      <c r="W76" s="121" t="n"/>
    </row>
    <row r="77" ht="18" customHeight="1" s="97">
      <c r="A77" s="101" t="n">
        <v>75</v>
      </c>
      <c r="B77" s="102" t="inlineStr">
        <is>
          <t>경기</t>
        </is>
      </c>
      <c r="C77" s="123" t="inlineStr">
        <is>
          <t>썬힐대중G.C</t>
        </is>
      </c>
      <c r="D77" s="104" t="inlineStr">
        <is>
          <t>대중제</t>
        </is>
      </c>
      <c r="E77" s="105" t="inlineStr">
        <is>
          <t>가평군 조종면 운악청계로589번길 73</t>
        </is>
      </c>
      <c r="F77" s="101" t="n">
        <v>18</v>
      </c>
      <c r="G77" s="101">
        <f>F77*4</f>
        <v/>
      </c>
      <c r="H77" s="106" t="n">
        <v>755324</v>
      </c>
      <c r="I77" s="136" t="inlineStr">
        <is>
          <t>(주)다함레져 (안응수)</t>
        </is>
      </c>
      <c r="J77" s="108" t="n"/>
      <c r="K77" s="108" t="n"/>
      <c r="L77" s="108" t="n"/>
      <c r="M77" s="108" t="n"/>
      <c r="N77" s="108" t="n"/>
      <c r="O77" s="108" t="n"/>
      <c r="P77" s="101" t="n"/>
      <c r="Q77" s="109" t="n"/>
      <c r="R77" s="108" t="n"/>
      <c r="S77" s="110" t="inlineStr">
        <is>
          <t>🔲 데이터수집예정</t>
        </is>
      </c>
      <c r="T77" s="136" t="n"/>
      <c r="W77" s="111" t="n"/>
    </row>
    <row r="78" ht="18" customHeight="1" s="97">
      <c r="A78" s="112" t="n">
        <v>76</v>
      </c>
      <c r="B78" s="113" t="inlineStr">
        <is>
          <t>경기</t>
        </is>
      </c>
      <c r="C78" s="122" t="inlineStr">
        <is>
          <t>아난티클럽    서울</t>
        </is>
      </c>
      <c r="D78" s="115" t="inlineStr">
        <is>
          <t>회원제</t>
        </is>
      </c>
      <c r="E78" s="116" t="inlineStr">
        <is>
          <t>가평군 설악면 유명산로961-34</t>
        </is>
      </c>
      <c r="F78" s="112" t="n">
        <v>27</v>
      </c>
      <c r="G78" s="112">
        <f>F78*4</f>
        <v/>
      </c>
      <c r="H78" s="117" t="n">
        <v>1744453</v>
      </c>
      <c r="I78" s="118" t="inlineStr">
        <is>
          <t>아난티클럽서울(주) (이만규)</t>
        </is>
      </c>
      <c r="J78" s="108" t="n"/>
      <c r="K78" s="108" t="n"/>
      <c r="L78" s="108" t="n"/>
      <c r="M78" s="108" t="n"/>
      <c r="N78" s="108" t="n"/>
      <c r="O78" s="108" t="n"/>
      <c r="P78" s="112" t="n"/>
      <c r="Q78" s="119" t="n"/>
      <c r="R78" s="108" t="n"/>
      <c r="S78" s="110" t="inlineStr">
        <is>
          <t>🔲 데이터수집예정</t>
        </is>
      </c>
      <c r="T78" s="126" t="n"/>
      <c r="W78" s="121" t="n"/>
    </row>
    <row r="79" ht="18" customHeight="1" s="97">
      <c r="A79" s="101" t="n">
        <v>77</v>
      </c>
      <c r="B79" s="102" t="inlineStr">
        <is>
          <t>경기</t>
        </is>
      </c>
      <c r="C79" s="123" t="inlineStr">
        <is>
          <t>아리지</t>
        </is>
      </c>
      <c r="D79" s="104" t="inlineStr">
        <is>
          <t>대중제</t>
        </is>
      </c>
      <c r="E79" s="105" t="inlineStr">
        <is>
          <t>여주시 가남읍 아리지그린길 68(가남면 안금리 산103, 양귀리 산10 일원)</t>
        </is>
      </c>
      <c r="F79" s="101" t="n">
        <v>27</v>
      </c>
      <c r="G79" s="101">
        <f>F79*4</f>
        <v/>
      </c>
      <c r="H79" s="106" t="n">
        <v>1229038</v>
      </c>
      <c r="I79" s="107" t="inlineStr">
        <is>
          <t xml:space="preserve"> ㈜아리지(김양원, 곽준상)</t>
        </is>
      </c>
      <c r="J79" s="108" t="n"/>
      <c r="K79" s="108" t="n"/>
      <c r="L79" s="108" t="n"/>
      <c r="M79" s="108" t="n"/>
      <c r="N79" s="108" t="n"/>
      <c r="O79" s="108" t="n"/>
      <c r="P79" s="101" t="n"/>
      <c r="Q79" s="109" t="n"/>
      <c r="R79" s="108" t="n"/>
      <c r="S79" s="110" t="inlineStr">
        <is>
          <t>🔲 데이터수집예정</t>
        </is>
      </c>
      <c r="T79" s="136" t="n"/>
      <c r="W79" s="111" t="n"/>
    </row>
    <row r="80" ht="18" customHeight="1" s="97">
      <c r="A80" s="112" t="n">
        <v>78</v>
      </c>
      <c r="B80" s="113" t="inlineStr">
        <is>
          <t>경기</t>
        </is>
      </c>
      <c r="C80" s="122" t="inlineStr">
        <is>
          <t>아세코밸리골프클럽</t>
        </is>
      </c>
      <c r="D80" s="104" t="inlineStr">
        <is>
          <t>대중제</t>
        </is>
      </c>
      <c r="E80" s="116" t="inlineStr">
        <is>
          <t>시흥시 마전로 307 (거모동)</t>
        </is>
      </c>
      <c r="F80" s="112" t="n">
        <v>9</v>
      </c>
      <c r="G80" s="112">
        <f>F80*4</f>
        <v/>
      </c>
      <c r="H80" s="117" t="n">
        <v>189464</v>
      </c>
      <c r="I80" s="118" t="inlineStr">
        <is>
          <t>김도훈</t>
        </is>
      </c>
      <c r="J80" s="108" t="n"/>
      <c r="K80" s="108" t="n"/>
      <c r="L80" s="108" t="n"/>
      <c r="M80" s="108" t="n"/>
      <c r="N80" s="108" t="n"/>
      <c r="O80" s="108" t="n"/>
      <c r="P80" s="112" t="n"/>
      <c r="Q80" s="119" t="n"/>
      <c r="R80" s="108" t="n"/>
      <c r="S80" s="110" t="inlineStr">
        <is>
          <t>🔲 데이터수집예정</t>
        </is>
      </c>
      <c r="T80" s="126" t="n"/>
      <c r="W80" s="121" t="n"/>
    </row>
    <row r="81" ht="18" customHeight="1" s="97">
      <c r="A81" s="101" t="n">
        <v>79</v>
      </c>
      <c r="B81" s="102" t="inlineStr">
        <is>
          <t>경기</t>
        </is>
      </c>
      <c r="C81" s="123" t="inlineStr">
        <is>
          <t>아시아나CC</t>
        </is>
      </c>
      <c r="D81" s="115" t="inlineStr">
        <is>
          <t>회원제</t>
        </is>
      </c>
      <c r="E81" s="105" t="inlineStr">
        <is>
          <t>용인시 처인구 양지면 양대로 290</t>
        </is>
      </c>
      <c r="F81" s="101" t="n">
        <v>36</v>
      </c>
      <c r="G81" s="101">
        <f>F81*4</f>
        <v/>
      </c>
      <c r="H81" s="106" t="n">
        <v>2230679</v>
      </c>
      <c r="I81" s="107" t="inlineStr">
        <is>
          <t>김성일</t>
        </is>
      </c>
      <c r="J81" s="108" t="n"/>
      <c r="K81" s="108" t="n"/>
      <c r="L81" s="108" t="n"/>
      <c r="M81" s="108" t="n"/>
      <c r="N81" s="108" t="n"/>
      <c r="O81" s="108" t="n"/>
      <c r="P81" s="101" t="n"/>
      <c r="Q81" s="109" t="n"/>
      <c r="R81" s="108" t="n"/>
      <c r="S81" s="110" t="inlineStr">
        <is>
          <t>🔲 데이터수집예정</t>
        </is>
      </c>
      <c r="T81" s="136" t="inlineStr">
        <is>
          <t>https://www.asianacc.co.kr/</t>
        </is>
      </c>
      <c r="U81" s="96" t="n">
        <v>2005</v>
      </c>
      <c r="V81" s="96" t="inlineStr">
        <is>
          <t>031-320-2000</t>
        </is>
      </c>
      <c r="W81" s="125" t="n"/>
    </row>
    <row r="82" ht="18" customHeight="1" s="97">
      <c r="A82" s="112" t="n">
        <v>80</v>
      </c>
      <c r="B82" s="113" t="inlineStr">
        <is>
          <t>경기</t>
        </is>
      </c>
      <c r="C82" s="122" t="inlineStr">
        <is>
          <t>아일랜드㈜</t>
        </is>
      </c>
      <c r="D82" s="104" t="inlineStr">
        <is>
          <t>대중제</t>
        </is>
      </c>
      <c r="E82" s="116" t="inlineStr">
        <is>
          <t>안산시 단원구 대선로466(대부남동)</t>
        </is>
      </c>
      <c r="F82" s="112" t="n">
        <v>27</v>
      </c>
      <c r="G82" s="112">
        <f>F82*4</f>
        <v/>
      </c>
      <c r="H82" s="117" t="n">
        <v>1147235</v>
      </c>
      <c r="I82" s="118" t="inlineStr">
        <is>
          <t>아일랜드㈜ (이창희)</t>
        </is>
      </c>
      <c r="J82" s="108" t="n"/>
      <c r="K82" s="108" t="n"/>
      <c r="L82" s="108" t="n"/>
      <c r="M82" s="108" t="n"/>
      <c r="N82" s="108" t="n"/>
      <c r="O82" s="108" t="n"/>
      <c r="P82" s="112" t="n"/>
      <c r="Q82" s="119" t="n"/>
      <c r="R82" s="108" t="n"/>
      <c r="S82" s="110" t="inlineStr">
        <is>
          <t>🔲 데이터수집예정</t>
        </is>
      </c>
      <c r="T82" s="126" t="n"/>
      <c r="W82" s="121" t="n"/>
    </row>
    <row r="83" ht="18" customHeight="1" s="97">
      <c r="A83" s="101" t="n">
        <v>81</v>
      </c>
      <c r="B83" s="102" t="inlineStr">
        <is>
          <t>경기</t>
        </is>
      </c>
      <c r="C83" s="123" t="inlineStr">
        <is>
          <t>안성베네스트G.C</t>
        </is>
      </c>
      <c r="D83" s="115" t="inlineStr">
        <is>
          <t>회원제</t>
        </is>
      </c>
      <c r="E83" s="105" t="inlineStr">
        <is>
          <t>안성시 금광면 삼흥로 660</t>
        </is>
      </c>
      <c r="F83" s="101" t="n">
        <v>27</v>
      </c>
      <c r="G83" s="101">
        <f>F83*4</f>
        <v/>
      </c>
      <c r="H83" s="106" t="n">
        <v>1767153</v>
      </c>
      <c r="I83" s="107" t="inlineStr">
        <is>
          <t>삼성물산㈜(한승환)</t>
        </is>
      </c>
      <c r="J83" s="108" t="n"/>
      <c r="K83" s="108" t="n"/>
      <c r="L83" s="108" t="n"/>
      <c r="M83" s="108" t="n"/>
      <c r="N83" s="108" t="n"/>
      <c r="O83" s="108" t="n"/>
      <c r="P83" s="101" t="n"/>
      <c r="Q83" s="109" t="n"/>
      <c r="R83" s="108" t="n"/>
      <c r="S83" s="110" t="inlineStr">
        <is>
          <t>🔲 데이터수집예정</t>
        </is>
      </c>
      <c r="T83" s="136" t="n"/>
      <c r="W83" s="111" t="n"/>
    </row>
    <row r="84" ht="18" customHeight="1" s="97">
      <c r="A84" s="112" t="n">
        <v>82</v>
      </c>
      <c r="B84" s="113" t="inlineStr">
        <is>
          <t>경기</t>
        </is>
      </c>
      <c r="C84" s="122" t="inlineStr">
        <is>
          <t>안성베네스트골프클럽 일반대중홀</t>
        </is>
      </c>
      <c r="D84" s="104" t="inlineStr">
        <is>
          <t>대중제</t>
        </is>
      </c>
      <c r="E84" s="116" t="inlineStr">
        <is>
          <t>안성시 금광면 삼흥로 660</t>
        </is>
      </c>
      <c r="F84" s="112" t="n">
        <v>9</v>
      </c>
      <c r="G84" s="112">
        <f>F84*4</f>
        <v/>
      </c>
      <c r="H84" s="117" t="n">
        <v>505924</v>
      </c>
      <c r="I84" s="118" t="inlineStr">
        <is>
          <t>삼성물산㈜(한승환)</t>
        </is>
      </c>
      <c r="J84" s="108" t="n"/>
      <c r="K84" s="108" t="n"/>
      <c r="L84" s="108" t="n"/>
      <c r="M84" s="108" t="n"/>
      <c r="N84" s="108" t="n"/>
      <c r="O84" s="108" t="n"/>
      <c r="P84" s="112" t="n"/>
      <c r="Q84" s="119" t="n"/>
      <c r="R84" s="108" t="n"/>
      <c r="S84" s="110" t="inlineStr">
        <is>
          <t>🔲 데이터수집예정</t>
        </is>
      </c>
      <c r="T84" s="126" t="n"/>
      <c r="W84" s="121" t="n"/>
    </row>
    <row r="85" ht="18" customHeight="1" s="97">
      <c r="A85" s="101" t="n">
        <v>83</v>
      </c>
      <c r="B85" s="102" t="inlineStr">
        <is>
          <t>경기</t>
        </is>
      </c>
      <c r="C85" s="123" t="inlineStr">
        <is>
          <t>안성컨트리클럽</t>
        </is>
      </c>
      <c r="D85" s="115" t="inlineStr">
        <is>
          <t>회원제</t>
        </is>
      </c>
      <c r="E85" s="105" t="inlineStr">
        <is>
          <t>안성시 죽산면 장계길 134</t>
        </is>
      </c>
      <c r="F85" s="101" t="n">
        <v>18</v>
      </c>
      <c r="G85" s="101">
        <f>F85*4</f>
        <v/>
      </c>
      <c r="H85" s="106" t="n">
        <v>1088870</v>
      </c>
      <c r="I85" s="107" t="inlineStr">
        <is>
          <t>㈜한일(한수일)</t>
        </is>
      </c>
      <c r="J85" s="108" t="n"/>
      <c r="K85" s="108" t="n"/>
      <c r="L85" s="108" t="n"/>
      <c r="M85" s="108" t="n"/>
      <c r="N85" s="108" t="n"/>
      <c r="O85" s="108" t="n"/>
      <c r="P85" s="101" t="n"/>
      <c r="Q85" s="109" t="n"/>
      <c r="R85" s="108" t="n"/>
      <c r="S85" s="110" t="inlineStr">
        <is>
          <t>🔲 데이터수집예정</t>
        </is>
      </c>
      <c r="T85" s="136" t="n"/>
      <c r="W85" s="111" t="n"/>
    </row>
    <row r="86" ht="18" customHeight="1" s="97">
      <c r="A86" s="112" t="n">
        <v>84</v>
      </c>
      <c r="B86" s="113" t="inlineStr">
        <is>
          <t>경기</t>
        </is>
      </c>
      <c r="C86" s="122" t="inlineStr">
        <is>
          <t>양주C.C</t>
        </is>
      </c>
      <c r="D86" s="115" t="inlineStr">
        <is>
          <t>회원제</t>
        </is>
      </c>
      <c r="E86" s="116" t="inlineStr">
        <is>
          <t>남양주시 화도읍 북한강로 1525-52</t>
        </is>
      </c>
      <c r="F86" s="112" t="n">
        <v>18</v>
      </c>
      <c r="G86" s="112">
        <f>F86*4</f>
        <v/>
      </c>
      <c r="H86" s="117" t="n">
        <v>1102660</v>
      </c>
      <c r="I86" s="118" t="inlineStr">
        <is>
          <t>김준수</t>
        </is>
      </c>
      <c r="J86" s="108" t="n"/>
      <c r="K86" s="108" t="n"/>
      <c r="L86" s="108" t="n"/>
      <c r="M86" s="108" t="n"/>
      <c r="N86" s="108" t="n"/>
      <c r="O86" s="108" t="n"/>
      <c r="P86" s="112" t="n"/>
      <c r="Q86" s="119" t="n"/>
      <c r="R86" s="108" t="n"/>
      <c r="S86" s="110" t="inlineStr">
        <is>
          <t>🔲 데이터수집예정</t>
        </is>
      </c>
      <c r="T86" s="126" t="n"/>
      <c r="W86" s="121" t="n"/>
    </row>
    <row r="87" ht="18" customHeight="1" s="97">
      <c r="A87" s="101" t="n">
        <v>85</v>
      </c>
      <c r="B87" s="102" t="inlineStr">
        <is>
          <t>경기</t>
        </is>
      </c>
      <c r="C87" s="123" t="inlineStr">
        <is>
          <t>양지파인CC</t>
        </is>
      </c>
      <c r="D87" s="104" t="inlineStr">
        <is>
          <t>대중제</t>
        </is>
      </c>
      <c r="E87" s="105" t="inlineStr">
        <is>
          <t>용인시 처인구 양지면 남평로 112</t>
        </is>
      </c>
      <c r="F87" s="101" t="n">
        <v>27</v>
      </c>
      <c r="G87" s="101">
        <f>F87*4</f>
        <v/>
      </c>
      <c r="H87" s="106" t="n">
        <v>1012580</v>
      </c>
      <c r="I87" s="107" t="inlineStr">
        <is>
          <t>임태주</t>
        </is>
      </c>
      <c r="J87" s="108" t="n"/>
      <c r="K87" s="108" t="n"/>
      <c r="L87" s="108" t="n"/>
      <c r="M87" s="108" t="n"/>
      <c r="N87" s="108" t="n"/>
      <c r="O87" s="108" t="n"/>
      <c r="P87" s="101" t="n"/>
      <c r="Q87" s="109" t="n"/>
      <c r="R87" s="108" t="n"/>
      <c r="S87" s="110" t="inlineStr">
        <is>
          <t>🔲 데이터수집예정</t>
        </is>
      </c>
      <c r="T87" s="136" t="n"/>
      <c r="W87" s="111" t="n"/>
    </row>
    <row r="88" ht="18" customHeight="1" s="97">
      <c r="A88" s="112" t="n">
        <v>86</v>
      </c>
      <c r="B88" s="113" t="inlineStr">
        <is>
          <t>경기</t>
        </is>
      </c>
      <c r="C88" s="122" t="inlineStr">
        <is>
          <t>에덴블루 컨트리클럽</t>
        </is>
      </c>
      <c r="D88" s="104" t="inlineStr">
        <is>
          <t>대중제</t>
        </is>
      </c>
      <c r="E88" s="116" t="inlineStr">
        <is>
          <t>안성시 죽산면 장능리 산160</t>
        </is>
      </c>
      <c r="F88" s="112" t="n">
        <v>27</v>
      </c>
      <c r="G88" s="112">
        <f>F88*4</f>
        <v/>
      </c>
      <c r="H88" s="117" t="n">
        <v>1238246</v>
      </c>
      <c r="I88" s="118" t="inlineStr">
        <is>
          <t>죽산개발㈜(오승현)</t>
        </is>
      </c>
      <c r="J88" s="108" t="n"/>
      <c r="K88" s="108" t="n"/>
      <c r="L88" s="108" t="n"/>
      <c r="M88" s="108" t="n"/>
      <c r="N88" s="108" t="n"/>
      <c r="O88" s="108" t="n"/>
      <c r="P88" s="112" t="n"/>
      <c r="Q88" s="119" t="n"/>
      <c r="R88" s="108" t="n"/>
      <c r="S88" s="110" t="inlineStr">
        <is>
          <t>🔲 데이터수집예정</t>
        </is>
      </c>
      <c r="T88" s="126" t="n"/>
      <c r="W88" s="121" t="n"/>
    </row>
    <row r="89" ht="18" customHeight="1" s="97">
      <c r="A89" s="101" t="n">
        <v>87</v>
      </c>
      <c r="B89" s="102" t="inlineStr">
        <is>
          <t>경기</t>
        </is>
      </c>
      <c r="C89" s="123" t="inlineStr">
        <is>
          <t>에이치원클럽</t>
        </is>
      </c>
      <c r="D89" s="115" t="inlineStr">
        <is>
          <t>회원제</t>
        </is>
      </c>
      <c r="E89" s="105" t="inlineStr">
        <is>
          <t>이천시 호법면 장자터로 115</t>
        </is>
      </c>
      <c r="F89" s="101" t="n">
        <v>18</v>
      </c>
      <c r="G89" s="101">
        <f>F89*4</f>
        <v/>
      </c>
      <c r="H89" s="106" t="n">
        <v>1097458</v>
      </c>
      <c r="I89" s="107" t="inlineStr">
        <is>
          <t>호반써밋㈜(이정호)</t>
        </is>
      </c>
      <c r="J89" s="108" t="n"/>
      <c r="K89" s="108" t="n"/>
      <c r="L89" s="108" t="n"/>
      <c r="M89" s="108" t="n"/>
      <c r="N89" s="108" t="n"/>
      <c r="O89" s="108" t="n"/>
      <c r="P89" s="101" t="n"/>
      <c r="Q89" s="109" t="n"/>
      <c r="R89" s="108" t="n"/>
      <c r="S89" s="110" t="inlineStr">
        <is>
          <t>🔲 데이터수집예정</t>
        </is>
      </c>
      <c r="T89" s="136" t="n"/>
      <c r="W89" s="111" t="n"/>
    </row>
    <row r="90" ht="18" customHeight="1" s="97">
      <c r="A90" s="112" t="n">
        <v>88</v>
      </c>
      <c r="B90" s="113" t="inlineStr">
        <is>
          <t>경기</t>
        </is>
      </c>
      <c r="C90" s="122" t="inlineStr">
        <is>
          <t>여주</t>
        </is>
      </c>
      <c r="D90" s="115" t="inlineStr">
        <is>
          <t>회원제</t>
        </is>
      </c>
      <c r="E90" s="116" t="inlineStr">
        <is>
          <t>여주시 월평로 78(여주읍 월송리 35-10)</t>
        </is>
      </c>
      <c r="F90" s="112" t="n">
        <v>27</v>
      </c>
      <c r="G90" s="112">
        <f>F90*4</f>
        <v/>
      </c>
      <c r="H90" s="117" t="n">
        <v>1214791</v>
      </c>
      <c r="I90" s="126" t="inlineStr">
        <is>
          <t>I.G.M ㈜(이완재)</t>
        </is>
      </c>
      <c r="J90" s="108" t="n"/>
      <c r="K90" s="108" t="n"/>
      <c r="L90" s="108" t="n"/>
      <c r="M90" s="108" t="n"/>
      <c r="N90" s="108" t="n"/>
      <c r="O90" s="108" t="n"/>
      <c r="P90" s="112" t="n"/>
      <c r="Q90" s="119" t="n"/>
      <c r="R90" s="108" t="n"/>
      <c r="S90" s="110" t="inlineStr">
        <is>
          <t>🔲 데이터수집예정</t>
        </is>
      </c>
      <c r="T90" s="126" t="n"/>
      <c r="W90" s="121" t="n"/>
    </row>
    <row r="91" ht="18" customHeight="1" s="97">
      <c r="A91" s="101" t="n">
        <v>89</v>
      </c>
      <c r="B91" s="102" t="inlineStr">
        <is>
          <t>경기</t>
        </is>
      </c>
      <c r="C91" s="123" t="inlineStr">
        <is>
          <t>여주썬밸리</t>
        </is>
      </c>
      <c r="D91" s="104" t="inlineStr">
        <is>
          <t>대중제</t>
        </is>
      </c>
      <c r="E91" s="105" t="inlineStr">
        <is>
          <t>여주시 강천면 강문로 872(강천면 부평리 산109-1 일원 )</t>
        </is>
      </c>
      <c r="F91" s="101" t="n">
        <v>9</v>
      </c>
      <c r="G91" s="101">
        <f>F91*4</f>
        <v/>
      </c>
      <c r="H91" s="106" t="n">
        <v>483956</v>
      </c>
      <c r="I91" s="107" t="inlineStr">
        <is>
          <t>동광레저㈜(이창기)</t>
        </is>
      </c>
      <c r="J91" s="108" t="n"/>
      <c r="K91" s="108" t="n"/>
      <c r="L91" s="108" t="n"/>
      <c r="M91" s="108" t="n"/>
      <c r="N91" s="108" t="n"/>
      <c r="O91" s="108" t="n"/>
      <c r="P91" s="101" t="n"/>
      <c r="Q91" s="109" t="n"/>
      <c r="R91" s="108" t="n"/>
      <c r="S91" s="110" t="inlineStr">
        <is>
          <t>🔲 데이터수집예정</t>
        </is>
      </c>
      <c r="T91" s="136" t="n"/>
      <c r="W91" s="111" t="n"/>
    </row>
    <row r="92" ht="18" customHeight="1" s="97">
      <c r="A92" s="112" t="n">
        <v>90</v>
      </c>
      <c r="B92" s="113" t="inlineStr">
        <is>
          <t>경기</t>
        </is>
      </c>
      <c r="C92" s="122" t="inlineStr">
        <is>
          <t>올림픽 골프장</t>
        </is>
      </c>
      <c r="D92" s="104" t="inlineStr">
        <is>
          <t>대중제</t>
        </is>
      </c>
      <c r="E92" s="116" t="inlineStr">
        <is>
          <t>고양시 덕양구 혜음로 301</t>
        </is>
      </c>
      <c r="F92" s="112" t="n">
        <v>9</v>
      </c>
      <c r="G92" s="112">
        <f>F92*4</f>
        <v/>
      </c>
      <c r="H92" s="117" t="n">
        <v>313921</v>
      </c>
      <c r="I92" s="118" t="inlineStr">
        <is>
          <t>이관식</t>
        </is>
      </c>
      <c r="J92" s="108" t="n"/>
      <c r="K92" s="108" t="n"/>
      <c r="L92" s="108" t="n"/>
      <c r="M92" s="108" t="n"/>
      <c r="N92" s="108" t="n"/>
      <c r="O92" s="108" t="n"/>
      <c r="P92" s="112" t="n"/>
      <c r="Q92" s="119" t="n"/>
      <c r="R92" s="108" t="n"/>
      <c r="S92" s="110" t="inlineStr">
        <is>
          <t>🔲 데이터수집예정</t>
        </is>
      </c>
      <c r="T92" s="126" t="n"/>
      <c r="W92" s="121" t="n"/>
    </row>
    <row r="93" ht="18" customHeight="1" s="97">
      <c r="A93" s="101" t="n">
        <v>91</v>
      </c>
      <c r="B93" s="102" t="inlineStr">
        <is>
          <t>경기</t>
        </is>
      </c>
      <c r="C93" s="123" t="inlineStr">
        <is>
          <t>용인CC</t>
        </is>
      </c>
      <c r="D93" s="104" t="inlineStr">
        <is>
          <t>대중제</t>
        </is>
      </c>
      <c r="E93" s="105" t="inlineStr">
        <is>
          <t>용인시 처인구 백암면 황새울로 255</t>
        </is>
      </c>
      <c r="F93" s="101" t="n">
        <v>9</v>
      </c>
      <c r="G93" s="101">
        <f>F93*4</f>
        <v/>
      </c>
      <c r="H93" s="106" t="n">
        <v>221886</v>
      </c>
      <c r="I93" s="107" t="inlineStr">
        <is>
          <t>조의제</t>
        </is>
      </c>
      <c r="J93" s="108" t="n"/>
      <c r="K93" s="108" t="n"/>
      <c r="L93" s="108" t="n"/>
      <c r="M93" s="108" t="n"/>
      <c r="N93" s="108" t="n"/>
      <c r="O93" s="108" t="n"/>
      <c r="P93" s="101" t="n"/>
      <c r="Q93" s="109" t="n"/>
      <c r="R93" s="108" t="n"/>
      <c r="S93" s="110" t="inlineStr">
        <is>
          <t>🔲 데이터수집예정</t>
        </is>
      </c>
      <c r="T93" s="136" t="inlineStr">
        <is>
          <t>https://www.lakehills.co.kr/</t>
        </is>
      </c>
      <c r="U93" s="96" t="n">
        <v>2005</v>
      </c>
      <c r="V93" s="96" t="inlineStr">
        <is>
          <t>031-321-0800</t>
        </is>
      </c>
      <c r="W93" s="125" t="n"/>
    </row>
    <row r="94" ht="18" customHeight="1" s="97">
      <c r="A94" s="112" t="n">
        <v>92</v>
      </c>
      <c r="B94" s="113" t="inlineStr">
        <is>
          <t>경기</t>
        </is>
      </c>
      <c r="C94" s="122" t="inlineStr">
        <is>
          <t>웰링턴C.C.</t>
        </is>
      </c>
      <c r="D94" s="115" t="inlineStr">
        <is>
          <t>회원제</t>
        </is>
      </c>
      <c r="E94" s="116" t="inlineStr">
        <is>
          <t>이천시 모가면 사실로 725번길 119-73</t>
        </is>
      </c>
      <c r="F94" s="112" t="n">
        <v>27</v>
      </c>
      <c r="G94" s="112">
        <f>F94*4</f>
        <v/>
      </c>
      <c r="H94" s="117" t="n">
        <v>1467443</v>
      </c>
      <c r="I94" s="118" t="inlineStr">
        <is>
          <t>효성중공업㈜ 웰링턴컨트리클럽(김동우)</t>
        </is>
      </c>
      <c r="J94" s="108" t="n"/>
      <c r="K94" s="108" t="n"/>
      <c r="L94" s="108" t="n"/>
      <c r="M94" s="108" t="n"/>
      <c r="N94" s="108" t="n"/>
      <c r="O94" s="108" t="n"/>
      <c r="P94" s="112" t="n"/>
      <c r="Q94" s="119" t="n"/>
      <c r="R94" s="108" t="n"/>
      <c r="S94" s="110" t="inlineStr">
        <is>
          <t>🔲 데이터수집예정</t>
        </is>
      </c>
      <c r="T94" s="126" t="inlineStr">
        <is>
          <t>https://www.wellingtoncc.co.kr/</t>
        </is>
      </c>
      <c r="U94" s="96" t="n">
        <v>2006</v>
      </c>
      <c r="V94" s="96" t="inlineStr">
        <is>
          <t>031-531-7000</t>
        </is>
      </c>
      <c r="W94" s="121" t="n"/>
    </row>
    <row r="95" ht="18" customHeight="1" s="97">
      <c r="A95" s="101" t="n">
        <v>93</v>
      </c>
      <c r="B95" s="102" t="inlineStr">
        <is>
          <t>경기</t>
        </is>
      </c>
      <c r="C95" s="123" t="inlineStr">
        <is>
          <t>윈체스트 골프클럽 대중</t>
        </is>
      </c>
      <c r="D95" s="104" t="inlineStr">
        <is>
          <t>대중제</t>
        </is>
      </c>
      <c r="E95" s="105" t="inlineStr">
        <is>
          <t>안성시 서운면 오촌길 97-31</t>
        </is>
      </c>
      <c r="F95" s="101" t="n">
        <v>18</v>
      </c>
      <c r="G95" s="101">
        <f>F95*4</f>
        <v/>
      </c>
      <c r="H95" s="106" t="n">
        <v>826514</v>
      </c>
      <c r="I95" s="107" t="inlineStr">
        <is>
          <t>㈜다림개발(경지은)</t>
        </is>
      </c>
      <c r="J95" s="108" t="n"/>
      <c r="K95" s="108" t="n"/>
      <c r="L95" s="108" t="n"/>
      <c r="M95" s="108" t="n"/>
      <c r="N95" s="108" t="n"/>
      <c r="O95" s="108" t="n"/>
      <c r="P95" s="101" t="n"/>
      <c r="Q95" s="109" t="n"/>
      <c r="R95" s="108" t="n"/>
      <c r="S95" s="110" t="inlineStr">
        <is>
          <t>🔲 데이터수집예정</t>
        </is>
      </c>
      <c r="T95" s="136" t="n"/>
      <c r="W95" s="111" t="n"/>
    </row>
    <row r="96" ht="18" customHeight="1" s="97">
      <c r="A96" s="112" t="n">
        <v>94</v>
      </c>
      <c r="B96" s="113" t="inlineStr">
        <is>
          <t>경기</t>
        </is>
      </c>
      <c r="C96" s="122" t="inlineStr">
        <is>
          <t>은화삼CC</t>
        </is>
      </c>
      <c r="D96" s="115" t="inlineStr">
        <is>
          <t>회원제</t>
        </is>
      </c>
      <c r="E96" s="116" t="inlineStr">
        <is>
          <t>용인시 처인구 백옥대로 860-38</t>
        </is>
      </c>
      <c r="F96" s="112" t="n">
        <v>18</v>
      </c>
      <c r="G96" s="112">
        <f>F96*4</f>
        <v/>
      </c>
      <c r="H96" s="117" t="n">
        <v>946086</v>
      </c>
      <c r="I96" s="118" t="inlineStr">
        <is>
          <t>공비상</t>
        </is>
      </c>
      <c r="J96" s="108" t="n"/>
      <c r="K96" s="108" t="n"/>
      <c r="L96" s="108" t="n"/>
      <c r="M96" s="108" t="n"/>
      <c r="N96" s="108" t="n"/>
      <c r="O96" s="108" t="n"/>
      <c r="P96" s="112" t="n"/>
      <c r="Q96" s="119" t="n"/>
      <c r="R96" s="108" t="n"/>
      <c r="S96" s="110" t="inlineStr">
        <is>
          <t>🔲 데이터수집예정</t>
        </is>
      </c>
      <c r="T96" s="126" t="inlineStr">
        <is>
          <t>https://www.ehscc.co.kr/</t>
        </is>
      </c>
      <c r="U96" s="96" t="n">
        <v>1991</v>
      </c>
      <c r="V96" s="96" t="inlineStr">
        <is>
          <t>031-323-8008</t>
        </is>
      </c>
      <c r="W96" s="121" t="n"/>
    </row>
    <row r="97" ht="18" customHeight="1" s="97">
      <c r="A97" s="101" t="n">
        <v>95</v>
      </c>
      <c r="B97" s="102" t="inlineStr">
        <is>
          <t>경기</t>
        </is>
      </c>
      <c r="C97" s="123" t="inlineStr">
        <is>
          <t>이스트밸리컨트리클럽</t>
        </is>
      </c>
      <c r="D97" s="115" t="inlineStr">
        <is>
          <t>회원제</t>
        </is>
      </c>
      <c r="E97" s="105" t="inlineStr">
        <is>
          <t>광주시 곤지암읍 건업리 4-43</t>
        </is>
      </c>
      <c r="F97" s="101" t="n">
        <v>27</v>
      </c>
      <c r="G97" s="101">
        <f>F97*4</f>
        <v/>
      </c>
      <c r="H97" s="106" t="n">
        <v>1543334</v>
      </c>
      <c r="I97" s="107" t="inlineStr">
        <is>
          <t>청남관광(노선우)</t>
        </is>
      </c>
      <c r="J97" s="128" t="n">
        <v>4.6</v>
      </c>
      <c r="K97" s="127" t="n">
        <v>4.7</v>
      </c>
      <c r="L97" s="127" t="n">
        <v>5</v>
      </c>
      <c r="M97" s="127" t="n">
        <v>4.8</v>
      </c>
      <c r="N97" s="127" t="n">
        <v>4.7</v>
      </c>
      <c r="O97" s="137">
        <f>ROUND(AVERAGE(J97:N97),2)</f>
        <v/>
      </c>
      <c r="P97" s="101" t="n">
        <v>129</v>
      </c>
      <c r="Q97" s="109" t="n">
        <v>71.7</v>
      </c>
      <c r="R97" s="130" t="inlineStr">
        <is>
          <t>중급</t>
        </is>
      </c>
      <c r="S97" s="131" t="inlineStr">
        <is>
          <t>✅ 서비스중</t>
        </is>
      </c>
      <c r="T97" s="138" t="inlineStr">
        <is>
          <t>https://www.eastvalley.co.kr</t>
        </is>
      </c>
      <c r="U97" s="96" t="n">
        <v>2001</v>
      </c>
      <c r="V97" s="96" t="inlineStr">
        <is>
          <t>031-764-1114</t>
        </is>
      </c>
      <c r="W97" s="125" t="n"/>
    </row>
    <row r="98" ht="18" customHeight="1" s="97">
      <c r="A98" s="112" t="n">
        <v>96</v>
      </c>
      <c r="B98" s="113" t="inlineStr">
        <is>
          <t>경기</t>
        </is>
      </c>
      <c r="C98" s="122" t="inlineStr">
        <is>
          <t>이천마이다스골프앤리조트</t>
        </is>
      </c>
      <c r="D98" s="104" t="inlineStr">
        <is>
          <t>대중제</t>
        </is>
      </c>
      <c r="E98" s="116" t="inlineStr">
        <is>
          <t>이천시 설성면 설가로 602</t>
        </is>
      </c>
      <c r="F98" s="112" t="n">
        <v>27</v>
      </c>
      <c r="G98" s="112">
        <f>F98*4</f>
        <v/>
      </c>
      <c r="H98" s="117" t="n">
        <v>1386077</v>
      </c>
      <c r="I98" s="126" t="inlineStr">
        <is>
          <t>(주)대교디앤에스(최득희)</t>
        </is>
      </c>
      <c r="J98" s="108" t="n"/>
      <c r="K98" s="108" t="n"/>
      <c r="L98" s="108" t="n"/>
      <c r="M98" s="108" t="n"/>
      <c r="N98" s="108" t="n"/>
      <c r="O98" s="108" t="n"/>
      <c r="P98" s="112" t="n"/>
      <c r="Q98" s="119" t="n"/>
      <c r="R98" s="108" t="n"/>
      <c r="S98" s="110" t="inlineStr">
        <is>
          <t>🔲 데이터수집예정</t>
        </is>
      </c>
      <c r="T98" s="126" t="n"/>
      <c r="W98" s="121" t="n"/>
    </row>
    <row r="99" ht="18" customHeight="1" s="97">
      <c r="A99" s="101" t="n">
        <v>97</v>
      </c>
      <c r="B99" s="102" t="inlineStr">
        <is>
          <t>경기</t>
        </is>
      </c>
      <c r="C99" s="123" t="inlineStr">
        <is>
          <t>이포</t>
        </is>
      </c>
      <c r="D99" s="115" t="inlineStr">
        <is>
          <t>회원제</t>
        </is>
      </c>
      <c r="E99" s="105" t="inlineStr">
        <is>
          <t>여주시 금사면 장흥로 416(금사면 장흥리 산1)</t>
        </is>
      </c>
      <c r="F99" s="101" t="n">
        <v>18</v>
      </c>
      <c r="G99" s="101">
        <f>F99*4</f>
        <v/>
      </c>
      <c r="H99" s="106" t="n">
        <v>1026137</v>
      </c>
      <c r="I99" s="107" t="inlineStr">
        <is>
          <t>보광개발㈜(김성원)</t>
        </is>
      </c>
      <c r="J99" s="108" t="n"/>
      <c r="K99" s="108" t="n"/>
      <c r="L99" s="108" t="n"/>
      <c r="M99" s="108" t="n"/>
      <c r="N99" s="108" t="n"/>
      <c r="O99" s="108" t="n"/>
      <c r="P99" s="101" t="n"/>
      <c r="Q99" s="109" t="n"/>
      <c r="R99" s="108" t="n"/>
      <c r="S99" s="110" t="inlineStr">
        <is>
          <t>🔲 데이터수집예정</t>
        </is>
      </c>
      <c r="T99" s="136" t="inlineStr">
        <is>
          <t>https://www.ipocc.co.kr/</t>
        </is>
      </c>
      <c r="U99" s="96" t="n">
        <v>2001</v>
      </c>
      <c r="V99" s="96" t="inlineStr">
        <is>
          <t>031-882-0071</t>
        </is>
      </c>
      <c r="W99" s="125" t="n"/>
    </row>
    <row r="100" ht="18" customHeight="1" s="97">
      <c r="A100" s="112" t="n">
        <v>98</v>
      </c>
      <c r="B100" s="113" t="inlineStr">
        <is>
          <t>경기</t>
        </is>
      </c>
      <c r="C100" s="122" t="inlineStr">
        <is>
          <t>일동레이크 골프클럽</t>
        </is>
      </c>
      <c r="D100" s="115" t="inlineStr">
        <is>
          <t>회원제</t>
        </is>
      </c>
      <c r="E100" s="116" t="inlineStr">
        <is>
          <t>포천시 일동면 화동로 738/일동면 유동리 21-2</t>
        </is>
      </c>
      <c r="F100" s="112" t="n">
        <v>27</v>
      </c>
      <c r="G100" s="112">
        <f>F100*4</f>
        <v/>
      </c>
      <c r="H100" s="117" t="n">
        <v>1154046</v>
      </c>
      <c r="I100" s="118" t="inlineStr">
        <is>
          <t>㈜농심개발(정철수)</t>
        </is>
      </c>
      <c r="J100" s="108" t="n"/>
      <c r="K100" s="108" t="n"/>
      <c r="L100" s="108" t="n"/>
      <c r="M100" s="108" t="n"/>
      <c r="N100" s="108" t="n"/>
      <c r="O100" s="108" t="n"/>
      <c r="P100" s="112" t="n"/>
      <c r="Q100" s="119" t="n"/>
      <c r="R100" s="108" t="n"/>
      <c r="S100" s="110" t="inlineStr">
        <is>
          <t>🔲 데이터수집예정</t>
        </is>
      </c>
      <c r="T100" s="126" t="inlineStr">
        <is>
          <t>https://www.ildonglake.com/</t>
        </is>
      </c>
      <c r="U100" s="96" t="n">
        <v>2006</v>
      </c>
      <c r="V100" s="96" t="inlineStr">
        <is>
          <t>031-536-0800</t>
        </is>
      </c>
      <c r="W100" s="121" t="n"/>
    </row>
    <row r="101" ht="18" customHeight="1" s="97">
      <c r="A101" s="101" t="n">
        <v>99</v>
      </c>
      <c r="B101" s="102" t="inlineStr">
        <is>
          <t>경기</t>
        </is>
      </c>
      <c r="C101" s="123" t="inlineStr">
        <is>
          <t>일동레이크골프클럽</t>
        </is>
      </c>
      <c r="D101" s="104" t="inlineStr">
        <is>
          <t>대중제</t>
        </is>
      </c>
      <c r="E101" s="105" t="inlineStr">
        <is>
          <t>포천시 일동면 화동로 738</t>
        </is>
      </c>
      <c r="F101" s="101" t="n">
        <v>9</v>
      </c>
      <c r="G101" s="101">
        <f>F101*4</f>
        <v/>
      </c>
      <c r="H101" s="106" t="n">
        <v>389684</v>
      </c>
      <c r="I101" s="107" t="inlineStr">
        <is>
          <t>㈜농심개발(정철수)</t>
        </is>
      </c>
      <c r="J101" s="108" t="n"/>
      <c r="K101" s="108" t="n"/>
      <c r="L101" s="108" t="n"/>
      <c r="M101" s="108" t="n"/>
      <c r="N101" s="108" t="n"/>
      <c r="O101" s="108" t="n"/>
      <c r="P101" s="101" t="n"/>
      <c r="Q101" s="109" t="n"/>
      <c r="R101" s="108" t="n"/>
      <c r="S101" s="110" t="inlineStr">
        <is>
          <t>🔲 데이터수집예정</t>
        </is>
      </c>
      <c r="T101" s="136" t="inlineStr">
        <is>
          <t>https://www.ildonglake.com/</t>
        </is>
      </c>
      <c r="U101" s="96" t="n">
        <v>2006</v>
      </c>
      <c r="V101" s="96" t="inlineStr">
        <is>
          <t>031-536-0800</t>
        </is>
      </c>
      <c r="W101" s="125" t="n"/>
    </row>
    <row r="102" ht="18" customHeight="1" s="97">
      <c r="A102" s="112" t="n">
        <v>100</v>
      </c>
      <c r="B102" s="113" t="inlineStr">
        <is>
          <t>경기</t>
        </is>
      </c>
      <c r="C102" s="122" t="inlineStr">
        <is>
          <t>일산스프링힐스 컨트리클럽</t>
        </is>
      </c>
      <c r="D102" s="104" t="inlineStr">
        <is>
          <t>대중제</t>
        </is>
      </c>
      <c r="E102" s="116" t="inlineStr">
        <is>
          <t>고양시 일산동구 산황로 108</t>
        </is>
      </c>
      <c r="F102" s="112" t="n">
        <v>9</v>
      </c>
      <c r="G102" s="112">
        <f>F102*4</f>
        <v/>
      </c>
      <c r="H102" s="117" t="n">
        <v>230094</v>
      </c>
      <c r="I102" s="118" t="inlineStr">
        <is>
          <t>김명두</t>
        </is>
      </c>
      <c r="J102" s="108" t="n"/>
      <c r="K102" s="108" t="n"/>
      <c r="L102" s="108" t="n"/>
      <c r="M102" s="108" t="n"/>
      <c r="N102" s="108" t="n"/>
      <c r="O102" s="108" t="n"/>
      <c r="P102" s="112" t="n"/>
      <c r="Q102" s="119" t="n"/>
      <c r="R102" s="108" t="n"/>
      <c r="S102" s="110" t="inlineStr">
        <is>
          <t>🔲 데이터수집예정</t>
        </is>
      </c>
      <c r="T102" s="126" t="n"/>
      <c r="W102" s="121" t="n"/>
    </row>
    <row r="103" ht="18" customHeight="1" s="97">
      <c r="A103" s="101" t="n">
        <v>101</v>
      </c>
      <c r="B103" s="102" t="inlineStr">
        <is>
          <t>경기</t>
        </is>
      </c>
      <c r="C103" s="123" t="inlineStr">
        <is>
          <t>자유</t>
        </is>
      </c>
      <c r="D103" s="115" t="inlineStr">
        <is>
          <t>회원제</t>
        </is>
      </c>
      <c r="E103" s="105" t="inlineStr">
        <is>
          <t>여주시 가남읍 자유그린길 69(가남면 삼군리 산44외)</t>
        </is>
      </c>
      <c r="F103" s="101" t="n">
        <v>36</v>
      </c>
      <c r="G103" s="101">
        <f>F103*4</f>
        <v/>
      </c>
      <c r="H103" s="106" t="n">
        <v>2057832</v>
      </c>
      <c r="I103" s="107" t="inlineStr">
        <is>
          <t>신세계건설㈜(윤명규)</t>
        </is>
      </c>
      <c r="J103" s="108" t="n"/>
      <c r="K103" s="108" t="n"/>
      <c r="L103" s="108" t="n"/>
      <c r="M103" s="108" t="n"/>
      <c r="N103" s="108" t="n"/>
      <c r="O103" s="108" t="n"/>
      <c r="P103" s="101" t="n"/>
      <c r="Q103" s="109" t="n"/>
      <c r="R103" s="108" t="n"/>
      <c r="S103" s="110" t="inlineStr">
        <is>
          <t>🔲 데이터수집예정</t>
        </is>
      </c>
      <c r="T103" s="136" t="inlineStr">
        <is>
          <t>https://jayucc.co.kr/</t>
        </is>
      </c>
      <c r="U103" s="96" t="n">
        <v>1990</v>
      </c>
      <c r="V103" s="96" t="inlineStr">
        <is>
          <t>031-881-6900</t>
        </is>
      </c>
      <c r="W103" s="125" t="n"/>
    </row>
    <row r="104" ht="18" customHeight="1" s="97">
      <c r="A104" s="112" t="n">
        <v>102</v>
      </c>
      <c r="B104" s="113" t="inlineStr">
        <is>
          <t>경기</t>
        </is>
      </c>
      <c r="C104" s="122" t="inlineStr">
        <is>
          <t>자유로컨트리클럽</t>
        </is>
      </c>
      <c r="D104" s="104" t="inlineStr">
        <is>
          <t>대중제</t>
        </is>
      </c>
      <c r="E104" s="116" t="inlineStr">
        <is>
          <t>연천군 백학면 노아로297번길 179-55</t>
        </is>
      </c>
      <c r="F104" s="112" t="n">
        <v>27</v>
      </c>
      <c r="G104" s="112">
        <f>F104*4</f>
        <v/>
      </c>
      <c r="H104" s="117" t="n">
        <v>1385761</v>
      </c>
      <c r="I104" s="118" t="inlineStr">
        <is>
          <t>백학관광개발원㈜(김일중)</t>
        </is>
      </c>
      <c r="J104" s="108" t="n"/>
      <c r="K104" s="108" t="n"/>
      <c r="L104" s="108" t="n"/>
      <c r="M104" s="108" t="n"/>
      <c r="N104" s="108" t="n"/>
      <c r="O104" s="108" t="n"/>
      <c r="P104" s="112" t="n"/>
      <c r="Q104" s="119" t="n"/>
      <c r="R104" s="108" t="n"/>
      <c r="S104" s="110" t="inlineStr">
        <is>
          <t>🔲 데이터수집예정</t>
        </is>
      </c>
      <c r="T104" s="126" t="n"/>
      <c r="W104" s="121" t="n"/>
    </row>
    <row r="105" ht="18" customHeight="1" s="97">
      <c r="A105" s="101" t="n">
        <v>103</v>
      </c>
      <c r="B105" s="102" t="inlineStr">
        <is>
          <t>경기</t>
        </is>
      </c>
      <c r="C105" s="123" t="inlineStr">
        <is>
          <t>제일스포츠센타</t>
        </is>
      </c>
      <c r="D105" s="115" t="inlineStr">
        <is>
          <t>회원제</t>
        </is>
      </c>
      <c r="E105" s="105" t="inlineStr">
        <is>
          <t>안산시 상록구 태마당로28(부곡동)</t>
        </is>
      </c>
      <c r="F105" s="101" t="n">
        <v>27</v>
      </c>
      <c r="G105" s="101">
        <f>F105*4</f>
        <v/>
      </c>
      <c r="H105" s="106" t="n">
        <v>1457402</v>
      </c>
      <c r="I105" s="107" t="inlineStr">
        <is>
          <t>㈜제일스포츠센타(아세미트시로)</t>
        </is>
      </c>
      <c r="J105" s="108" t="n"/>
      <c r="K105" s="108" t="n"/>
      <c r="L105" s="108" t="n"/>
      <c r="M105" s="108" t="n"/>
      <c r="N105" s="108" t="n"/>
      <c r="O105" s="108" t="n"/>
      <c r="P105" s="101" t="n"/>
      <c r="Q105" s="109" t="n"/>
      <c r="R105" s="108" t="n"/>
      <c r="S105" s="110" t="inlineStr">
        <is>
          <t>🔲 데이터수집예정</t>
        </is>
      </c>
      <c r="T105" s="136" t="n"/>
      <c r="W105" s="111" t="n"/>
    </row>
    <row r="106" ht="18" customHeight="1" s="97">
      <c r="A106" s="112" t="n">
        <v>104</v>
      </c>
      <c r="B106" s="113" t="inlineStr">
        <is>
          <t>경기</t>
        </is>
      </c>
      <c r="C106" s="122" t="inlineStr">
        <is>
          <t>중부컨트리클럽</t>
        </is>
      </c>
      <c r="D106" s="115" t="inlineStr">
        <is>
          <t>회원제</t>
        </is>
      </c>
      <c r="E106" s="116" t="inlineStr">
        <is>
          <t>광주시 곤지암읍 경충대로 451</t>
        </is>
      </c>
      <c r="F106" s="112" t="n">
        <v>18</v>
      </c>
      <c r="G106" s="112">
        <f>F106*4</f>
        <v/>
      </c>
      <c r="H106" s="117" t="n">
        <v>1094718</v>
      </c>
      <c r="I106" s="118" t="inlineStr">
        <is>
          <t>애경중부컨트리클럽(송병호)</t>
        </is>
      </c>
      <c r="J106" s="108" t="n"/>
      <c r="K106" s="108" t="n"/>
      <c r="L106" s="108" t="n"/>
      <c r="M106" s="108" t="n"/>
      <c r="N106" s="108" t="n"/>
      <c r="O106" s="108" t="n"/>
      <c r="P106" s="112" t="n"/>
      <c r="Q106" s="119" t="n"/>
      <c r="R106" s="108" t="n"/>
      <c r="S106" s="110" t="inlineStr">
        <is>
          <t>🔲 데이터수집예정</t>
        </is>
      </c>
      <c r="T106" s="126" t="n"/>
      <c r="W106" s="121" t="n"/>
    </row>
    <row r="107" ht="18" customHeight="1" s="97">
      <c r="A107" s="101" t="n">
        <v>105</v>
      </c>
      <c r="B107" s="102" t="inlineStr">
        <is>
          <t>경기</t>
        </is>
      </c>
      <c r="C107" s="123" t="inlineStr">
        <is>
          <t>지산CC</t>
        </is>
      </c>
      <c r="D107" s="115" t="inlineStr">
        <is>
          <t>회원제</t>
        </is>
      </c>
      <c r="E107" s="105" t="inlineStr">
        <is>
          <t>용인시 처인구 원삼면 죽양대로 2000번길 60</t>
        </is>
      </c>
      <c r="F107" s="101" t="n">
        <v>27</v>
      </c>
      <c r="G107" s="101">
        <f>F107*4</f>
        <v/>
      </c>
      <c r="H107" s="106" t="n">
        <v>1527293</v>
      </c>
      <c r="I107" s="107" t="inlineStr">
        <is>
          <t>이호재</t>
        </is>
      </c>
      <c r="J107" s="108" t="n"/>
      <c r="K107" s="108" t="n"/>
      <c r="L107" s="108" t="n"/>
      <c r="M107" s="108" t="n"/>
      <c r="N107" s="108" t="n"/>
      <c r="O107" s="108" t="n"/>
      <c r="P107" s="101" t="n"/>
      <c r="Q107" s="109" t="n"/>
      <c r="R107" s="108" t="n"/>
      <c r="S107" s="110" t="inlineStr">
        <is>
          <t>🔲 데이터수집예정</t>
        </is>
      </c>
      <c r="T107" s="136" t="n"/>
      <c r="W107" s="111" t="n"/>
    </row>
    <row r="108" ht="18" customHeight="1" s="97">
      <c r="A108" s="112" t="n">
        <v>106</v>
      </c>
      <c r="B108" s="113" t="inlineStr">
        <is>
          <t>경기</t>
        </is>
      </c>
      <c r="C108" s="122" t="inlineStr">
        <is>
          <t>참밸리 컨트리클럽</t>
        </is>
      </c>
      <c r="D108" s="104" t="inlineStr">
        <is>
          <t>대중제</t>
        </is>
      </c>
      <c r="E108" s="116" t="inlineStr">
        <is>
          <t>포천시 삼육사로 1978 / 설운동 603번지 일원</t>
        </is>
      </c>
      <c r="F108" s="112" t="n">
        <v>18</v>
      </c>
      <c r="G108" s="112">
        <f>F108*4</f>
        <v/>
      </c>
      <c r="H108" s="117" t="n">
        <v>1085944</v>
      </c>
      <c r="I108" s="118" t="inlineStr">
        <is>
          <t>㈜참빛글로벌이앤씨(이한일외 2)</t>
        </is>
      </c>
      <c r="J108" s="108" t="n"/>
      <c r="K108" s="108" t="n"/>
      <c r="L108" s="108" t="n"/>
      <c r="M108" s="108" t="n"/>
      <c r="N108" s="108" t="n"/>
      <c r="O108" s="108" t="n"/>
      <c r="P108" s="112" t="n"/>
      <c r="Q108" s="119" t="n"/>
      <c r="R108" s="108" t="n"/>
      <c r="S108" s="110" t="inlineStr">
        <is>
          <t>🔲 데이터수집예정</t>
        </is>
      </c>
      <c r="T108" s="126" t="n"/>
      <c r="W108" s="121" t="n"/>
    </row>
    <row r="109" ht="18" customHeight="1" s="97">
      <c r="A109" s="101" t="n">
        <v>107</v>
      </c>
      <c r="B109" s="102" t="inlineStr">
        <is>
          <t>경기</t>
        </is>
      </c>
      <c r="C109" s="123" t="inlineStr">
        <is>
          <t>청평마이다스G.C</t>
        </is>
      </c>
      <c r="D109" s="115" t="inlineStr">
        <is>
          <t>회원제</t>
        </is>
      </c>
      <c r="E109" s="105" t="inlineStr">
        <is>
          <t>가평군 설악면 다락재로 73-111</t>
        </is>
      </c>
      <c r="F109" s="101" t="n">
        <v>18</v>
      </c>
      <c r="G109" s="101">
        <f>F109*4</f>
        <v/>
      </c>
      <c r="H109" s="106" t="n">
        <v>1078729</v>
      </c>
      <c r="I109" s="136" t="inlineStr">
        <is>
          <t>(주)대교디앤에스   (최득희)</t>
        </is>
      </c>
      <c r="J109" s="108" t="n"/>
      <c r="K109" s="108" t="n"/>
      <c r="L109" s="108" t="n"/>
      <c r="M109" s="108" t="n"/>
      <c r="N109" s="108" t="n"/>
      <c r="O109" s="108" t="n"/>
      <c r="P109" s="101" t="n"/>
      <c r="Q109" s="109" t="n"/>
      <c r="R109" s="108" t="n"/>
      <c r="S109" s="110" t="inlineStr">
        <is>
          <t>🔲 데이터수집예정</t>
        </is>
      </c>
      <c r="T109" s="136" t="n"/>
      <c r="W109" s="111" t="n"/>
    </row>
    <row r="110" ht="18" customHeight="1" s="97">
      <c r="A110" s="112" t="n">
        <v>108</v>
      </c>
      <c r="B110" s="113" t="inlineStr">
        <is>
          <t>경기</t>
        </is>
      </c>
      <c r="C110" s="122" t="inlineStr">
        <is>
          <t>캐슬파인</t>
        </is>
      </c>
      <c r="D110" s="104" t="inlineStr">
        <is>
          <t>대중제</t>
        </is>
      </c>
      <c r="E110" s="116" t="inlineStr">
        <is>
          <t>여주시 강천면 부평로 580(강천면 부평리 산47-1)</t>
        </is>
      </c>
      <c r="F110" s="112" t="n">
        <v>18</v>
      </c>
      <c r="G110" s="112">
        <f>F110*4</f>
        <v/>
      </c>
      <c r="H110" s="117" t="n">
        <v>1057645</v>
      </c>
      <c r="I110" s="126" t="inlineStr">
        <is>
          <t>(주)캐슬파인 리조트(정귀수)</t>
        </is>
      </c>
      <c r="J110" s="108" t="n"/>
      <c r="K110" s="108" t="n"/>
      <c r="L110" s="108" t="n"/>
      <c r="M110" s="108" t="n"/>
      <c r="N110" s="108" t="n"/>
      <c r="O110" s="108" t="n"/>
      <c r="P110" s="112" t="n"/>
      <c r="Q110" s="119" t="n"/>
      <c r="R110" s="108" t="n"/>
      <c r="S110" s="110" t="inlineStr">
        <is>
          <t>🔲 데이터수집예정</t>
        </is>
      </c>
      <c r="T110" s="126" t="n"/>
      <c r="W110" s="121" t="n"/>
    </row>
    <row r="111" ht="18" customHeight="1" s="97">
      <c r="A111" s="101" t="n">
        <v>109</v>
      </c>
      <c r="B111" s="102" t="inlineStr">
        <is>
          <t>경기</t>
        </is>
      </c>
      <c r="C111" s="123" t="inlineStr">
        <is>
          <t>코리아CC</t>
        </is>
      </c>
      <c r="D111" s="115" t="inlineStr">
        <is>
          <t>회원제</t>
        </is>
      </c>
      <c r="E111" s="105" t="inlineStr">
        <is>
          <t>용인시 처인구 이동읍 기흥단지로 579</t>
        </is>
      </c>
      <c r="F111" s="101" t="n">
        <v>27</v>
      </c>
      <c r="G111" s="101">
        <f>F111*4</f>
        <v/>
      </c>
      <c r="H111" s="106" t="n">
        <v>1351017</v>
      </c>
      <c r="I111" s="107" t="inlineStr">
        <is>
          <t>이응로</t>
        </is>
      </c>
      <c r="J111" s="108" t="n"/>
      <c r="K111" s="108" t="n"/>
      <c r="L111" s="108" t="n"/>
      <c r="M111" s="108" t="n"/>
      <c r="N111" s="108" t="n"/>
      <c r="O111" s="108" t="n"/>
      <c r="P111" s="101" t="n"/>
      <c r="Q111" s="109" t="n"/>
      <c r="R111" s="108" t="n"/>
      <c r="S111" s="110" t="inlineStr">
        <is>
          <t>🔲 데이터수집예정</t>
        </is>
      </c>
      <c r="T111" s="136" t="inlineStr">
        <is>
          <t>https://www.gakorea.com/</t>
        </is>
      </c>
      <c r="U111" s="96" t="n">
        <v>1970</v>
      </c>
      <c r="V111" s="96" t="inlineStr">
        <is>
          <t>031-323-8200</t>
        </is>
      </c>
      <c r="W111" s="125" t="n"/>
    </row>
    <row r="112" ht="18" customHeight="1" s="97">
      <c r="A112" s="112" t="n">
        <v>110</v>
      </c>
      <c r="B112" s="113" t="inlineStr">
        <is>
          <t>경기</t>
        </is>
      </c>
      <c r="C112" s="122" t="inlineStr">
        <is>
          <t>코리아퍼브릭</t>
        </is>
      </c>
      <c r="D112" s="104" t="inlineStr">
        <is>
          <t>대중제</t>
        </is>
      </c>
      <c r="E112" s="116" t="inlineStr">
        <is>
          <t>용인시 기흥구 기흥단지로 224</t>
        </is>
      </c>
      <c r="F112" s="112" t="n">
        <v>9</v>
      </c>
      <c r="G112" s="112">
        <f>F112*4</f>
        <v/>
      </c>
      <c r="H112" s="117" t="n">
        <v>229181</v>
      </c>
      <c r="I112" s="118" t="inlineStr">
        <is>
          <t>김영만</t>
        </is>
      </c>
      <c r="J112" s="108" t="n"/>
      <c r="K112" s="108" t="n"/>
      <c r="L112" s="108" t="n"/>
      <c r="M112" s="108" t="n"/>
      <c r="N112" s="108" t="n"/>
      <c r="O112" s="108" t="n"/>
      <c r="P112" s="112" t="n"/>
      <c r="Q112" s="119" t="n"/>
      <c r="R112" s="108" t="n"/>
      <c r="S112" s="110" t="inlineStr">
        <is>
          <t>🔲 데이터수집예정</t>
        </is>
      </c>
      <c r="T112" s="126" t="inlineStr">
        <is>
          <t>https://www.gakorea.com/</t>
        </is>
      </c>
      <c r="U112" s="96" t="n">
        <v>1970</v>
      </c>
      <c r="V112" s="96" t="inlineStr">
        <is>
          <t>031-323-8200</t>
        </is>
      </c>
      <c r="W112" s="121" t="n"/>
    </row>
    <row r="113" ht="18" customHeight="1" s="97">
      <c r="A113" s="101" t="n">
        <v>111</v>
      </c>
      <c r="B113" s="102" t="inlineStr">
        <is>
          <t>경기</t>
        </is>
      </c>
      <c r="C113" s="123" t="inlineStr">
        <is>
          <t>큐로CC</t>
        </is>
      </c>
      <c r="D113" s="104" t="inlineStr">
        <is>
          <t>대중제</t>
        </is>
      </c>
      <c r="E113" s="105" t="inlineStr">
        <is>
          <t>광주시 곤지암읍 오항길 180</t>
        </is>
      </c>
      <c r="F113" s="101" t="n">
        <v>27</v>
      </c>
      <c r="G113" s="101">
        <f>F113*4</f>
        <v/>
      </c>
      <c r="H113" s="106" t="n">
        <v>1359581</v>
      </c>
      <c r="I113" s="107" t="inlineStr">
        <is>
          <t>경기관광 주식회사(김일준)</t>
        </is>
      </c>
      <c r="J113" s="108" t="n"/>
      <c r="K113" s="108" t="n"/>
      <c r="L113" s="108" t="n"/>
      <c r="M113" s="108" t="n"/>
      <c r="N113" s="108" t="n"/>
      <c r="O113" s="108" t="n"/>
      <c r="P113" s="101" t="n"/>
      <c r="Q113" s="109" t="n"/>
      <c r="R113" s="108" t="n"/>
      <c r="S113" s="110" t="inlineStr">
        <is>
          <t>🔲 데이터수집예정</t>
        </is>
      </c>
      <c r="T113" s="136" t="n"/>
      <c r="W113" s="111" t="n"/>
    </row>
    <row r="114" ht="18" customHeight="1" s="97">
      <c r="A114" s="112" t="n">
        <v>112</v>
      </c>
      <c r="B114" s="113" t="inlineStr">
        <is>
          <t>경기</t>
        </is>
      </c>
      <c r="C114" s="122" t="inlineStr">
        <is>
          <t>크리스탈밸리C.C</t>
        </is>
      </c>
      <c r="D114" s="115" t="inlineStr">
        <is>
          <t>회원제</t>
        </is>
      </c>
      <c r="E114" s="116" t="inlineStr">
        <is>
          <t>가평군 상면 대보간선로 602-111</t>
        </is>
      </c>
      <c r="F114" s="112" t="n">
        <v>18</v>
      </c>
      <c r="G114" s="112">
        <f>F114*4</f>
        <v/>
      </c>
      <c r="H114" s="117" t="n">
        <v>926085</v>
      </c>
      <c r="I114" s="118" t="inlineStr">
        <is>
          <t>㈜한송 (장대수)</t>
        </is>
      </c>
      <c r="J114" s="108" t="n"/>
      <c r="K114" s="108" t="n"/>
      <c r="L114" s="108" t="n"/>
      <c r="M114" s="108" t="n"/>
      <c r="N114" s="108" t="n"/>
      <c r="O114" s="108" t="n"/>
      <c r="P114" s="112" t="n"/>
      <c r="Q114" s="119" t="n"/>
      <c r="R114" s="108" t="n"/>
      <c r="S114" s="110" t="inlineStr">
        <is>
          <t>🔲 데이터수집예정</t>
        </is>
      </c>
      <c r="T114" s="126" t="inlineStr">
        <is>
          <t>https://www.creasvalley.com/</t>
        </is>
      </c>
      <c r="U114" s="96" t="n">
        <v>2008</v>
      </c>
      <c r="V114" s="96" t="inlineStr">
        <is>
          <t>031-674-9200</t>
        </is>
      </c>
      <c r="W114" s="121" t="n"/>
    </row>
    <row r="115" ht="18" customHeight="1" s="97">
      <c r="A115" s="101" t="n">
        <v>113</v>
      </c>
      <c r="B115" s="102" t="inlineStr">
        <is>
          <t>경기</t>
        </is>
      </c>
      <c r="C115" s="123" t="inlineStr">
        <is>
          <t>타이거CC 골프장</t>
        </is>
      </c>
      <c r="D115" s="104" t="inlineStr">
        <is>
          <t>대중제</t>
        </is>
      </c>
      <c r="E115" s="105" t="inlineStr">
        <is>
          <t>파주시 파평면 덕천리 산1-4번지</t>
        </is>
      </c>
      <c r="F115" s="101" t="n">
        <v>18</v>
      </c>
      <c r="G115" s="101">
        <f>F115*4</f>
        <v/>
      </c>
      <c r="H115" s="106" t="n">
        <v>777560</v>
      </c>
      <c r="I115" s="136" t="inlineStr">
        <is>
          <t>(주)타이거 레저(임계자)</t>
        </is>
      </c>
      <c r="J115" s="108" t="n"/>
      <c r="K115" s="108" t="n"/>
      <c r="L115" s="108" t="n"/>
      <c r="M115" s="108" t="n"/>
      <c r="N115" s="108" t="n"/>
      <c r="O115" s="108" t="n"/>
      <c r="P115" s="101" t="n"/>
      <c r="Q115" s="109" t="n"/>
      <c r="R115" s="108" t="n"/>
      <c r="S115" s="110" t="inlineStr">
        <is>
          <t>🔲 데이터수집예정</t>
        </is>
      </c>
      <c r="T115" s="136" t="n"/>
      <c r="W115" s="111" t="n"/>
    </row>
    <row r="116" ht="18" customHeight="1" s="97">
      <c r="A116" s="112" t="n">
        <v>114</v>
      </c>
      <c r="B116" s="113" t="inlineStr">
        <is>
          <t>경기</t>
        </is>
      </c>
      <c r="C116" s="122" t="inlineStr">
        <is>
          <t>태광CC</t>
        </is>
      </c>
      <c r="D116" s="115" t="inlineStr">
        <is>
          <t>회원제</t>
        </is>
      </c>
      <c r="E116" s="116" t="inlineStr">
        <is>
          <t>용인시 기흥구 흥덕4로 77</t>
        </is>
      </c>
      <c r="F116" s="112" t="n">
        <v>27</v>
      </c>
      <c r="G116" s="112">
        <f>F116*4</f>
        <v/>
      </c>
      <c r="H116" s="117" t="n">
        <v>1088973</v>
      </c>
      <c r="I116" s="118" t="inlineStr">
        <is>
          <t>전용인</t>
        </is>
      </c>
      <c r="J116" s="108" t="n"/>
      <c r="K116" s="108" t="n"/>
      <c r="L116" s="108" t="n"/>
      <c r="M116" s="108" t="n"/>
      <c r="N116" s="108" t="n"/>
      <c r="O116" s="108" t="n"/>
      <c r="P116" s="112" t="n"/>
      <c r="Q116" s="119" t="n"/>
      <c r="R116" s="108" t="n"/>
      <c r="S116" s="110" t="inlineStr">
        <is>
          <t>🔲 데이터수집예정</t>
        </is>
      </c>
      <c r="T116" s="126" t="n"/>
      <c r="W116" s="121" t="n"/>
    </row>
    <row r="117" ht="18" customHeight="1" s="97">
      <c r="A117" s="101" t="n">
        <v>115</v>
      </c>
      <c r="B117" s="102" t="inlineStr">
        <is>
          <t>경기</t>
        </is>
      </c>
      <c r="C117" s="123" t="inlineStr">
        <is>
          <t>티클라우드 컨트리클럽</t>
        </is>
      </c>
      <c r="D117" s="115" t="inlineStr">
        <is>
          <t>회원제</t>
        </is>
      </c>
      <c r="E117" s="105" t="inlineStr">
        <is>
          <t>동두천시 평화로 3202 (하봉암동)</t>
        </is>
      </c>
      <c r="F117" s="101" t="n">
        <v>18</v>
      </c>
      <c r="G117" s="101">
        <f>F117*4</f>
        <v/>
      </c>
      <c r="H117" s="106" t="n">
        <v>1258590</v>
      </c>
      <c r="I117" s="107" t="inlineStr">
        <is>
          <t>㈜제이레저(정길연)</t>
        </is>
      </c>
      <c r="J117" s="108" t="n"/>
      <c r="K117" s="108" t="n"/>
      <c r="L117" s="108" t="n"/>
      <c r="M117" s="108" t="n"/>
      <c r="N117" s="108" t="n"/>
      <c r="O117" s="108" t="n"/>
      <c r="P117" s="101" t="n"/>
      <c r="Q117" s="109" t="n"/>
      <c r="R117" s="108" t="n"/>
      <c r="S117" s="110" t="inlineStr">
        <is>
          <t>🔲 데이터수집예정</t>
        </is>
      </c>
      <c r="T117" s="136" t="n"/>
      <c r="W117" s="111" t="n"/>
    </row>
    <row r="118" ht="18" customHeight="1" s="97">
      <c r="A118" s="112" t="n">
        <v>116</v>
      </c>
      <c r="B118" s="113" t="inlineStr">
        <is>
          <t>경기</t>
        </is>
      </c>
      <c r="C118" s="122" t="inlineStr">
        <is>
          <t>파인크리크C.C</t>
        </is>
      </c>
      <c r="D118" s="104" t="inlineStr">
        <is>
          <t>대중제</t>
        </is>
      </c>
      <c r="E118" s="116" t="inlineStr">
        <is>
          <t>안성시 양성면 안성맞춤대로 2417-13</t>
        </is>
      </c>
      <c r="F118" s="112" t="n">
        <v>27</v>
      </c>
      <c r="G118" s="112">
        <f>F118*4</f>
        <v/>
      </c>
      <c r="H118" s="117" t="n">
        <v>1537924</v>
      </c>
      <c r="I118" s="118" t="inlineStr">
        <is>
          <t>㈜동양레저(강  선)</t>
        </is>
      </c>
      <c r="J118" s="108" t="n"/>
      <c r="K118" s="108" t="n"/>
      <c r="L118" s="108" t="n"/>
      <c r="M118" s="108" t="n"/>
      <c r="N118" s="108" t="n"/>
      <c r="O118" s="108" t="n"/>
      <c r="P118" s="112" t="n"/>
      <c r="Q118" s="119" t="n"/>
      <c r="R118" s="108" t="n"/>
      <c r="S118" s="110" t="inlineStr">
        <is>
          <t>🔲 데이터수집예정</t>
        </is>
      </c>
      <c r="T118" s="126" t="n"/>
      <c r="W118" s="121" t="n"/>
    </row>
    <row r="119" ht="18" customHeight="1" s="97">
      <c r="A119" s="101" t="n">
        <v>117</v>
      </c>
      <c r="B119" s="102" t="inlineStr">
        <is>
          <t>경기</t>
        </is>
      </c>
      <c r="C119" s="123" t="inlineStr">
        <is>
          <t>파주CC</t>
        </is>
      </c>
      <c r="D119" s="104" t="inlineStr">
        <is>
          <t>대중제</t>
        </is>
      </c>
      <c r="E119" s="105" t="inlineStr">
        <is>
          <t>파주시 법원읍 화합로 306</t>
        </is>
      </c>
      <c r="F119" s="101" t="n">
        <v>18</v>
      </c>
      <c r="G119" s="101">
        <f>F119*4</f>
        <v/>
      </c>
      <c r="H119" s="106" t="n">
        <v>987556</v>
      </c>
      <c r="I119" s="107" t="inlineStr">
        <is>
          <t>㈜파주컨트리클럽(윤준학)</t>
        </is>
      </c>
      <c r="J119" s="108" t="n"/>
      <c r="K119" s="108" t="n"/>
      <c r="L119" s="108" t="n"/>
      <c r="M119" s="108" t="n"/>
      <c r="N119" s="108" t="n"/>
      <c r="O119" s="108" t="n"/>
      <c r="P119" s="101" t="n"/>
      <c r="Q119" s="109" t="n"/>
      <c r="R119" s="108" t="n"/>
      <c r="S119" s="110" t="inlineStr">
        <is>
          <t>🔲 데이터수집예정</t>
        </is>
      </c>
      <c r="T119" s="136" t="n"/>
      <c r="W119" s="111" t="n"/>
    </row>
    <row r="120" ht="18" customHeight="1" s="97">
      <c r="A120" s="112" t="n">
        <v>118</v>
      </c>
      <c r="B120" s="113" t="inlineStr">
        <is>
          <t>경기</t>
        </is>
      </c>
      <c r="C120" s="122" t="inlineStr">
        <is>
          <t>페럼</t>
        </is>
      </c>
      <c r="D120" s="104" t="inlineStr">
        <is>
          <t>대중제</t>
        </is>
      </c>
      <c r="E120" s="116" t="inlineStr">
        <is>
          <t>여주시 점동면 점동로 181(점동면 사곡리 산16-10)</t>
        </is>
      </c>
      <c r="F120" s="112" t="n">
        <v>18</v>
      </c>
      <c r="G120" s="112">
        <f>F120*4</f>
        <v/>
      </c>
      <c r="H120" s="117" t="n">
        <v>1164205</v>
      </c>
      <c r="I120" s="118" t="inlineStr">
        <is>
          <t>㈜페럼인프라(고문성)</t>
        </is>
      </c>
      <c r="J120" s="108" t="n"/>
      <c r="K120" s="108" t="n"/>
      <c r="L120" s="108" t="n"/>
      <c r="M120" s="108" t="n"/>
      <c r="N120" s="108" t="n"/>
      <c r="O120" s="108" t="n"/>
      <c r="P120" s="112" t="n"/>
      <c r="Q120" s="119" t="n"/>
      <c r="R120" s="108" t="n"/>
      <c r="S120" s="110" t="inlineStr">
        <is>
          <t>🔲 데이터수집예정</t>
        </is>
      </c>
      <c r="T120" s="126" t="inlineStr">
        <is>
          <t>https://www.ferrumclub.com/</t>
        </is>
      </c>
      <c r="U120" s="96" t="n">
        <v>2008</v>
      </c>
      <c r="V120" s="96" t="inlineStr">
        <is>
          <t>033-769-8000</t>
        </is>
      </c>
      <c r="W120" s="121" t="n"/>
    </row>
    <row r="121" ht="18" customHeight="1" s="97">
      <c r="A121" s="101" t="n">
        <v>119</v>
      </c>
      <c r="B121" s="102" t="inlineStr">
        <is>
          <t>경기</t>
        </is>
      </c>
      <c r="C121" s="123" t="inlineStr">
        <is>
          <t>포레스트힐 C.C</t>
        </is>
      </c>
      <c r="D121" s="104" t="inlineStr">
        <is>
          <t>대중제</t>
        </is>
      </c>
      <c r="E121" s="105" t="inlineStr">
        <is>
          <t>포천시 화현면 명덕리 178-1번지</t>
        </is>
      </c>
      <c r="F121" s="101" t="n">
        <v>24</v>
      </c>
      <c r="G121" s="101">
        <f>F121*4</f>
        <v/>
      </c>
      <c r="H121" s="106" t="n">
        <v>1457261</v>
      </c>
      <c r="I121" s="107" t="inlineStr">
        <is>
          <t>㈜화현개발(홍승범)</t>
        </is>
      </c>
      <c r="J121" s="108" t="n"/>
      <c r="K121" s="108" t="n"/>
      <c r="L121" s="108" t="n"/>
      <c r="M121" s="108" t="n"/>
      <c r="N121" s="108" t="n"/>
      <c r="O121" s="108" t="n"/>
      <c r="P121" s="101" t="n"/>
      <c r="Q121" s="109" t="n"/>
      <c r="R121" s="108" t="n"/>
      <c r="S121" s="110" t="inlineStr">
        <is>
          <t>🔲 데이터수집예정</t>
        </is>
      </c>
      <c r="T121" s="136" t="inlineStr">
        <is>
          <t>https://www.foresthill.kr/</t>
        </is>
      </c>
      <c r="U121" s="96" t="n">
        <v>2006</v>
      </c>
      <c r="V121" s="96" t="inlineStr">
        <is>
          <t>031-531-4800</t>
        </is>
      </c>
      <c r="W121" s="125" t="n"/>
    </row>
    <row r="122" ht="18" customHeight="1" s="97">
      <c r="A122" s="112" t="n">
        <v>120</v>
      </c>
      <c r="B122" s="113" t="inlineStr">
        <is>
          <t>경기</t>
        </is>
      </c>
      <c r="C122" s="122" t="inlineStr">
        <is>
          <t>포천아도니스 C.C</t>
        </is>
      </c>
      <c r="D122" s="115" t="inlineStr">
        <is>
          <t>회원제</t>
        </is>
      </c>
      <c r="E122" s="116" t="inlineStr">
        <is>
          <t>포천시 신북면 포천로 2499/신북면 고일리(산) 59</t>
        </is>
      </c>
      <c r="F122" s="112" t="n">
        <v>27</v>
      </c>
      <c r="G122" s="112">
        <f>F122*4</f>
        <v/>
      </c>
      <c r="H122" s="117" t="n">
        <v>1538257</v>
      </c>
      <c r="I122" s="118" t="inlineStr">
        <is>
          <t>㈜아도니스(정성경)</t>
        </is>
      </c>
      <c r="J122" s="108" t="n"/>
      <c r="K122" s="108" t="n"/>
      <c r="L122" s="108" t="n"/>
      <c r="M122" s="108" t="n"/>
      <c r="N122" s="108" t="n"/>
      <c r="O122" s="108" t="n"/>
      <c r="P122" s="112" t="n"/>
      <c r="Q122" s="119" t="n"/>
      <c r="R122" s="108" t="n"/>
      <c r="S122" s="110" t="inlineStr">
        <is>
          <t>🔲 데이터수집예정</t>
        </is>
      </c>
      <c r="T122" s="126" t="n"/>
      <c r="W122" s="121" t="n"/>
    </row>
    <row r="123" ht="18" customHeight="1" s="97">
      <c r="A123" s="101" t="n">
        <v>121</v>
      </c>
      <c r="B123" s="102" t="inlineStr">
        <is>
          <t>경기</t>
        </is>
      </c>
      <c r="C123" s="123" t="inlineStr">
        <is>
          <t>포천힐스컨트리클럽</t>
        </is>
      </c>
      <c r="D123" s="104" t="inlineStr">
        <is>
          <t>대중제</t>
        </is>
      </c>
      <c r="E123" s="105" t="inlineStr">
        <is>
          <t>포천시 군내면 반월산성로 375번길 34</t>
        </is>
      </c>
      <c r="F123" s="101" t="n">
        <v>27</v>
      </c>
      <c r="G123" s="101">
        <f>F123*4</f>
        <v/>
      </c>
      <c r="H123" s="106" t="n">
        <v>1484312</v>
      </c>
      <c r="I123" s="107" t="inlineStr">
        <is>
          <t>㈜한경엘앤디(정구학)</t>
        </is>
      </c>
      <c r="J123" s="108" t="n"/>
      <c r="K123" s="108" t="n"/>
      <c r="L123" s="108" t="n"/>
      <c r="M123" s="108" t="n"/>
      <c r="N123" s="108" t="n"/>
      <c r="O123" s="108" t="n"/>
      <c r="P123" s="101" t="n"/>
      <c r="Q123" s="109" t="n"/>
      <c r="R123" s="108" t="n"/>
      <c r="S123" s="110" t="inlineStr">
        <is>
          <t>🔲 데이터수집예정</t>
        </is>
      </c>
      <c r="T123" s="136" t="inlineStr">
        <is>
          <t>https://www.pocheonhills.co.kr/</t>
        </is>
      </c>
      <c r="U123" s="96" t="n">
        <v>2007</v>
      </c>
      <c r="V123" s="96" t="inlineStr">
        <is>
          <t>031-531-0001</t>
        </is>
      </c>
      <c r="W123" s="125" t="n"/>
    </row>
    <row r="124" ht="18" customHeight="1" s="97">
      <c r="A124" s="112" t="n">
        <v>122</v>
      </c>
      <c r="B124" s="113" t="inlineStr">
        <is>
          <t>경기</t>
        </is>
      </c>
      <c r="C124" s="122" t="inlineStr">
        <is>
          <t>푸른솔 골프클럽포천</t>
        </is>
      </c>
      <c r="D124" s="104" t="inlineStr">
        <is>
          <t>대중제</t>
        </is>
      </c>
      <c r="E124" s="116" t="inlineStr">
        <is>
          <t>포천시 가산면 금우로276</t>
        </is>
      </c>
      <c r="F124" s="112" t="n">
        <v>27</v>
      </c>
      <c r="G124" s="112">
        <f>F124*4</f>
        <v/>
      </c>
      <c r="H124" s="117" t="n">
        <v>1415138</v>
      </c>
      <c r="I124" s="118" t="inlineStr">
        <is>
          <t>㈜유진로텍(조일구)</t>
        </is>
      </c>
      <c r="J124" s="108" t="n"/>
      <c r="K124" s="108" t="n"/>
      <c r="L124" s="108" t="n"/>
      <c r="M124" s="108" t="n"/>
      <c r="N124" s="108" t="n"/>
      <c r="O124" s="108" t="n"/>
      <c r="P124" s="112" t="n"/>
      <c r="Q124" s="119" t="n"/>
      <c r="R124" s="108" t="n"/>
      <c r="S124" s="110" t="inlineStr">
        <is>
          <t>🔲 데이터수집예정</t>
        </is>
      </c>
      <c r="T124" s="126" t="n"/>
      <c r="W124" s="121" t="n"/>
    </row>
    <row r="125" ht="18" customHeight="1" s="97">
      <c r="A125" s="101" t="n">
        <v>123</v>
      </c>
      <c r="B125" s="102" t="inlineStr">
        <is>
          <t>경기</t>
        </is>
      </c>
      <c r="C125" s="123" t="inlineStr">
        <is>
          <t>프리스틴밸리    G.C</t>
        </is>
      </c>
      <c r="D125" s="115" t="inlineStr">
        <is>
          <t>회원제</t>
        </is>
      </c>
      <c r="E125" s="105" t="inlineStr">
        <is>
          <t>가평군 설악면 유명산로 1234-199</t>
        </is>
      </c>
      <c r="F125" s="101" t="n">
        <v>18</v>
      </c>
      <c r="G125" s="101">
        <f>F125*4</f>
        <v/>
      </c>
      <c r="H125" s="106" t="n">
        <v>1156465</v>
      </c>
      <c r="I125" s="136" t="inlineStr">
        <is>
          <t>(주)평산투자개발   (박정호, 박치웅)</t>
        </is>
      </c>
      <c r="J125" s="108" t="n"/>
      <c r="K125" s="108" t="n"/>
      <c r="L125" s="108" t="n"/>
      <c r="M125" s="108" t="n"/>
      <c r="N125" s="108" t="n"/>
      <c r="O125" s="108" t="n"/>
      <c r="P125" s="101" t="n"/>
      <c r="Q125" s="109" t="n"/>
      <c r="R125" s="108" t="n"/>
      <c r="S125" s="110" t="inlineStr">
        <is>
          <t>🔲 데이터수집예정</t>
        </is>
      </c>
      <c r="T125" s="136" t="n"/>
      <c r="W125" s="111" t="n"/>
    </row>
    <row r="126" ht="18" customHeight="1" s="97">
      <c r="A126" s="112" t="n">
        <v>124</v>
      </c>
      <c r="B126" s="113" t="inlineStr">
        <is>
          <t>경기</t>
        </is>
      </c>
      <c r="C126" s="122" t="inlineStr">
        <is>
          <t>플라자CC</t>
        </is>
      </c>
      <c r="D126" s="115" t="inlineStr">
        <is>
          <t>회원제</t>
        </is>
      </c>
      <c r="E126" s="116" t="inlineStr">
        <is>
          <t>용인시 처인구 남사읍 봉무로 153번길 79</t>
        </is>
      </c>
      <c r="F126" s="112" t="n">
        <v>36</v>
      </c>
      <c r="G126" s="112">
        <f>F126*4</f>
        <v/>
      </c>
      <c r="H126" s="117" t="n">
        <v>1899082</v>
      </c>
      <c r="I126" s="118" t="inlineStr">
        <is>
          <t>김형조</t>
        </is>
      </c>
      <c r="J126" s="108" t="n"/>
      <c r="K126" s="108" t="n"/>
      <c r="L126" s="108" t="n"/>
      <c r="M126" s="108" t="n"/>
      <c r="N126" s="108" t="n"/>
      <c r="O126" s="108" t="n"/>
      <c r="P126" s="112" t="n"/>
      <c r="Q126" s="119" t="n"/>
      <c r="R126" s="108" t="n"/>
      <c r="S126" s="110" t="inlineStr">
        <is>
          <t>🔲 데이터수집예정</t>
        </is>
      </c>
      <c r="T126" s="126" t="n"/>
      <c r="W126" s="121" t="n"/>
    </row>
    <row r="127" ht="18" customHeight="1" s="97">
      <c r="A127" s="101" t="n">
        <v>125</v>
      </c>
      <c r="B127" s="102" t="inlineStr">
        <is>
          <t>경기</t>
        </is>
      </c>
      <c r="C127" s="123" t="inlineStr">
        <is>
          <t>필로스골프클럽</t>
        </is>
      </c>
      <c r="D127" s="104" t="inlineStr">
        <is>
          <t>대중제</t>
        </is>
      </c>
      <c r="E127" s="105" t="inlineStr">
        <is>
          <t>포천시 일동면 운악청계로 1507/ 포천시 일동면 기산리 (산) 142-1</t>
        </is>
      </c>
      <c r="F127" s="101" t="n">
        <v>27</v>
      </c>
      <c r="G127" s="101">
        <f>F127*4</f>
        <v/>
      </c>
      <c r="H127" s="106" t="n">
        <v>1519198</v>
      </c>
      <c r="I127" s="107" t="inlineStr">
        <is>
          <t>㈜선운(이성용)</t>
        </is>
      </c>
      <c r="J127" s="108" t="n"/>
      <c r="K127" s="108" t="n"/>
      <c r="L127" s="108" t="n"/>
      <c r="M127" s="108" t="n"/>
      <c r="N127" s="108" t="n"/>
      <c r="O127" s="108" t="n"/>
      <c r="P127" s="101" t="n"/>
      <c r="Q127" s="109" t="n"/>
      <c r="R127" s="108" t="n"/>
      <c r="S127" s="110" t="inlineStr">
        <is>
          <t>🔲 데이터수집예정</t>
        </is>
      </c>
      <c r="T127" s="136" t="n"/>
      <c r="W127" s="111" t="n"/>
    </row>
    <row r="128" ht="18" customHeight="1" s="97">
      <c r="A128" s="112" t="n">
        <v>126</v>
      </c>
      <c r="B128" s="113" t="inlineStr">
        <is>
          <t>경기</t>
        </is>
      </c>
      <c r="C128" s="122" t="inlineStr">
        <is>
          <t>한림광릉C.C</t>
        </is>
      </c>
      <c r="D128" s="115" t="inlineStr">
        <is>
          <t>회원제</t>
        </is>
      </c>
      <c r="E128" s="116" t="inlineStr">
        <is>
          <t>남양주시 진접읍 팔야로 280</t>
        </is>
      </c>
      <c r="F128" s="112" t="n">
        <v>18</v>
      </c>
      <c r="G128" s="112">
        <f>F128*4</f>
        <v/>
      </c>
      <c r="H128" s="117" t="n">
        <v>962229</v>
      </c>
      <c r="I128" s="118" t="inlineStr">
        <is>
          <t>광릉레져개발(주)김진규</t>
        </is>
      </c>
      <c r="J128" s="108" t="n"/>
      <c r="K128" s="108" t="n"/>
      <c r="L128" s="108" t="n"/>
      <c r="M128" s="108" t="n"/>
      <c r="N128" s="108" t="n"/>
      <c r="O128" s="108" t="n"/>
      <c r="P128" s="112" t="n"/>
      <c r="Q128" s="119" t="n"/>
      <c r="R128" s="108" t="n"/>
      <c r="S128" s="110" t="inlineStr">
        <is>
          <t>🔲 데이터수집예정</t>
        </is>
      </c>
      <c r="T128" s="126" t="n"/>
      <c r="W128" s="121" t="n"/>
    </row>
    <row r="129" ht="18" customHeight="1" s="97">
      <c r="A129" s="101" t="n">
        <v>127</v>
      </c>
      <c r="B129" s="102" t="inlineStr">
        <is>
          <t>경기</t>
        </is>
      </c>
      <c r="C129" s="123" t="inlineStr">
        <is>
          <t>한림안성</t>
        </is>
      </c>
      <c r="D129" s="104" t="inlineStr">
        <is>
          <t>대중제</t>
        </is>
      </c>
      <c r="E129" s="105" t="inlineStr">
        <is>
          <t>안성시 양성면 양성로 349-61</t>
        </is>
      </c>
      <c r="F129" s="101" t="n">
        <v>9</v>
      </c>
      <c r="G129" s="101">
        <f>F129*4</f>
        <v/>
      </c>
      <c r="H129" s="106" t="n">
        <v>240013</v>
      </c>
      <c r="I129" s="107" t="inlineStr">
        <is>
          <t>일송개발㈜(이병진)</t>
        </is>
      </c>
      <c r="J129" s="108" t="n"/>
      <c r="K129" s="108" t="n"/>
      <c r="L129" s="108" t="n"/>
      <c r="M129" s="108" t="n"/>
      <c r="N129" s="108" t="n"/>
      <c r="O129" s="108" t="n"/>
      <c r="P129" s="101" t="n"/>
      <c r="Q129" s="109" t="n"/>
      <c r="R129" s="108" t="n"/>
      <c r="S129" s="110" t="inlineStr">
        <is>
          <t>🔲 데이터수집예정</t>
        </is>
      </c>
      <c r="T129" s="136" t="n"/>
      <c r="W129" s="111" t="n"/>
    </row>
    <row r="130" ht="18" customHeight="1" s="97">
      <c r="A130" s="112" t="n">
        <v>128</v>
      </c>
      <c r="B130" s="113" t="inlineStr">
        <is>
          <t>경기</t>
        </is>
      </c>
      <c r="C130" s="122" t="inlineStr">
        <is>
          <t>한림용인CC</t>
        </is>
      </c>
      <c r="D130" s="104" t="inlineStr">
        <is>
          <t>대중제</t>
        </is>
      </c>
      <c r="E130" s="116" t="inlineStr">
        <is>
          <t>용인시 처인구 남사읍 경기동로 628</t>
        </is>
      </c>
      <c r="F130" s="112" t="n">
        <v>27</v>
      </c>
      <c r="G130" s="112">
        <f>F130*4</f>
        <v/>
      </c>
      <c r="H130" s="117" t="n">
        <v>1584819</v>
      </c>
      <c r="I130" s="118" t="inlineStr">
        <is>
          <t>이병진</t>
        </is>
      </c>
      <c r="J130" s="108" t="n"/>
      <c r="K130" s="108" t="n"/>
      <c r="L130" s="108" t="n"/>
      <c r="M130" s="108" t="n"/>
      <c r="N130" s="108" t="n"/>
      <c r="O130" s="108" t="n"/>
      <c r="P130" s="112" t="n"/>
      <c r="Q130" s="119" t="n"/>
      <c r="R130" s="108" t="n"/>
      <c r="S130" s="110" t="inlineStr">
        <is>
          <t>🔲 데이터수집예정</t>
        </is>
      </c>
      <c r="T130" s="126" t="n"/>
      <c r="W130" s="121" t="n"/>
    </row>
    <row r="131" ht="18" customHeight="1" s="97">
      <c r="A131" s="101" t="n">
        <v>129</v>
      </c>
      <c r="B131" s="102" t="inlineStr">
        <is>
          <t>경기</t>
        </is>
      </c>
      <c r="C131" s="123" t="inlineStr">
        <is>
          <t>한성CC</t>
        </is>
      </c>
      <c r="D131" s="115" t="inlineStr">
        <is>
          <t>회원제</t>
        </is>
      </c>
      <c r="E131" s="105" t="inlineStr">
        <is>
          <t>용인시 기흥구 구교동로 151</t>
        </is>
      </c>
      <c r="F131" s="101" t="n">
        <v>27</v>
      </c>
      <c r="G131" s="101">
        <f>F131*4</f>
        <v/>
      </c>
      <c r="H131" s="106" t="n">
        <v>1411398</v>
      </c>
      <c r="I131" s="107" t="inlineStr">
        <is>
          <t>전영자</t>
        </is>
      </c>
      <c r="J131" s="108" t="n"/>
      <c r="K131" s="108" t="n"/>
      <c r="L131" s="108" t="n"/>
      <c r="M131" s="108" t="n"/>
      <c r="N131" s="108" t="n"/>
      <c r="O131" s="108" t="n"/>
      <c r="P131" s="101" t="n"/>
      <c r="Q131" s="109" t="n"/>
      <c r="R131" s="108" t="n"/>
      <c r="S131" s="110" t="inlineStr">
        <is>
          <t>🔲 데이터수집예정</t>
        </is>
      </c>
      <c r="T131" s="136" t="n"/>
      <c r="W131" s="111" t="n"/>
    </row>
    <row r="132" ht="18" customHeight="1" s="97">
      <c r="A132" s="112" t="n">
        <v>130</v>
      </c>
      <c r="B132" s="113" t="inlineStr">
        <is>
          <t>경기</t>
        </is>
      </c>
      <c r="C132" s="122" t="inlineStr">
        <is>
          <t>한양컨트리클럽</t>
        </is>
      </c>
      <c r="D132" s="115" t="inlineStr">
        <is>
          <t>회원제</t>
        </is>
      </c>
      <c r="E132" s="116" t="inlineStr">
        <is>
          <t>고양시 덕양구 고양대로1643번길 164</t>
        </is>
      </c>
      <c r="F132" s="112" t="n">
        <v>36</v>
      </c>
      <c r="G132" s="112">
        <f>F132*4</f>
        <v/>
      </c>
      <c r="H132" s="117" t="n">
        <v>1441066</v>
      </c>
      <c r="I132" s="118" t="inlineStr">
        <is>
          <t>이승호</t>
        </is>
      </c>
      <c r="J132" s="133" t="n">
        <v>3.3</v>
      </c>
      <c r="K132" s="133" t="n">
        <v>3.4</v>
      </c>
      <c r="L132" s="139" t="n">
        <v>4.1</v>
      </c>
      <c r="M132" s="133" t="n">
        <v>3</v>
      </c>
      <c r="N132" s="139" t="n">
        <v>3.8</v>
      </c>
      <c r="O132" s="140">
        <f>ROUND(AVERAGE(J132:N132),2)</f>
        <v/>
      </c>
      <c r="P132" s="112" t="n">
        <v>125</v>
      </c>
      <c r="Q132" s="119" t="n">
        <v>71</v>
      </c>
      <c r="R132" s="130" t="inlineStr">
        <is>
          <t>중급</t>
        </is>
      </c>
      <c r="S132" s="131" t="inlineStr">
        <is>
          <t>✅ 서비스중</t>
        </is>
      </c>
      <c r="T132" s="132" t="inlineStr">
        <is>
          <t>https://www.hanyangcc.com</t>
        </is>
      </c>
      <c r="U132" s="96" t="n">
        <v>1964</v>
      </c>
      <c r="V132" s="96" t="inlineStr">
        <is>
          <t>031-786-1000</t>
        </is>
      </c>
      <c r="W132" s="121" t="n"/>
    </row>
    <row r="133" ht="18" customHeight="1" s="97">
      <c r="A133" s="101" t="n">
        <v>131</v>
      </c>
      <c r="B133" s="102" t="inlineStr">
        <is>
          <t>경기</t>
        </is>
      </c>
      <c r="C133" s="123" t="inlineStr">
        <is>
          <t>한양컨트리클럽 대중제 9홀 골프장</t>
        </is>
      </c>
      <c r="D133" s="104" t="inlineStr">
        <is>
          <t>대중제</t>
        </is>
      </c>
      <c r="E133" s="105" t="inlineStr">
        <is>
          <t>고양시 덕양구 고양대로 1591</t>
        </is>
      </c>
      <c r="F133" s="101" t="n">
        <v>9</v>
      </c>
      <c r="G133" s="101">
        <f>F133*4</f>
        <v/>
      </c>
      <c r="H133" s="106" t="n">
        <v>351587</v>
      </c>
      <c r="I133" s="107" t="inlineStr">
        <is>
          <t>홍순직,이승호</t>
        </is>
      </c>
      <c r="J133" s="108" t="n"/>
      <c r="K133" s="108" t="n"/>
      <c r="L133" s="108" t="n"/>
      <c r="M133" s="108" t="n"/>
      <c r="N133" s="108" t="n"/>
      <c r="O133" s="108" t="n"/>
      <c r="P133" s="101" t="n"/>
      <c r="Q133" s="109" t="n"/>
      <c r="R133" s="108" t="n"/>
      <c r="S133" s="110" t="inlineStr">
        <is>
          <t>🔲 데이터수집예정</t>
        </is>
      </c>
      <c r="T133" s="136" t="n"/>
      <c r="W133" s="111" t="n"/>
    </row>
    <row r="134" ht="18" customHeight="1" s="97">
      <c r="A134" s="112" t="n">
        <v>132</v>
      </c>
      <c r="B134" s="113" t="inlineStr">
        <is>
          <t>경기</t>
        </is>
      </c>
      <c r="C134" s="122" t="inlineStr">
        <is>
          <t>한원CC</t>
        </is>
      </c>
      <c r="D134" s="115" t="inlineStr">
        <is>
          <t>회원제</t>
        </is>
      </c>
      <c r="E134" s="116" t="inlineStr">
        <is>
          <t>용인시 처인구 남사읍 전나무골길 2번길 94</t>
        </is>
      </c>
      <c r="F134" s="112" t="n">
        <v>27</v>
      </c>
      <c r="G134" s="112">
        <f>F134*4</f>
        <v/>
      </c>
      <c r="H134" s="117" t="n">
        <v>1024961</v>
      </c>
      <c r="I134" s="118" t="inlineStr">
        <is>
          <t>김인식</t>
        </is>
      </c>
      <c r="J134" s="108" t="n"/>
      <c r="K134" s="108" t="n"/>
      <c r="L134" s="108" t="n"/>
      <c r="M134" s="108" t="n"/>
      <c r="N134" s="108" t="n"/>
      <c r="O134" s="108" t="n"/>
      <c r="P134" s="112" t="n"/>
      <c r="Q134" s="119" t="n"/>
      <c r="R134" s="108" t="n"/>
      <c r="S134" s="110" t="inlineStr">
        <is>
          <t>🔲 데이터수집예정</t>
        </is>
      </c>
      <c r="T134" s="126" t="n"/>
      <c r="W134" s="121" t="n"/>
    </row>
    <row r="135" ht="18" customHeight="1" s="97">
      <c r="A135" s="101" t="n">
        <v>133</v>
      </c>
      <c r="B135" s="102" t="inlineStr">
        <is>
          <t>경기</t>
        </is>
      </c>
      <c r="C135" s="123" t="inlineStr">
        <is>
          <t>해비치C.C</t>
        </is>
      </c>
      <c r="D135" s="115" t="inlineStr">
        <is>
          <t>회원제</t>
        </is>
      </c>
      <c r="E135" s="105" t="inlineStr">
        <is>
          <t>남양주시 화도읍 재재기로 190번길 160</t>
        </is>
      </c>
      <c r="F135" s="101" t="n">
        <v>18</v>
      </c>
      <c r="G135" s="101">
        <f>F135*4</f>
        <v/>
      </c>
      <c r="H135" s="106" t="n">
        <v>1256971</v>
      </c>
      <c r="I135" s="107" t="inlineStr">
        <is>
          <t>해비치컨트리클럽(주)김민수</t>
        </is>
      </c>
      <c r="J135" s="108" t="n"/>
      <c r="K135" s="108" t="n"/>
      <c r="L135" s="108" t="n"/>
      <c r="M135" s="108" t="n"/>
      <c r="N135" s="108" t="n"/>
      <c r="O135" s="108" t="n"/>
      <c r="P135" s="101" t="n"/>
      <c r="Q135" s="109" t="n"/>
      <c r="R135" s="108" t="n"/>
      <c r="S135" s="110" t="inlineStr">
        <is>
          <t>🔲 데이터수집예정</t>
        </is>
      </c>
      <c r="T135" s="136" t="n"/>
      <c r="W135" s="111" t="n"/>
    </row>
    <row r="136" ht="18" customHeight="1" s="97">
      <c r="A136" s="112" t="n">
        <v>134</v>
      </c>
      <c r="B136" s="113" t="inlineStr">
        <is>
          <t>경기</t>
        </is>
      </c>
      <c r="C136" s="122" t="inlineStr">
        <is>
          <t>해솔리아CC</t>
        </is>
      </c>
      <c r="D136" s="104" t="inlineStr">
        <is>
          <t>대중제</t>
        </is>
      </c>
      <c r="E136" s="116" t="inlineStr">
        <is>
          <t>용인시 처인구 이동읍 백자로 297번길 74</t>
        </is>
      </c>
      <c r="F136" s="112" t="n">
        <v>27</v>
      </c>
      <c r="G136" s="112">
        <f>F136*4</f>
        <v/>
      </c>
      <c r="H136" s="117" t="n">
        <v>1666810</v>
      </c>
      <c r="I136" s="118" t="inlineStr">
        <is>
          <t>오갑균</t>
        </is>
      </c>
      <c r="J136" s="108" t="n"/>
      <c r="K136" s="108" t="n"/>
      <c r="L136" s="108" t="n"/>
      <c r="M136" s="108" t="n"/>
      <c r="N136" s="108" t="n"/>
      <c r="O136" s="108" t="n"/>
      <c r="P136" s="112" t="n"/>
      <c r="Q136" s="119" t="n"/>
      <c r="R136" s="108" t="n"/>
      <c r="S136" s="110" t="inlineStr">
        <is>
          <t>🔲 데이터수집예정</t>
        </is>
      </c>
      <c r="T136" s="126" t="n"/>
      <c r="W136" s="121" t="n"/>
    </row>
    <row r="137" ht="18" customHeight="1" s="97">
      <c r="A137" s="101" t="n">
        <v>135</v>
      </c>
      <c r="B137" s="102" t="inlineStr">
        <is>
          <t>경기</t>
        </is>
      </c>
      <c r="C137" s="123" t="inlineStr">
        <is>
          <t>해슬리나인브릿지</t>
        </is>
      </c>
      <c r="D137" s="115" t="inlineStr">
        <is>
          <t>회원제</t>
        </is>
      </c>
      <c r="E137" s="105" t="inlineStr">
        <is>
          <t>여주시 명품1로 76(여주읍 연라리 산67-1 일원)</t>
        </is>
      </c>
      <c r="F137" s="101" t="n">
        <v>18</v>
      </c>
      <c r="G137" s="101">
        <f>F137*4</f>
        <v/>
      </c>
      <c r="H137" s="106" t="n">
        <v>1147780</v>
      </c>
      <c r="I137" s="136" t="inlineStr">
        <is>
          <t>CJ대한통운㈜(강신호)</t>
        </is>
      </c>
      <c r="J137" s="108" t="n"/>
      <c r="K137" s="108" t="n"/>
      <c r="L137" s="108" t="n"/>
      <c r="M137" s="108" t="n"/>
      <c r="N137" s="108" t="n"/>
      <c r="O137" s="108" t="n"/>
      <c r="P137" s="101" t="n"/>
      <c r="Q137" s="109" t="n"/>
      <c r="R137" s="108" t="n"/>
      <c r="S137" s="110" t="inlineStr">
        <is>
          <t>🔲 데이터수집예정</t>
        </is>
      </c>
      <c r="T137" s="136" t="inlineStr">
        <is>
          <t>http://www.haesley.com/</t>
        </is>
      </c>
      <c r="U137" s="96" t="n">
        <v>2009</v>
      </c>
      <c r="V137" s="96" t="inlineStr">
        <is>
          <t>031-880-1999</t>
        </is>
      </c>
      <c r="W137" s="125" t="n"/>
    </row>
    <row r="138" ht="18" customHeight="1" s="97">
      <c r="A138" s="112" t="n">
        <v>136</v>
      </c>
      <c r="B138" s="113" t="inlineStr">
        <is>
          <t>경기</t>
        </is>
      </c>
      <c r="C138" s="122" t="inlineStr">
        <is>
          <t>화산CC</t>
        </is>
      </c>
      <c r="D138" s="115" t="inlineStr">
        <is>
          <t>회원제</t>
        </is>
      </c>
      <c r="E138" s="116" t="inlineStr">
        <is>
          <t>용인시 처인구 이동읍 화산로 239</t>
        </is>
      </c>
      <c r="F138" s="112" t="n">
        <v>18</v>
      </c>
      <c r="G138" s="112">
        <f>F138*4</f>
        <v/>
      </c>
      <c r="H138" s="117" t="n">
        <v>1039272</v>
      </c>
      <c r="I138" s="118" t="inlineStr">
        <is>
          <t>정수련</t>
        </is>
      </c>
      <c r="J138" s="108" t="n"/>
      <c r="K138" s="108" t="n"/>
      <c r="L138" s="108" t="n"/>
      <c r="M138" s="108" t="n"/>
      <c r="N138" s="108" t="n"/>
      <c r="O138" s="108" t="n"/>
      <c r="P138" s="112" t="n"/>
      <c r="Q138" s="119" t="n"/>
      <c r="R138" s="108" t="n"/>
      <c r="S138" s="110" t="inlineStr">
        <is>
          <t>🔲 데이터수집예정</t>
        </is>
      </c>
      <c r="T138" s="126" t="n"/>
      <c r="W138" s="121" t="n"/>
    </row>
    <row r="139" ht="18" customHeight="1" s="97">
      <c r="A139" s="101" t="n">
        <v>137</v>
      </c>
      <c r="B139" s="102" t="inlineStr">
        <is>
          <t>경기</t>
        </is>
      </c>
      <c r="C139" s="123" t="inlineStr">
        <is>
          <t>화성골프클럽</t>
        </is>
      </c>
      <c r="D139" s="104" t="inlineStr">
        <is>
          <t>대중제</t>
        </is>
      </c>
      <c r="E139" s="105" t="inlineStr">
        <is>
          <t>화성시 남양읍 화성로 1393-27</t>
        </is>
      </c>
      <c r="F139" s="101" t="n">
        <v>9</v>
      </c>
      <c r="G139" s="101">
        <f>F139*4</f>
        <v/>
      </c>
      <c r="H139" s="106" t="n">
        <v>199801</v>
      </c>
      <c r="I139" s="107" t="inlineStr">
        <is>
          <t>㈜리더스(홍경선)</t>
        </is>
      </c>
      <c r="J139" s="108" t="n"/>
      <c r="K139" s="108" t="n"/>
      <c r="L139" s="108" t="n"/>
      <c r="M139" s="108" t="n"/>
      <c r="N139" s="108" t="n"/>
      <c r="O139" s="108" t="n"/>
      <c r="P139" s="101" t="n"/>
      <c r="Q139" s="109" t="n"/>
      <c r="R139" s="108" t="n"/>
      <c r="S139" s="110" t="inlineStr">
        <is>
          <t>🔲 데이터수집예정</t>
        </is>
      </c>
      <c r="T139" s="136" t="n"/>
      <c r="W139" s="111" t="n"/>
    </row>
    <row r="140" ht="18" customHeight="1" s="97">
      <c r="A140" s="141" t="n">
        <v>138</v>
      </c>
      <c r="B140" s="142" t="inlineStr">
        <is>
          <t>서울</t>
        </is>
      </c>
      <c r="C140" s="143" t="inlineStr">
        <is>
          <t>인서울27골프클럽</t>
        </is>
      </c>
      <c r="D140" s="144" t="inlineStr">
        <is>
          <t>대중제</t>
        </is>
      </c>
      <c r="E140" s="145" t="inlineStr">
        <is>
          <t>서울시 강서구 오정로443-198, 인서울27골프클럽</t>
        </is>
      </c>
      <c r="F140" s="141" t="n">
        <v>27</v>
      </c>
      <c r="G140" s="141">
        <f>F140*4</f>
        <v/>
      </c>
      <c r="H140" s="146" t="n">
        <v>998126</v>
      </c>
      <c r="I140" s="147" t="inlineStr">
        <is>
          <t>인서울27골프클럽㈜ (김태호)</t>
        </is>
      </c>
      <c r="J140" s="148" t="n"/>
      <c r="K140" s="148" t="n"/>
      <c r="L140" s="148" t="n"/>
      <c r="M140" s="148" t="n"/>
      <c r="N140" s="148" t="n"/>
      <c r="O140" s="148" t="n"/>
      <c r="P140" s="141" t="n"/>
      <c r="Q140" s="149" t="n"/>
      <c r="R140" s="148" t="n"/>
      <c r="S140" s="150" t="inlineStr">
        <is>
          <t>🔲 데이터수집예정</t>
        </is>
      </c>
      <c r="T140" s="147" t="n"/>
      <c r="W140" s="151" t="n"/>
    </row>
    <row r="141" ht="18" customHeight="1" s="97">
      <c r="A141" s="152" t="n">
        <v>139</v>
      </c>
      <c r="B141" s="153" t="inlineStr">
        <is>
          <t>인천</t>
        </is>
      </c>
      <c r="C141" s="154" t="inlineStr">
        <is>
          <t>SKY72 골프클럽(바다코스)</t>
        </is>
      </c>
      <c r="D141" s="144" t="inlineStr">
        <is>
          <t>대중제</t>
        </is>
      </c>
      <c r="E141" s="155" t="inlineStr">
        <is>
          <t>인천시 중구 공항동로 392</t>
        </is>
      </c>
      <c r="F141" s="152" t="n">
        <v>63</v>
      </c>
      <c r="G141" s="152">
        <f>F141*4</f>
        <v/>
      </c>
      <c r="H141" s="156" t="n">
        <v>2685450</v>
      </c>
      <c r="I141" s="157" t="inlineStr">
        <is>
          <t>스카이72㈜</t>
        </is>
      </c>
      <c r="J141" s="148" t="n"/>
      <c r="K141" s="148" t="n"/>
      <c r="L141" s="148" t="n"/>
      <c r="M141" s="148" t="n"/>
      <c r="N141" s="148" t="n"/>
      <c r="O141" s="148" t="n"/>
      <c r="P141" s="152" t="n"/>
      <c r="Q141" s="158" t="n"/>
      <c r="R141" s="148" t="n"/>
      <c r="S141" s="150" t="inlineStr">
        <is>
          <t>🔲 데이터수집예정</t>
        </is>
      </c>
      <c r="T141" s="157" t="n"/>
      <c r="W141" s="159" t="n"/>
    </row>
    <row r="142" ht="18" customHeight="1" s="97">
      <c r="A142" s="112" t="n">
        <v>140</v>
      </c>
      <c r="B142" s="113" t="inlineStr">
        <is>
          <t>인천</t>
        </is>
      </c>
      <c r="C142" s="114" t="inlineStr">
        <is>
          <t>SKY72 골프클럽(하늘코스)</t>
        </is>
      </c>
      <c r="D142" s="104" t="inlineStr">
        <is>
          <t>대중제</t>
        </is>
      </c>
      <c r="E142" s="116" t="inlineStr">
        <is>
          <t>인천시 중구 공항동로135번길 267</t>
        </is>
      </c>
      <c r="F142" s="112" t="n">
        <v>18</v>
      </c>
      <c r="G142" s="112">
        <f>F142*4</f>
        <v/>
      </c>
      <c r="H142" s="117" t="n">
        <v>934611</v>
      </c>
      <c r="I142" s="118" t="inlineStr">
        <is>
          <t>스카이72㈜</t>
        </is>
      </c>
      <c r="J142" s="108" t="n"/>
      <c r="K142" s="108" t="n"/>
      <c r="L142" s="108" t="n"/>
      <c r="M142" s="108" t="n"/>
      <c r="N142" s="108" t="n"/>
      <c r="O142" s="108" t="n"/>
      <c r="P142" s="112" t="n"/>
      <c r="Q142" s="119" t="n"/>
      <c r="R142" s="108" t="n"/>
      <c r="S142" s="110" t="inlineStr">
        <is>
          <t>🔲 데이터수집예정</t>
        </is>
      </c>
      <c r="T142" s="126" t="n"/>
      <c r="W142" s="121" t="n"/>
    </row>
    <row r="143" ht="18" customHeight="1" s="97">
      <c r="A143" s="101" t="n">
        <v>141</v>
      </c>
      <c r="B143" s="102" t="inlineStr">
        <is>
          <t>인천</t>
        </is>
      </c>
      <c r="C143" s="123" t="inlineStr">
        <is>
          <t>강화 선두리 골프장</t>
        </is>
      </c>
      <c r="D143" s="104" t="inlineStr">
        <is>
          <t>대중제</t>
        </is>
      </c>
      <c r="E143" s="105" t="inlineStr">
        <is>
          <t>인천시 강화군 해안남로 474번길 59</t>
        </is>
      </c>
      <c r="F143" s="101" t="n">
        <v>9</v>
      </c>
      <c r="G143" s="101">
        <f>F143*4</f>
        <v/>
      </c>
      <c r="H143" s="106" t="n">
        <v>240286</v>
      </c>
      <c r="I143" s="107" t="inlineStr">
        <is>
          <t>㈜강호개발</t>
        </is>
      </c>
      <c r="J143" s="108" t="n"/>
      <c r="K143" s="108" t="n"/>
      <c r="L143" s="108" t="n"/>
      <c r="M143" s="108" t="n"/>
      <c r="N143" s="108" t="n"/>
      <c r="O143" s="108" t="n"/>
      <c r="P143" s="101" t="n"/>
      <c r="Q143" s="109" t="n"/>
      <c r="R143" s="108" t="n"/>
      <c r="S143" s="110" t="inlineStr">
        <is>
          <t>🔲 데이터수집예정</t>
        </is>
      </c>
      <c r="T143" s="136" t="n"/>
      <c r="W143" s="111" t="n"/>
    </row>
    <row r="144" ht="18" customHeight="1" s="97">
      <c r="A144" s="112" t="n">
        <v>142</v>
      </c>
      <c r="B144" s="113" t="inlineStr">
        <is>
          <t>인천</t>
        </is>
      </c>
      <c r="C144" s="122" t="inlineStr">
        <is>
          <t>드림파크골프장</t>
        </is>
      </c>
      <c r="D144" s="104" t="inlineStr">
        <is>
          <t>대중제</t>
        </is>
      </c>
      <c r="E144" s="116" t="inlineStr">
        <is>
          <t>인천시 서구 거월로 61</t>
        </is>
      </c>
      <c r="F144" s="112" t="n">
        <v>36</v>
      </c>
      <c r="G144" s="112">
        <f>F144*4</f>
        <v/>
      </c>
      <c r="H144" s="117" t="n">
        <v>1533427</v>
      </c>
      <c r="I144" s="118" t="inlineStr">
        <is>
          <t>수도권매립지관리공사</t>
        </is>
      </c>
      <c r="J144" s="108" t="n"/>
      <c r="K144" s="108" t="n"/>
      <c r="L144" s="108" t="n"/>
      <c r="M144" s="108" t="n"/>
      <c r="N144" s="108" t="n"/>
      <c r="O144" s="108" t="n"/>
      <c r="P144" s="112" t="n"/>
      <c r="Q144" s="119" t="n"/>
      <c r="R144" s="108" t="n"/>
      <c r="S144" s="110" t="inlineStr">
        <is>
          <t>🔲 데이터수집예정</t>
        </is>
      </c>
      <c r="T144" s="126" t="inlineStr">
        <is>
          <t>https://www.dreamparkcc.com/</t>
        </is>
      </c>
      <c r="U144" s="96" t="n">
        <v>2010</v>
      </c>
      <c r="V144" s="96" t="inlineStr">
        <is>
          <t>032-560-5200</t>
        </is>
      </c>
      <c r="W144" s="121" t="n"/>
    </row>
    <row r="145" ht="18" customHeight="1" s="97">
      <c r="A145" s="101" t="n">
        <v>143</v>
      </c>
      <c r="B145" s="102" t="inlineStr">
        <is>
          <t>인천</t>
        </is>
      </c>
      <c r="C145" s="123" t="inlineStr">
        <is>
          <t>베어즈베스트청라골프클럽</t>
        </is>
      </c>
      <c r="D145" s="104" t="inlineStr">
        <is>
          <t>대중제</t>
        </is>
      </c>
      <c r="E145" s="105" t="inlineStr">
        <is>
          <t>인천시 서구 청라대로 316번길 45</t>
        </is>
      </c>
      <c r="F145" s="101" t="n">
        <v>27</v>
      </c>
      <c r="G145" s="101">
        <f>F145*4</f>
        <v/>
      </c>
      <c r="H145" s="106" t="n">
        <v>1360105</v>
      </c>
      <c r="I145" s="107" t="inlineStr">
        <is>
          <t>㈜블루아일랜드개발</t>
        </is>
      </c>
      <c r="J145" s="108" t="n"/>
      <c r="K145" s="108" t="n"/>
      <c r="L145" s="108" t="n"/>
      <c r="M145" s="108" t="n"/>
      <c r="N145" s="108" t="n"/>
      <c r="O145" s="108" t="n"/>
      <c r="P145" s="101" t="n"/>
      <c r="Q145" s="109" t="n"/>
      <c r="R145" s="108" t="n"/>
      <c r="S145" s="110" t="inlineStr">
        <is>
          <t>🔲 데이터수집예정</t>
        </is>
      </c>
      <c r="T145" s="136" t="inlineStr">
        <is>
          <t>https://www.bearsbest.co.kr/</t>
        </is>
      </c>
      <c r="U145" s="96" t="n">
        <v>2011</v>
      </c>
      <c r="V145" s="96" t="inlineStr">
        <is>
          <t>032-563-2000</t>
        </is>
      </c>
      <c r="W145" s="125" t="n"/>
    </row>
    <row r="146" ht="18" customHeight="1" s="97">
      <c r="A146" s="112" t="n">
        <v>144</v>
      </c>
      <c r="B146" s="113" t="inlineStr">
        <is>
          <t>인천</t>
        </is>
      </c>
      <c r="C146" s="122" t="inlineStr">
        <is>
          <t>석모도컨트리클럽</t>
        </is>
      </c>
      <c r="D146" s="104" t="inlineStr">
        <is>
          <t>대중제</t>
        </is>
      </c>
      <c r="E146" s="116" t="inlineStr">
        <is>
          <t>인천시 강화군 어류정길 177</t>
        </is>
      </c>
      <c r="F146" s="112" t="n">
        <v>18</v>
      </c>
      <c r="G146" s="112">
        <f>F146*4</f>
        <v/>
      </c>
      <c r="H146" s="117" t="n">
        <v>717432</v>
      </c>
      <c r="I146" s="118" t="inlineStr">
        <is>
          <t>해륜개발㈜</t>
        </is>
      </c>
      <c r="J146" s="108" t="n"/>
      <c r="K146" s="108" t="n"/>
      <c r="L146" s="108" t="n"/>
      <c r="M146" s="108" t="n"/>
      <c r="N146" s="108" t="n"/>
      <c r="O146" s="108" t="n"/>
      <c r="P146" s="112" t="n"/>
      <c r="Q146" s="119" t="n"/>
      <c r="R146" s="108" t="n"/>
      <c r="S146" s="110" t="inlineStr">
        <is>
          <t>🔲 데이터수집예정</t>
        </is>
      </c>
      <c r="T146" s="126" t="n"/>
      <c r="W146" s="121" t="n"/>
    </row>
    <row r="147" ht="18" customHeight="1" s="97">
      <c r="A147" s="101" t="n">
        <v>145</v>
      </c>
      <c r="B147" s="102" t="inlineStr">
        <is>
          <t>인천</t>
        </is>
      </c>
      <c r="C147" s="123" t="inlineStr">
        <is>
          <t>영종오렌지골프장</t>
        </is>
      </c>
      <c r="D147" s="104" t="inlineStr">
        <is>
          <t>대중제</t>
        </is>
      </c>
      <c r="E147" s="105" t="inlineStr">
        <is>
          <t>인천시 중구 운서동 2851-15번지 일원</t>
        </is>
      </c>
      <c r="F147" s="101" t="n">
        <v>18</v>
      </c>
      <c r="G147" s="101">
        <f>F147*4</f>
        <v/>
      </c>
      <c r="H147" s="106" t="n">
        <v>821952</v>
      </c>
      <c r="I147" s="107" t="inlineStr">
        <is>
          <t>㈜영종오렌지</t>
        </is>
      </c>
      <c r="J147" s="108" t="n"/>
      <c r="K147" s="108" t="n"/>
      <c r="L147" s="108" t="n"/>
      <c r="M147" s="108" t="n"/>
      <c r="N147" s="108" t="n"/>
      <c r="O147" s="108" t="n"/>
      <c r="P147" s="101" t="n"/>
      <c r="Q147" s="109" t="n"/>
      <c r="R147" s="108" t="n"/>
      <c r="S147" s="110" t="inlineStr">
        <is>
          <t>🔲 데이터수집예정</t>
        </is>
      </c>
      <c r="T147" s="136" t="n"/>
      <c r="W147" s="111" t="n"/>
    </row>
    <row r="148" ht="18" customHeight="1" s="97">
      <c r="A148" s="112" t="n">
        <v>146</v>
      </c>
      <c r="B148" s="113" t="inlineStr">
        <is>
          <t>인천</t>
        </is>
      </c>
      <c r="C148" s="122" t="inlineStr">
        <is>
          <t>오렌지듄스골프클럽</t>
        </is>
      </c>
      <c r="D148" s="104" t="inlineStr">
        <is>
          <t>대중제</t>
        </is>
      </c>
      <c r="E148" s="116" t="inlineStr">
        <is>
          <t>인천시 연수구 인천신항대로 1120</t>
        </is>
      </c>
      <c r="F148" s="112" t="n">
        <v>18</v>
      </c>
      <c r="G148" s="112">
        <f>F148*4</f>
        <v/>
      </c>
      <c r="H148" s="117" t="n">
        <v>510720</v>
      </c>
      <c r="I148" s="118" t="inlineStr">
        <is>
          <t>㈜오렌지링스</t>
        </is>
      </c>
      <c r="J148" s="108" t="n"/>
      <c r="K148" s="108" t="n"/>
      <c r="L148" s="108" t="n"/>
      <c r="M148" s="108" t="n"/>
      <c r="N148" s="108" t="n"/>
      <c r="O148" s="108" t="n"/>
      <c r="P148" s="112" t="n"/>
      <c r="Q148" s="119" t="n"/>
      <c r="R148" s="108" t="n"/>
      <c r="S148" s="110" t="inlineStr">
        <is>
          <t>🔲 데이터수집예정</t>
        </is>
      </c>
      <c r="T148" s="126" t="n"/>
      <c r="W148" s="121" t="n"/>
    </row>
    <row r="149" ht="18" customHeight="1" s="97">
      <c r="A149" s="101" t="n">
        <v>147</v>
      </c>
      <c r="B149" s="102" t="inlineStr">
        <is>
          <t>인천</t>
        </is>
      </c>
      <c r="C149" s="123" t="inlineStr">
        <is>
          <t>인천국제컨트리클럽</t>
        </is>
      </c>
      <c r="D149" s="115" t="inlineStr">
        <is>
          <t>회원제</t>
        </is>
      </c>
      <c r="E149" s="105" t="inlineStr">
        <is>
          <t>인천시 서구 도요지로 37</t>
        </is>
      </c>
      <c r="F149" s="101" t="n">
        <v>18</v>
      </c>
      <c r="G149" s="101">
        <f>F149*4</f>
        <v/>
      </c>
      <c r="H149" s="106" t="n">
        <v>811919</v>
      </c>
      <c r="I149" s="107" t="inlineStr">
        <is>
          <t>㈜신태진</t>
        </is>
      </c>
      <c r="J149" s="108" t="n"/>
      <c r="K149" s="108" t="n"/>
      <c r="L149" s="108" t="n"/>
      <c r="M149" s="108" t="n"/>
      <c r="N149" s="108" t="n"/>
      <c r="O149" s="108" t="n"/>
      <c r="P149" s="101" t="n"/>
      <c r="Q149" s="109" t="n"/>
      <c r="R149" s="108" t="n"/>
      <c r="S149" s="110" t="inlineStr">
        <is>
          <t>🔲 데이터수집예정</t>
        </is>
      </c>
      <c r="T149" s="136" t="n"/>
      <c r="W149" s="111" t="n"/>
    </row>
    <row r="150" ht="18" customHeight="1" s="97">
      <c r="A150" s="112" t="n">
        <v>148</v>
      </c>
      <c r="B150" s="113" t="inlineStr">
        <is>
          <t>인천</t>
        </is>
      </c>
      <c r="C150" s="122" t="inlineStr">
        <is>
          <t>인천그랜드컨트리클럽</t>
        </is>
      </c>
      <c r="D150" s="104" t="inlineStr">
        <is>
          <t>대중제</t>
        </is>
      </c>
      <c r="E150" s="116" t="inlineStr">
        <is>
          <t>인천시 서구 원석로 195</t>
        </is>
      </c>
      <c r="F150" s="112" t="n">
        <v>18</v>
      </c>
      <c r="G150" s="112">
        <f>F150*4</f>
        <v/>
      </c>
      <c r="H150" s="117" t="n">
        <v>463583</v>
      </c>
      <c r="I150" s="118" t="inlineStr">
        <is>
          <t>㈜동군</t>
        </is>
      </c>
      <c r="J150" s="108" t="n"/>
      <c r="K150" s="108" t="n"/>
      <c r="L150" s="108" t="n"/>
      <c r="M150" s="108" t="n"/>
      <c r="N150" s="108" t="n"/>
      <c r="O150" s="108" t="n"/>
      <c r="P150" s="112" t="n"/>
      <c r="Q150" s="119" t="n"/>
      <c r="R150" s="108" t="n"/>
      <c r="S150" s="110" t="inlineStr">
        <is>
          <t>🔲 데이터수집예정</t>
        </is>
      </c>
      <c r="T150" s="126" t="n"/>
      <c r="W150" s="121" t="n"/>
    </row>
    <row r="151" ht="18" customHeight="1" s="97">
      <c r="A151" s="101" t="n">
        <v>149</v>
      </c>
      <c r="B151" s="102" t="inlineStr">
        <is>
          <t>인천</t>
        </is>
      </c>
      <c r="C151" s="123" t="inlineStr">
        <is>
          <t>잭 니클라우스 골프클럽 코리아</t>
        </is>
      </c>
      <c r="D151" s="115" t="inlineStr">
        <is>
          <t>회원제</t>
        </is>
      </c>
      <c r="E151" s="105" t="inlineStr">
        <is>
          <t>인천시 연수구 아카데미로 209</t>
        </is>
      </c>
      <c r="F151" s="101" t="n">
        <v>18</v>
      </c>
      <c r="G151" s="101">
        <f>F151*4</f>
        <v/>
      </c>
      <c r="H151" s="106" t="n">
        <v>771912</v>
      </c>
      <c r="I151" s="107" t="inlineStr">
        <is>
          <t>송도국제도시개발유한회사</t>
        </is>
      </c>
      <c r="J151" s="108" t="n"/>
      <c r="K151" s="108" t="n"/>
      <c r="L151" s="108" t="n"/>
      <c r="M151" s="108" t="n"/>
      <c r="N151" s="108" t="n"/>
      <c r="O151" s="108" t="n"/>
      <c r="P151" s="101" t="n"/>
      <c r="Q151" s="109" t="n"/>
      <c r="R151" s="108" t="n"/>
      <c r="S151" s="110" t="inlineStr">
        <is>
          <t>🔲 데이터수집예정</t>
        </is>
      </c>
      <c r="T151" s="136" t="inlineStr">
        <is>
          <t>https://www.jacknicklausgolfclubkorea.com/</t>
        </is>
      </c>
      <c r="U151" s="96" t="n">
        <v>2010</v>
      </c>
      <c r="V151" s="96" t="inlineStr">
        <is>
          <t>032-850-8000</t>
        </is>
      </c>
      <c r="W151" s="125" t="n"/>
    </row>
    <row r="152" ht="18" customHeight="1" s="97">
      <c r="A152" s="141" t="n">
        <v>150</v>
      </c>
      <c r="B152" s="142" t="inlineStr">
        <is>
          <t>강원</t>
        </is>
      </c>
      <c r="C152" s="160" t="inlineStr">
        <is>
          <t>Oak Hills컨트리클럽</t>
        </is>
      </c>
      <c r="D152" s="161" t="inlineStr">
        <is>
          <t>회원제</t>
        </is>
      </c>
      <c r="E152" s="145" t="inlineStr">
        <is>
          <t>강원도 원주시 지정면 오크밸리2길 58</t>
        </is>
      </c>
      <c r="F152" s="141" t="n">
        <v>18</v>
      </c>
      <c r="G152" s="141">
        <f>F152*4</f>
        <v/>
      </c>
      <c r="H152" s="146" t="n">
        <v>929669</v>
      </c>
      <c r="I152" s="147" t="inlineStr">
        <is>
          <t>에이치디씨리조트㈜(조영환)</t>
        </is>
      </c>
      <c r="J152" s="148" t="n"/>
      <c r="K152" s="148" t="n"/>
      <c r="L152" s="148" t="n"/>
      <c r="M152" s="148" t="n"/>
      <c r="N152" s="148" t="n"/>
      <c r="O152" s="148" t="n"/>
      <c r="P152" s="141" t="n"/>
      <c r="Q152" s="149" t="n"/>
      <c r="R152" s="148" t="n"/>
      <c r="S152" s="150" t="inlineStr">
        <is>
          <t>🔲 데이터수집예정</t>
        </is>
      </c>
      <c r="T152" s="147" t="n"/>
      <c r="W152" s="151" t="n"/>
    </row>
    <row r="153" ht="18" customHeight="1" s="97">
      <c r="A153" s="101" t="n">
        <v>151</v>
      </c>
      <c r="B153" s="102" t="inlineStr">
        <is>
          <t>강원</t>
        </is>
      </c>
      <c r="C153" s="123" t="inlineStr">
        <is>
          <t>남춘천컨트리클럽</t>
        </is>
      </c>
      <c r="D153" s="104" t="inlineStr">
        <is>
          <t>대중제</t>
        </is>
      </c>
      <c r="E153" s="105" t="inlineStr">
        <is>
          <t>강원도 춘천시 신동면 오봉길 156</t>
        </is>
      </c>
      <c r="F153" s="101" t="n">
        <v>18</v>
      </c>
      <c r="G153" s="101">
        <f>F153*4</f>
        <v/>
      </c>
      <c r="H153" s="106" t="n">
        <v>1365368</v>
      </c>
      <c r="I153" s="107" t="inlineStr">
        <is>
          <t>주식회사 엠디아이레저개발(이형용)</t>
        </is>
      </c>
      <c r="J153" s="108" t="n"/>
      <c r="K153" s="108" t="n"/>
      <c r="L153" s="108" t="n"/>
      <c r="M153" s="108" t="n"/>
      <c r="N153" s="108" t="n"/>
      <c r="O153" s="108" t="n"/>
      <c r="P153" s="101" t="n"/>
      <c r="Q153" s="109" t="n"/>
      <c r="R153" s="108" t="n"/>
      <c r="S153" s="110" t="inlineStr">
        <is>
          <t>🔲 데이터수집예정</t>
        </is>
      </c>
      <c r="T153" s="136" t="inlineStr">
        <is>
          <t>https://www.namchuncheon.co.kr/</t>
        </is>
      </c>
      <c r="U153" s="96" t="n">
        <v>2011</v>
      </c>
      <c r="V153" s="96" t="inlineStr">
        <is>
          <t>033-260-0600</t>
        </is>
      </c>
      <c r="W153" s="125" t="n"/>
    </row>
    <row r="154" ht="18" customHeight="1" s="97">
      <c r="A154" s="112" t="n">
        <v>152</v>
      </c>
      <c r="B154" s="113" t="inlineStr">
        <is>
          <t>강원</t>
        </is>
      </c>
      <c r="C154" s="122" t="inlineStr">
        <is>
          <t>더플레이어스 골프클럽</t>
        </is>
      </c>
      <c r="D154" s="104" t="inlineStr">
        <is>
          <t>대중제</t>
        </is>
      </c>
      <c r="E154" s="116" t="inlineStr">
        <is>
          <t>강원도 춘천시 동산면 새술막길 438</t>
        </is>
      </c>
      <c r="F154" s="112" t="n">
        <v>27</v>
      </c>
      <c r="G154" s="112">
        <f>F154*4</f>
        <v/>
      </c>
      <c r="H154" s="117" t="n">
        <v>1693564</v>
      </c>
      <c r="I154" s="118" t="inlineStr">
        <is>
          <t>㈜더플레이어스(권성호)</t>
        </is>
      </c>
      <c r="J154" s="108" t="n"/>
      <c r="K154" s="108" t="n"/>
      <c r="L154" s="108" t="n"/>
      <c r="M154" s="108" t="n"/>
      <c r="N154" s="108" t="n"/>
      <c r="O154" s="108" t="n"/>
      <c r="P154" s="112" t="n"/>
      <c r="Q154" s="119" t="n"/>
      <c r="R154" s="108" t="n"/>
      <c r="S154" s="110" t="inlineStr">
        <is>
          <t>🔲 데이터수집예정</t>
        </is>
      </c>
      <c r="T154" s="126" t="inlineStr">
        <is>
          <t>https://www.theplayersgc.co.kr/</t>
        </is>
      </c>
      <c r="U154" s="96" t="n">
        <v>2011</v>
      </c>
      <c r="V154" s="96" t="inlineStr">
        <is>
          <t>041-850-8000</t>
        </is>
      </c>
      <c r="W154" s="121" t="n"/>
    </row>
    <row r="155" ht="18" customHeight="1" s="97">
      <c r="A155" s="101" t="n">
        <v>153</v>
      </c>
      <c r="B155" s="102" t="inlineStr">
        <is>
          <t>강원</t>
        </is>
      </c>
      <c r="C155" s="123" t="inlineStr">
        <is>
          <t>동강시스타대중골프장</t>
        </is>
      </c>
      <c r="D155" s="104" t="inlineStr">
        <is>
          <t>대중제</t>
        </is>
      </c>
      <c r="E155" s="105" t="inlineStr">
        <is>
          <t>강원도 영월군 영월읍 사지막길 160</t>
        </is>
      </c>
      <c r="F155" s="101" t="n">
        <v>9</v>
      </c>
      <c r="G155" s="101">
        <f>F155*4</f>
        <v/>
      </c>
      <c r="H155" s="106" t="n">
        <v>293133</v>
      </c>
      <c r="I155" s="107" t="inlineStr">
        <is>
          <t>㈜동강시스타(김오연)</t>
        </is>
      </c>
      <c r="J155" s="108" t="n"/>
      <c r="K155" s="108" t="n"/>
      <c r="L155" s="108" t="n"/>
      <c r="M155" s="108" t="n"/>
      <c r="N155" s="108" t="n"/>
      <c r="O155" s="108" t="n"/>
      <c r="P155" s="101" t="n"/>
      <c r="Q155" s="109" t="n"/>
      <c r="R155" s="108" t="n"/>
      <c r="S155" s="110" t="inlineStr">
        <is>
          <t>🔲 데이터수집예정</t>
        </is>
      </c>
      <c r="T155" s="136" t="n"/>
      <c r="W155" s="111" t="n"/>
    </row>
    <row r="156" ht="18" customHeight="1" s="97">
      <c r="A156" s="112" t="n">
        <v>154</v>
      </c>
      <c r="B156" s="113" t="inlineStr">
        <is>
          <t>강원</t>
        </is>
      </c>
      <c r="C156" s="122" t="inlineStr">
        <is>
          <t>동서울레스피아</t>
        </is>
      </c>
      <c r="D156" s="104" t="inlineStr">
        <is>
          <t>대중제</t>
        </is>
      </c>
      <c r="E156" s="116" t="inlineStr">
        <is>
          <t>강원도 원주시 지정면 신평석화로 236</t>
        </is>
      </c>
      <c r="F156" s="112" t="n">
        <v>9</v>
      </c>
      <c r="G156" s="112">
        <f>F156*4</f>
        <v/>
      </c>
      <c r="H156" s="117" t="n">
        <v>263484</v>
      </c>
      <c r="I156" s="118" t="inlineStr">
        <is>
          <t>㈜동서울레스피아(김유근)</t>
        </is>
      </c>
      <c r="J156" s="108" t="n"/>
      <c r="K156" s="108" t="n"/>
      <c r="L156" s="108" t="n"/>
      <c r="M156" s="108" t="n"/>
      <c r="N156" s="108" t="n"/>
      <c r="O156" s="108" t="n"/>
      <c r="P156" s="112" t="n"/>
      <c r="Q156" s="119" t="n"/>
      <c r="R156" s="108" t="n"/>
      <c r="S156" s="110" t="inlineStr">
        <is>
          <t>🔲 데이터수집예정</t>
        </is>
      </c>
      <c r="T156" s="126" t="n"/>
      <c r="W156" s="121" t="n"/>
    </row>
    <row r="157" ht="18" customHeight="1" s="97">
      <c r="A157" s="101" t="n">
        <v>155</v>
      </c>
      <c r="B157" s="102" t="inlineStr">
        <is>
          <t>강원</t>
        </is>
      </c>
      <c r="C157" s="123" t="inlineStr">
        <is>
          <t>동원썬밸리컨트리클럽</t>
        </is>
      </c>
      <c r="D157" s="104" t="inlineStr">
        <is>
          <t>대중제</t>
        </is>
      </c>
      <c r="E157" s="105" t="inlineStr">
        <is>
          <t>강원도 횡성군 서원면 서원서로339번길 90</t>
        </is>
      </c>
      <c r="F157" s="101" t="n">
        <v>18</v>
      </c>
      <c r="G157" s="101">
        <f>F157*4</f>
        <v/>
      </c>
      <c r="H157" s="106" t="n">
        <v>1097999</v>
      </c>
      <c r="I157" s="107" t="inlineStr">
        <is>
          <t>성운개발㈜(정철희)</t>
        </is>
      </c>
      <c r="J157" s="108" t="n"/>
      <c r="K157" s="108" t="n"/>
      <c r="L157" s="108" t="n"/>
      <c r="M157" s="108" t="n"/>
      <c r="N157" s="108" t="n"/>
      <c r="O157" s="108" t="n"/>
      <c r="P157" s="101" t="n"/>
      <c r="Q157" s="109" t="n"/>
      <c r="R157" s="108" t="n"/>
      <c r="S157" s="110" t="inlineStr">
        <is>
          <t>🔲 데이터수집예정</t>
        </is>
      </c>
      <c r="T157" s="136" t="n"/>
      <c r="W157" s="111" t="n"/>
    </row>
    <row r="158" ht="18" customHeight="1" s="97">
      <c r="A158" s="112" t="n">
        <v>156</v>
      </c>
      <c r="B158" s="113" t="inlineStr">
        <is>
          <t>강원</t>
        </is>
      </c>
      <c r="C158" s="122" t="inlineStr">
        <is>
          <t>라데나골프클럽</t>
        </is>
      </c>
      <c r="D158" s="115" t="inlineStr">
        <is>
          <t>회원제</t>
        </is>
      </c>
      <c r="E158" s="116" t="inlineStr">
        <is>
          <t>강원도 춘천시 신동면 칠전동길 72</t>
        </is>
      </c>
      <c r="F158" s="112" t="n">
        <v>27</v>
      </c>
      <c r="G158" s="112">
        <f>F158*4</f>
        <v/>
      </c>
      <c r="H158" s="117" t="n">
        <v>1533823</v>
      </c>
      <c r="I158" s="118" t="inlineStr">
        <is>
          <t>두산큐벡스㈜(문희종)</t>
        </is>
      </c>
      <c r="J158" s="108" t="n"/>
      <c r="K158" s="108" t="n"/>
      <c r="L158" s="108" t="n"/>
      <c r="M158" s="108" t="n"/>
      <c r="N158" s="108" t="n"/>
      <c r="O158" s="108" t="n"/>
      <c r="P158" s="112" t="n"/>
      <c r="Q158" s="119" t="n"/>
      <c r="R158" s="108" t="n"/>
      <c r="S158" s="110" t="inlineStr">
        <is>
          <t>🔲 데이터수집예정</t>
        </is>
      </c>
      <c r="T158" s="126" t="inlineStr">
        <is>
          <t>https://www.ladena.co.kr/</t>
        </is>
      </c>
      <c r="U158" s="96" t="n">
        <v>2009</v>
      </c>
      <c r="V158" s="96" t="inlineStr">
        <is>
          <t>033-260-9000</t>
        </is>
      </c>
      <c r="W158" s="121" t="n"/>
    </row>
    <row r="159" ht="18" customHeight="1" s="97">
      <c r="A159" s="101" t="n">
        <v>157</v>
      </c>
      <c r="B159" s="102" t="inlineStr">
        <is>
          <t>강원</t>
        </is>
      </c>
      <c r="C159" s="123" t="inlineStr">
        <is>
          <t>라비에벨컨트리클럽</t>
        </is>
      </c>
      <c r="D159" s="104" t="inlineStr">
        <is>
          <t>대중제</t>
        </is>
      </c>
      <c r="E159" s="105" t="inlineStr">
        <is>
          <t>강원도 춘천시 동산면 조양리 산 156강원도 홍천군 북방면 밭치리길 22-40</t>
        </is>
      </c>
      <c r="F159" s="101" t="n">
        <v>36</v>
      </c>
      <c r="G159" s="101">
        <f>F159*4</f>
        <v/>
      </c>
      <c r="H159" s="106" t="n">
        <v>2090627</v>
      </c>
      <c r="I159" s="107" t="inlineStr">
        <is>
          <t>코오롱글로벌㈜(윤창운)그린나래㈜(이정윤)</t>
        </is>
      </c>
      <c r="J159" s="108" t="n"/>
      <c r="K159" s="108" t="n"/>
      <c r="L159" s="108" t="n"/>
      <c r="M159" s="108" t="n"/>
      <c r="N159" s="108" t="n"/>
      <c r="O159" s="108" t="n"/>
      <c r="P159" s="101" t="n"/>
      <c r="Q159" s="109" t="n"/>
      <c r="R159" s="108" t="n"/>
      <c r="S159" s="110" t="inlineStr">
        <is>
          <t>🔲 데이터수집예정</t>
        </is>
      </c>
      <c r="T159" s="136" t="inlineStr">
        <is>
          <t>https://www.lavieestbellecc.com/</t>
        </is>
      </c>
      <c r="U159" s="96" t="n">
        <v>2013</v>
      </c>
      <c r="V159" s="96" t="inlineStr">
        <is>
          <t>033-244-7001</t>
        </is>
      </c>
      <c r="W159" s="125" t="n"/>
    </row>
    <row r="160" ht="18" customHeight="1" s="97">
      <c r="A160" s="112" t="n">
        <v>158</v>
      </c>
      <c r="B160" s="113" t="inlineStr">
        <is>
          <t>강원</t>
        </is>
      </c>
      <c r="C160" s="122" t="inlineStr">
        <is>
          <t>로드힐스골프클럽</t>
        </is>
      </c>
      <c r="D160" s="104" t="inlineStr">
        <is>
          <t>대중제</t>
        </is>
      </c>
      <c r="E160" s="116" t="inlineStr">
        <is>
          <t>강원도 춘천시 동산면 종자리로 148-16</t>
        </is>
      </c>
      <c r="F160" s="112" t="n">
        <v>27</v>
      </c>
      <c r="G160" s="112">
        <f>F160*4</f>
        <v/>
      </c>
      <c r="H160" s="117" t="n">
        <v>1319723</v>
      </c>
      <c r="I160" s="118" t="inlineStr">
        <is>
          <t>신영종합개발㈜(이정덕)</t>
        </is>
      </c>
      <c r="J160" s="108" t="n"/>
      <c r="K160" s="108" t="n"/>
      <c r="L160" s="108" t="n"/>
      <c r="M160" s="108" t="n"/>
      <c r="N160" s="108" t="n"/>
      <c r="O160" s="108" t="n"/>
      <c r="P160" s="112" t="n"/>
      <c r="Q160" s="119" t="n"/>
      <c r="R160" s="108" t="n"/>
      <c r="S160" s="110" t="inlineStr">
        <is>
          <t>🔲 데이터수집예정</t>
        </is>
      </c>
      <c r="T160" s="126" t="n"/>
      <c r="W160" s="121" t="n"/>
    </row>
    <row r="161" ht="18" customHeight="1" s="97">
      <c r="A161" s="101" t="n">
        <v>159</v>
      </c>
      <c r="B161" s="102" t="inlineStr">
        <is>
          <t>강원</t>
        </is>
      </c>
      <c r="C161" s="123" t="inlineStr">
        <is>
          <t>메이플비치골프&amp;리조트</t>
        </is>
      </c>
      <c r="D161" s="104" t="inlineStr">
        <is>
          <t>대중제</t>
        </is>
      </c>
      <c r="E161" s="105" t="inlineStr">
        <is>
          <t>강원도 강릉시 강동면 새목이길 110</t>
        </is>
      </c>
      <c r="F161" s="101" t="n">
        <v>18</v>
      </c>
      <c r="G161" s="101">
        <f>F161*4</f>
        <v/>
      </c>
      <c r="H161" s="106" t="n">
        <v>776652</v>
      </c>
      <c r="I161" s="107" t="inlineStr">
        <is>
          <t>원익엘앤디㈜(이재천)</t>
        </is>
      </c>
      <c r="J161" s="108" t="n"/>
      <c r="K161" s="108" t="n"/>
      <c r="L161" s="108" t="n"/>
      <c r="M161" s="108" t="n"/>
      <c r="N161" s="108" t="n"/>
      <c r="O161" s="108" t="n"/>
      <c r="P161" s="101" t="n"/>
      <c r="Q161" s="109" t="n"/>
      <c r="R161" s="108" t="n"/>
      <c r="S161" s="110" t="inlineStr">
        <is>
          <t>🔲 데이터수집예정</t>
        </is>
      </c>
      <c r="T161" s="136" t="n"/>
      <c r="W161" s="111" t="n"/>
    </row>
    <row r="162" ht="18" customHeight="1" s="97">
      <c r="A162" s="112" t="n">
        <v>160</v>
      </c>
      <c r="B162" s="113" t="inlineStr">
        <is>
          <t>강원</t>
        </is>
      </c>
      <c r="C162" s="122" t="inlineStr">
        <is>
          <t>베어크리크 춘천</t>
        </is>
      </c>
      <c r="D162" s="104" t="inlineStr">
        <is>
          <t>대중제</t>
        </is>
      </c>
      <c r="E162" s="116" t="inlineStr">
        <is>
          <t>강원도 춘천시 신동면 혈동리 산49-1</t>
        </is>
      </c>
      <c r="F162" s="112" t="n">
        <v>18</v>
      </c>
      <c r="G162" s="112">
        <f>F162*4</f>
        <v/>
      </c>
      <c r="H162" s="117" t="n">
        <v>922224</v>
      </c>
      <c r="I162" s="118" t="inlineStr">
        <is>
          <t>삼보개발(주)(류경호)</t>
        </is>
      </c>
      <c r="J162" s="108" t="n"/>
      <c r="K162" s="108" t="n"/>
      <c r="L162" s="108" t="n"/>
      <c r="M162" s="108" t="n"/>
      <c r="N162" s="108" t="n"/>
      <c r="O162" s="108" t="n"/>
      <c r="P162" s="112" t="n"/>
      <c r="Q162" s="119" t="n"/>
      <c r="R162" s="108" t="n"/>
      <c r="S162" s="110" t="inlineStr">
        <is>
          <t>🔲 데이터수집예정</t>
        </is>
      </c>
      <c r="T162" s="126" t="inlineStr">
        <is>
          <t>https://www.bearcreek.co.kr/</t>
        </is>
      </c>
      <c r="U162" s="96" t="n">
        <v>1999</v>
      </c>
      <c r="V162" s="96" t="inlineStr">
        <is>
          <t>031-531-9000</t>
        </is>
      </c>
      <c r="W162" s="121" t="n"/>
    </row>
    <row r="163" ht="18" customHeight="1" s="97">
      <c r="A163" s="101" t="n">
        <v>161</v>
      </c>
      <c r="B163" s="102" t="inlineStr">
        <is>
          <t>강원</t>
        </is>
      </c>
      <c r="C163" s="123" t="inlineStr">
        <is>
          <t>벨라스톤컨트리클럽</t>
        </is>
      </c>
      <c r="D163" s="104" t="inlineStr">
        <is>
          <t>대중제</t>
        </is>
      </c>
      <c r="E163" s="105" t="inlineStr">
        <is>
          <t>강원도 횡성군 서원면 옥계9길 124</t>
        </is>
      </c>
      <c r="F163" s="101" t="n">
        <v>18</v>
      </c>
      <c r="G163" s="101">
        <f>F163*4</f>
        <v/>
      </c>
      <c r="H163" s="106" t="n">
        <v>947483</v>
      </c>
      <c r="I163" s="136" t="inlineStr">
        <is>
          <t>(주)진원(원연식)</t>
        </is>
      </c>
      <c r="J163" s="108" t="n"/>
      <c r="K163" s="108" t="n"/>
      <c r="L163" s="108" t="n"/>
      <c r="M163" s="108" t="n"/>
      <c r="N163" s="108" t="n"/>
      <c r="O163" s="108" t="n"/>
      <c r="P163" s="101" t="n"/>
      <c r="Q163" s="109" t="n"/>
      <c r="R163" s="108" t="n"/>
      <c r="S163" s="110" t="inlineStr">
        <is>
          <t>🔲 데이터수집예정</t>
        </is>
      </c>
      <c r="T163" s="136" t="n"/>
      <c r="W163" s="111" t="n"/>
    </row>
    <row r="164" ht="18" customHeight="1" s="97">
      <c r="A164" s="112" t="n">
        <v>162</v>
      </c>
      <c r="B164" s="113" t="inlineStr">
        <is>
          <t>강원</t>
        </is>
      </c>
      <c r="C164" s="122" t="inlineStr">
        <is>
          <t>블랙밸리컨트리클럽</t>
        </is>
      </c>
      <c r="D164" s="104" t="inlineStr">
        <is>
          <t>대중제</t>
        </is>
      </c>
      <c r="E164" s="116" t="inlineStr">
        <is>
          <t>강원도 삼척시 도계읍 도상로 307-84</t>
        </is>
      </c>
      <c r="F164" s="112" t="n">
        <v>18</v>
      </c>
      <c r="G164" s="112">
        <f>F164*4</f>
        <v/>
      </c>
      <c r="H164" s="117" t="n">
        <v>979681</v>
      </c>
      <c r="I164" s="118" t="inlineStr">
        <is>
          <t>블랙밸리C․C㈜(최승희)</t>
        </is>
      </c>
      <c r="J164" s="108" t="n"/>
      <c r="K164" s="108" t="n"/>
      <c r="L164" s="108" t="n"/>
      <c r="M164" s="108" t="n"/>
      <c r="N164" s="108" t="n"/>
      <c r="O164" s="108" t="n"/>
      <c r="P164" s="112" t="n"/>
      <c r="Q164" s="119" t="n"/>
      <c r="R164" s="108" t="n"/>
      <c r="S164" s="110" t="inlineStr">
        <is>
          <t>🔲 데이터수집예정</t>
        </is>
      </c>
      <c r="T164" s="126" t="n"/>
      <c r="W164" s="121" t="n"/>
    </row>
    <row r="165" ht="18" customHeight="1" s="97">
      <c r="A165" s="101" t="n">
        <v>163</v>
      </c>
      <c r="B165" s="102" t="inlineStr">
        <is>
          <t>강원</t>
        </is>
      </c>
      <c r="C165" s="123" t="inlineStr">
        <is>
          <t>비콘힐스골프클럽</t>
        </is>
      </c>
      <c r="D165" s="104" t="inlineStr">
        <is>
          <t>대중제</t>
        </is>
      </c>
      <c r="E165" s="105" t="inlineStr">
        <is>
          <t>강원도 홍천군 홍천읍 높은터로 533</t>
        </is>
      </c>
      <c r="F165" s="101" t="n">
        <v>18</v>
      </c>
      <c r="G165" s="101">
        <f>F165*4</f>
        <v/>
      </c>
      <c r="H165" s="106" t="n">
        <v>889200</v>
      </c>
      <c r="I165" s="107" t="inlineStr">
        <is>
          <t>우신물산㈜(박준엽)</t>
        </is>
      </c>
      <c r="J165" s="108" t="n"/>
      <c r="K165" s="108" t="n"/>
      <c r="L165" s="108" t="n"/>
      <c r="M165" s="108" t="n"/>
      <c r="N165" s="108" t="n"/>
      <c r="O165" s="108" t="n"/>
      <c r="P165" s="101" t="n"/>
      <c r="Q165" s="109" t="n"/>
      <c r="R165" s="108" t="n"/>
      <c r="S165" s="110" t="inlineStr">
        <is>
          <t>🔲 데이터수집예정</t>
        </is>
      </c>
      <c r="T165" s="136" t="n"/>
      <c r="W165" s="111" t="n"/>
    </row>
    <row r="166" ht="18" customHeight="1" s="97">
      <c r="A166" s="112" t="n">
        <v>164</v>
      </c>
      <c r="B166" s="113" t="inlineStr">
        <is>
          <t>강원</t>
        </is>
      </c>
      <c r="C166" s="122" t="inlineStr">
        <is>
          <t>샌드파인골프클럽</t>
        </is>
      </c>
      <c r="D166" s="115" t="inlineStr">
        <is>
          <t>회원제</t>
        </is>
      </c>
      <c r="E166" s="116" t="inlineStr">
        <is>
          <t>강원도 강릉시 저동등길 53</t>
        </is>
      </c>
      <c r="F166" s="112" t="n">
        <v>18</v>
      </c>
      <c r="G166" s="112">
        <f>F166*4</f>
        <v/>
      </c>
      <c r="H166" s="117" t="n">
        <v>911927</v>
      </c>
      <c r="I166" s="118" t="inlineStr">
        <is>
          <t>㈜승산(허인영)</t>
        </is>
      </c>
      <c r="J166" s="108" t="n"/>
      <c r="K166" s="108" t="n"/>
      <c r="L166" s="108" t="n"/>
      <c r="M166" s="108" t="n"/>
      <c r="N166" s="108" t="n"/>
      <c r="O166" s="108" t="n"/>
      <c r="P166" s="112" t="n"/>
      <c r="Q166" s="119" t="n"/>
      <c r="R166" s="108" t="n"/>
      <c r="S166" s="110" t="inlineStr">
        <is>
          <t>🔲 데이터수집예정</t>
        </is>
      </c>
      <c r="T166" s="126" t="n"/>
      <c r="W166" s="121" t="n"/>
    </row>
    <row r="167" ht="18" customHeight="1" s="97">
      <c r="A167" s="101" t="n">
        <v>165</v>
      </c>
      <c r="B167" s="102" t="inlineStr">
        <is>
          <t>강원</t>
        </is>
      </c>
      <c r="C167" s="123" t="inlineStr">
        <is>
          <t>샤인데일골프&amp;리조트</t>
        </is>
      </c>
      <c r="D167" s="104" t="inlineStr">
        <is>
          <t>대중제</t>
        </is>
      </c>
      <c r="E167" s="105" t="inlineStr">
        <is>
          <t>강원도 홍천군 서면 한서로 247-156</t>
        </is>
      </c>
      <c r="F167" s="101" t="n">
        <v>27</v>
      </c>
      <c r="G167" s="101">
        <f>F167*4</f>
        <v/>
      </c>
      <c r="H167" s="106" t="n">
        <v>1698102</v>
      </c>
      <c r="I167" s="107" t="inlineStr">
        <is>
          <t>세안레져산업㈜(오성배)</t>
        </is>
      </c>
      <c r="J167" s="108" t="n"/>
      <c r="K167" s="108" t="n"/>
      <c r="L167" s="108" t="n"/>
      <c r="M167" s="108" t="n"/>
      <c r="N167" s="108" t="n"/>
      <c r="O167" s="108" t="n"/>
      <c r="P167" s="101" t="n"/>
      <c r="Q167" s="109" t="n"/>
      <c r="R167" s="108" t="n"/>
      <c r="S167" s="110" t="inlineStr">
        <is>
          <t>🔲 데이터수집예정</t>
        </is>
      </c>
      <c r="T167" s="136" t="inlineStr">
        <is>
          <t>https://www.shinedalecc.co.kr/</t>
        </is>
      </c>
      <c r="U167" s="96" t="n">
        <v>2007</v>
      </c>
      <c r="V167" s="96" t="inlineStr">
        <is>
          <t>043-270-8000</t>
        </is>
      </c>
      <c r="W167" s="125" t="n"/>
    </row>
    <row r="168" ht="18" customHeight="1" s="97">
      <c r="A168" s="112" t="n">
        <v>166</v>
      </c>
      <c r="B168" s="113" t="inlineStr">
        <is>
          <t>강원</t>
        </is>
      </c>
      <c r="C168" s="122" t="inlineStr">
        <is>
          <t>설악썬밸리컨트리클럽</t>
        </is>
      </c>
      <c r="D168" s="104" t="inlineStr">
        <is>
          <t>대중제</t>
        </is>
      </c>
      <c r="E168" s="116" t="inlineStr">
        <is>
          <t>강원도 고성군 죽왕면 순포로 188</t>
        </is>
      </c>
      <c r="F168" s="112" t="n">
        <v>27</v>
      </c>
      <c r="G168" s="112">
        <f>F168*4</f>
        <v/>
      </c>
      <c r="H168" s="117" t="n">
        <v>1481037</v>
      </c>
      <c r="I168" s="118" t="inlineStr">
        <is>
          <t>㈜동광개발(김상주)</t>
        </is>
      </c>
      <c r="J168" s="108" t="n"/>
      <c r="K168" s="108" t="n"/>
      <c r="L168" s="108" t="n"/>
      <c r="M168" s="108" t="n"/>
      <c r="N168" s="108" t="n"/>
      <c r="O168" s="108" t="n"/>
      <c r="P168" s="112" t="n"/>
      <c r="Q168" s="119" t="n"/>
      <c r="R168" s="108" t="n"/>
      <c r="S168" s="110" t="inlineStr">
        <is>
          <t>🔲 데이터수집예정</t>
        </is>
      </c>
      <c r="T168" s="126" t="n"/>
      <c r="W168" s="121" t="n"/>
    </row>
    <row r="169" ht="18" customHeight="1" s="97">
      <c r="A169" s="101" t="n">
        <v>167</v>
      </c>
      <c r="B169" s="102" t="inlineStr">
        <is>
          <t>강원</t>
        </is>
      </c>
      <c r="C169" s="123" t="inlineStr">
        <is>
          <t>설악프라자컨트리클럽</t>
        </is>
      </c>
      <c r="D169" s="115" t="inlineStr">
        <is>
          <t>회원제</t>
        </is>
      </c>
      <c r="E169" s="105" t="inlineStr">
        <is>
          <t>강원도 속초시 미시령로 2983번길 56-20</t>
        </is>
      </c>
      <c r="F169" s="101" t="n">
        <v>18</v>
      </c>
      <c r="G169" s="101">
        <f>F169*4</f>
        <v/>
      </c>
      <c r="H169" s="106" t="n">
        <v>834352</v>
      </c>
      <c r="I169" s="107" t="inlineStr">
        <is>
          <t>한화호텔앤드리조트㈜(김형조)</t>
        </is>
      </c>
      <c r="J169" s="108" t="n"/>
      <c r="K169" s="108" t="n"/>
      <c r="L169" s="108" t="n"/>
      <c r="M169" s="108" t="n"/>
      <c r="N169" s="108" t="n"/>
      <c r="O169" s="108" t="n"/>
      <c r="P169" s="101" t="n"/>
      <c r="Q169" s="109" t="n"/>
      <c r="R169" s="108" t="n"/>
      <c r="S169" s="110" t="inlineStr">
        <is>
          <t>🔲 데이터수집예정</t>
        </is>
      </c>
      <c r="T169" s="136" t="n"/>
      <c r="W169" s="111" t="n"/>
    </row>
    <row r="170" ht="18" customHeight="1" s="97">
      <c r="A170" s="112" t="n">
        <v>168</v>
      </c>
      <c r="B170" s="113" t="inlineStr">
        <is>
          <t>강원</t>
        </is>
      </c>
      <c r="C170" s="122" t="inlineStr">
        <is>
          <t>설해원</t>
        </is>
      </c>
      <c r="D170" s="104" t="inlineStr">
        <is>
          <t>대중제</t>
        </is>
      </c>
      <c r="E170" s="116" t="inlineStr">
        <is>
          <t>강원도 양양군 손양면 공항로 230</t>
        </is>
      </c>
      <c r="F170" s="112" t="n">
        <v>27</v>
      </c>
      <c r="G170" s="112">
        <f>F170*4</f>
        <v/>
      </c>
      <c r="H170" s="117" t="n">
        <v>1430946</v>
      </c>
      <c r="I170" s="118" t="inlineStr">
        <is>
          <t>㈜새서울레저(권기연)</t>
        </is>
      </c>
      <c r="J170" s="108" t="n"/>
      <c r="K170" s="108" t="n"/>
      <c r="L170" s="108" t="n"/>
      <c r="M170" s="108" t="n"/>
      <c r="N170" s="108" t="n"/>
      <c r="O170" s="108" t="n"/>
      <c r="P170" s="112" t="n"/>
      <c r="Q170" s="119" t="n"/>
      <c r="R170" s="108" t="n"/>
      <c r="S170" s="110" t="inlineStr">
        <is>
          <t>🔲 데이터수집예정</t>
        </is>
      </c>
      <c r="T170" s="126" t="inlineStr">
        <is>
          <t>https://www.seolhaewon.com/</t>
        </is>
      </c>
      <c r="U170" s="96" t="n">
        <v>2015</v>
      </c>
      <c r="V170" s="96" t="inlineStr">
        <is>
          <t>1644-1940</t>
        </is>
      </c>
      <c r="W170" s="121" t="n"/>
    </row>
    <row r="171" ht="18" customHeight="1" s="97">
      <c r="A171" s="101" t="n">
        <v>169</v>
      </c>
      <c r="B171" s="102" t="inlineStr">
        <is>
          <t>강원</t>
        </is>
      </c>
      <c r="C171" s="123" t="inlineStr">
        <is>
          <t>설해원 더 레전드 코스</t>
        </is>
      </c>
      <c r="D171" s="104" t="inlineStr">
        <is>
          <t>대중제</t>
        </is>
      </c>
      <c r="E171" s="105" t="inlineStr">
        <is>
          <t>강원도 양양군 손양면 공항로 230</t>
        </is>
      </c>
      <c r="F171" s="101" t="n">
        <v>18</v>
      </c>
      <c r="G171" s="101">
        <f>F171*4</f>
        <v/>
      </c>
      <c r="H171" s="106" t="n">
        <v>885584</v>
      </c>
      <c r="I171" s="107" t="inlineStr">
        <is>
          <t>㈜새서울레저(안제근)</t>
        </is>
      </c>
      <c r="J171" s="108" t="n"/>
      <c r="K171" s="108" t="n"/>
      <c r="L171" s="108" t="n"/>
      <c r="M171" s="108" t="n"/>
      <c r="N171" s="108" t="n"/>
      <c r="O171" s="108" t="n"/>
      <c r="P171" s="101" t="n"/>
      <c r="Q171" s="109" t="n"/>
      <c r="R171" s="108" t="n"/>
      <c r="S171" s="110" t="inlineStr">
        <is>
          <t>🔲 데이터수집예정</t>
        </is>
      </c>
      <c r="T171" s="136" t="n"/>
      <c r="W171" s="111" t="n"/>
    </row>
    <row r="172" ht="18" customHeight="1" s="97">
      <c r="A172" s="112" t="n">
        <v>170</v>
      </c>
      <c r="B172" s="113" t="inlineStr">
        <is>
          <t>강원</t>
        </is>
      </c>
      <c r="C172" s="122" t="inlineStr">
        <is>
          <t>세이지우드CC홍천</t>
        </is>
      </c>
      <c r="D172" s="104" t="inlineStr">
        <is>
          <t>대중제</t>
        </is>
      </c>
      <c r="E172" s="116" t="inlineStr">
        <is>
          <t>강원도 홍천군 두촌면 광석로 898-160</t>
        </is>
      </c>
      <c r="F172" s="112" t="n">
        <v>27</v>
      </c>
      <c r="G172" s="112">
        <f>F172*4</f>
        <v/>
      </c>
      <c r="H172" s="117" t="n">
        <v>1346136</v>
      </c>
      <c r="I172" s="118" t="inlineStr">
        <is>
          <t>와이케이디벨롭먼트㈜(김승건)</t>
        </is>
      </c>
      <c r="J172" s="108" t="n"/>
      <c r="K172" s="108" t="n"/>
      <c r="L172" s="108" t="n"/>
      <c r="M172" s="108" t="n"/>
      <c r="N172" s="108" t="n"/>
      <c r="O172" s="108" t="n"/>
      <c r="P172" s="112" t="n"/>
      <c r="Q172" s="119" t="n"/>
      <c r="R172" s="108" t="n"/>
      <c r="S172" s="110" t="inlineStr">
        <is>
          <t>🔲 데이터수집예정</t>
        </is>
      </c>
      <c r="T172" s="126" t="n"/>
      <c r="W172" s="121" t="n"/>
    </row>
    <row r="173" ht="18" customHeight="1" s="97">
      <c r="A173" s="101" t="n">
        <v>171</v>
      </c>
      <c r="B173" s="102" t="inlineStr">
        <is>
          <t>강원</t>
        </is>
      </c>
      <c r="C173" s="123" t="inlineStr">
        <is>
          <t>센추리21컨트리클럽</t>
        </is>
      </c>
      <c r="D173" s="115" t="inlineStr">
        <is>
          <t>회원제</t>
        </is>
      </c>
      <c r="E173" s="105" t="inlineStr">
        <is>
          <t>강원도 원주시 문막읍 궁말길 193</t>
        </is>
      </c>
      <c r="F173" s="101" t="n">
        <v>18</v>
      </c>
      <c r="G173" s="101">
        <f>F173*4</f>
        <v/>
      </c>
      <c r="H173" s="106" t="n">
        <v>1034680</v>
      </c>
      <c r="I173" s="107" t="inlineStr">
        <is>
          <t>센추리개발㈜(이병철)</t>
        </is>
      </c>
      <c r="J173" s="108" t="n"/>
      <c r="K173" s="108" t="n"/>
      <c r="L173" s="108" t="n"/>
      <c r="M173" s="108" t="n"/>
      <c r="N173" s="108" t="n"/>
      <c r="O173" s="108" t="n"/>
      <c r="P173" s="101" t="n"/>
      <c r="Q173" s="109" t="n"/>
      <c r="R173" s="108" t="n"/>
      <c r="S173" s="110" t="inlineStr">
        <is>
          <t>🔲 데이터수집예정</t>
        </is>
      </c>
      <c r="T173" s="136" t="n"/>
      <c r="W173" s="111" t="n"/>
    </row>
    <row r="174" ht="18" customHeight="1" s="97">
      <c r="A174" s="112" t="n">
        <v>172</v>
      </c>
      <c r="B174" s="113" t="inlineStr">
        <is>
          <t>강원</t>
        </is>
      </c>
      <c r="C174" s="122" t="inlineStr">
        <is>
          <t>센추리21컨트리클럽Ⅱ</t>
        </is>
      </c>
      <c r="D174" s="104" t="inlineStr">
        <is>
          <t>대중제</t>
        </is>
      </c>
      <c r="E174" s="116" t="inlineStr">
        <is>
          <t>강원도 원주시 문막읍 궁말길 193</t>
        </is>
      </c>
      <c r="F174" s="112" t="n">
        <v>18</v>
      </c>
      <c r="G174" s="112">
        <f>F174*4</f>
        <v/>
      </c>
      <c r="H174" s="117" t="n">
        <v>771962</v>
      </c>
      <c r="I174" s="118" t="inlineStr">
        <is>
          <t>센추리개발㈜(이병철)</t>
        </is>
      </c>
      <c r="J174" s="108" t="n"/>
      <c r="K174" s="108" t="n"/>
      <c r="L174" s="108" t="n"/>
      <c r="M174" s="108" t="n"/>
      <c r="N174" s="108" t="n"/>
      <c r="O174" s="108" t="n"/>
      <c r="P174" s="112" t="n"/>
      <c r="Q174" s="119" t="n"/>
      <c r="R174" s="108" t="n"/>
      <c r="S174" s="110" t="inlineStr">
        <is>
          <t>🔲 데이터수집예정</t>
        </is>
      </c>
      <c r="T174" s="126" t="n"/>
      <c r="W174" s="121" t="n"/>
    </row>
    <row r="175" ht="18" customHeight="1" s="97">
      <c r="A175" s="101" t="n">
        <v>173</v>
      </c>
      <c r="B175" s="102" t="inlineStr">
        <is>
          <t>강원</t>
        </is>
      </c>
      <c r="C175" s="123" t="inlineStr">
        <is>
          <t>센추리21퍼블릭</t>
        </is>
      </c>
      <c r="D175" s="104" t="inlineStr">
        <is>
          <t>대중제</t>
        </is>
      </c>
      <c r="E175" s="105" t="inlineStr">
        <is>
          <t>강원도 원주시 문막읍 궁말길 193</t>
        </is>
      </c>
      <c r="F175" s="101" t="n">
        <v>9</v>
      </c>
      <c r="G175" s="101">
        <f>F175*4</f>
        <v/>
      </c>
      <c r="H175" s="106" t="n">
        <v>327800</v>
      </c>
      <c r="I175" s="107" t="inlineStr">
        <is>
          <t>센추리개발㈜(이병철)</t>
        </is>
      </c>
      <c r="J175" s="108" t="n"/>
      <c r="K175" s="108" t="n"/>
      <c r="L175" s="108" t="n"/>
      <c r="M175" s="108" t="n"/>
      <c r="N175" s="108" t="n"/>
      <c r="O175" s="108" t="n"/>
      <c r="P175" s="101" t="n"/>
      <c r="Q175" s="109" t="n"/>
      <c r="R175" s="108" t="n"/>
      <c r="S175" s="110" t="inlineStr">
        <is>
          <t>🔲 데이터수집예정</t>
        </is>
      </c>
      <c r="T175" s="136" t="n"/>
      <c r="W175" s="111" t="n"/>
    </row>
    <row r="176" ht="18" customHeight="1" s="97">
      <c r="A176" s="112" t="n">
        <v>174</v>
      </c>
      <c r="B176" s="113" t="inlineStr">
        <is>
          <t>강원</t>
        </is>
      </c>
      <c r="C176" s="122" t="inlineStr">
        <is>
          <t>소노펠리체 컨트리클럽 델피노</t>
        </is>
      </c>
      <c r="D176" s="104" t="inlineStr">
        <is>
          <t>대중제</t>
        </is>
      </c>
      <c r="E176" s="116" t="inlineStr">
        <is>
          <t>강원도 고성군 토성면 미시령옛길 1153</t>
        </is>
      </c>
      <c r="F176" s="112" t="n">
        <v>18</v>
      </c>
      <c r="G176" s="112">
        <f>F176*4</f>
        <v/>
      </c>
      <c r="H176" s="117" t="n">
        <v>642826</v>
      </c>
      <c r="I176" s="118" t="inlineStr">
        <is>
          <t>㈜소노인터내셔널(민병소, 유태완)</t>
        </is>
      </c>
      <c r="J176" s="108" t="n"/>
      <c r="K176" s="108" t="n"/>
      <c r="L176" s="108" t="n"/>
      <c r="M176" s="108" t="n"/>
      <c r="N176" s="108" t="n"/>
      <c r="O176" s="108" t="n"/>
      <c r="P176" s="112" t="n"/>
      <c r="Q176" s="119" t="n"/>
      <c r="R176" s="108" t="n"/>
      <c r="S176" s="110" t="inlineStr">
        <is>
          <t>🔲 데이터수집예정</t>
        </is>
      </c>
      <c r="T176" s="126" t="n"/>
      <c r="W176" s="121" t="n"/>
    </row>
    <row r="177" ht="18" customHeight="1" s="97">
      <c r="A177" s="101" t="n">
        <v>175</v>
      </c>
      <c r="B177" s="102" t="inlineStr">
        <is>
          <t>강원</t>
        </is>
      </c>
      <c r="C177" s="123" t="inlineStr">
        <is>
          <t>소노펠리체 컨트리클럽 비발디파크 마운틴</t>
        </is>
      </c>
      <c r="D177" s="104" t="inlineStr">
        <is>
          <t>대중제</t>
        </is>
      </c>
      <c r="E177" s="105" t="inlineStr">
        <is>
          <t>강원도 홍천군 서면 한치골길 262</t>
        </is>
      </c>
      <c r="F177" s="101" t="n">
        <v>9</v>
      </c>
      <c r="G177" s="101">
        <f>F177*4</f>
        <v/>
      </c>
      <c r="H177" s="106" t="n">
        <v>489900</v>
      </c>
      <c r="I177" s="107" t="inlineStr">
        <is>
          <t>㈜소노인터내셔널(민병소, 유태완)</t>
        </is>
      </c>
      <c r="J177" s="108" t="n"/>
      <c r="K177" s="108" t="n"/>
      <c r="L177" s="108" t="n"/>
      <c r="M177" s="108" t="n"/>
      <c r="N177" s="108" t="n"/>
      <c r="O177" s="108" t="n"/>
      <c r="P177" s="101" t="n"/>
      <c r="Q177" s="109" t="n"/>
      <c r="R177" s="108" t="n"/>
      <c r="S177" s="110" t="inlineStr">
        <is>
          <t>🔲 데이터수집예정</t>
        </is>
      </c>
      <c r="T177" s="136" t="n"/>
      <c r="W177" s="111" t="n"/>
    </row>
    <row r="178" ht="18" customHeight="1" s="97">
      <c r="A178" s="112" t="n">
        <v>176</v>
      </c>
      <c r="B178" s="113" t="inlineStr">
        <is>
          <t>강원</t>
        </is>
      </c>
      <c r="C178" s="122" t="inlineStr">
        <is>
          <t>소노펠리체 컨트리클럽 비발디파크 웨스트</t>
        </is>
      </c>
      <c r="D178" s="104" t="inlineStr">
        <is>
          <t>대중제</t>
        </is>
      </c>
      <c r="E178" s="116" t="inlineStr">
        <is>
          <t>강원도 홍천군 서면 한치골길 200</t>
        </is>
      </c>
      <c r="F178" s="112" t="n">
        <v>18</v>
      </c>
      <c r="G178" s="112">
        <f>F178*4</f>
        <v/>
      </c>
      <c r="H178" s="117" t="n">
        <v>1031267</v>
      </c>
      <c r="I178" s="118" t="inlineStr">
        <is>
          <t>㈜소노인터내셔널(민병소, 유태완)</t>
        </is>
      </c>
      <c r="J178" s="108" t="n"/>
      <c r="K178" s="108" t="n"/>
      <c r="L178" s="108" t="n"/>
      <c r="M178" s="108" t="n"/>
      <c r="N178" s="108" t="n"/>
      <c r="O178" s="108" t="n"/>
      <c r="P178" s="112" t="n"/>
      <c r="Q178" s="119" t="n"/>
      <c r="R178" s="108" t="n"/>
      <c r="S178" s="110" t="inlineStr">
        <is>
          <t>🔲 데이터수집예정</t>
        </is>
      </c>
      <c r="T178" s="126" t="n"/>
      <c r="W178" s="121" t="n"/>
    </row>
    <row r="179" ht="18" customHeight="1" s="97">
      <c r="A179" s="101" t="n">
        <v>177</v>
      </c>
      <c r="B179" s="102" t="inlineStr">
        <is>
          <t>강원</t>
        </is>
      </c>
      <c r="C179" s="123" t="inlineStr">
        <is>
          <t>소노펠리체 컨트리클럽 비발디파크 이스트</t>
        </is>
      </c>
      <c r="D179" s="104" t="inlineStr">
        <is>
          <t>대중제</t>
        </is>
      </c>
      <c r="E179" s="105" t="inlineStr">
        <is>
          <t>강원도 홍천군 서면 한치골길 541-123</t>
        </is>
      </c>
      <c r="F179" s="101" t="n">
        <v>18</v>
      </c>
      <c r="G179" s="101">
        <f>F179*4</f>
        <v/>
      </c>
      <c r="H179" s="106" t="n">
        <v>1306750</v>
      </c>
      <c r="I179" s="107" t="inlineStr">
        <is>
          <t>㈜소노인터내셔널(민병소, 유태완)</t>
        </is>
      </c>
      <c r="J179" s="108" t="n"/>
      <c r="K179" s="108" t="n"/>
      <c r="L179" s="108" t="n"/>
      <c r="M179" s="108" t="n"/>
      <c r="N179" s="108" t="n"/>
      <c r="O179" s="108" t="n"/>
      <c r="P179" s="101" t="n"/>
      <c r="Q179" s="109" t="n"/>
      <c r="R179" s="108" t="n"/>
      <c r="S179" s="110" t="inlineStr">
        <is>
          <t>🔲 데이터수집예정</t>
        </is>
      </c>
      <c r="T179" s="136" t="n"/>
      <c r="W179" s="111" t="n"/>
    </row>
    <row r="180" ht="18" customHeight="1" s="97">
      <c r="A180" s="112" t="n">
        <v>178</v>
      </c>
      <c r="B180" s="113" t="inlineStr">
        <is>
          <t>강원</t>
        </is>
      </c>
      <c r="C180" s="122" t="inlineStr">
        <is>
          <t>스프링베일리조트</t>
        </is>
      </c>
      <c r="D180" s="104" t="inlineStr">
        <is>
          <t>대중제</t>
        </is>
      </c>
      <c r="E180" s="116" t="inlineStr">
        <is>
          <t>강원도 춘천시 동면 금베이길 93-27</t>
        </is>
      </c>
      <c r="F180" s="112" t="n">
        <v>9</v>
      </c>
      <c r="G180" s="112">
        <f>F180*4</f>
        <v/>
      </c>
      <c r="H180" s="117" t="n">
        <v>289720</v>
      </c>
      <c r="I180" s="118" t="inlineStr">
        <is>
          <t>㈜춘천골프아카 데미(홍순주)</t>
        </is>
      </c>
      <c r="J180" s="108" t="n"/>
      <c r="K180" s="108" t="n"/>
      <c r="L180" s="108" t="n"/>
      <c r="M180" s="108" t="n"/>
      <c r="N180" s="108" t="n"/>
      <c r="O180" s="108" t="n"/>
      <c r="P180" s="112" t="n"/>
      <c r="Q180" s="119" t="n"/>
      <c r="R180" s="108" t="n"/>
      <c r="S180" s="110" t="inlineStr">
        <is>
          <t>🔲 데이터수집예정</t>
        </is>
      </c>
      <c r="T180" s="126" t="n"/>
      <c r="W180" s="121" t="n"/>
    </row>
    <row r="181" ht="18" customHeight="1" s="97">
      <c r="A181" s="101" t="n">
        <v>179</v>
      </c>
      <c r="B181" s="102" t="inlineStr">
        <is>
          <t>강원</t>
        </is>
      </c>
      <c r="C181" s="123" t="inlineStr">
        <is>
          <t>알펜시아 700골프클럽</t>
        </is>
      </c>
      <c r="D181" s="104" t="inlineStr">
        <is>
          <t>대중제</t>
        </is>
      </c>
      <c r="E181" s="105" t="inlineStr">
        <is>
          <t>강원도 평창군 대관령면 솔봉로 325</t>
        </is>
      </c>
      <c r="F181" s="101" t="n">
        <v>18</v>
      </c>
      <c r="G181" s="101">
        <f>F181*4</f>
        <v/>
      </c>
      <c r="H181" s="106" t="n">
        <v>1270178</v>
      </c>
      <c r="I181" s="107" t="inlineStr">
        <is>
          <t>강원도개발공사(이만희)</t>
        </is>
      </c>
      <c r="J181" s="108" t="n"/>
      <c r="K181" s="108" t="n"/>
      <c r="L181" s="108" t="n"/>
      <c r="M181" s="108" t="n"/>
      <c r="N181" s="108" t="n"/>
      <c r="O181" s="108" t="n"/>
      <c r="P181" s="101" t="n"/>
      <c r="Q181" s="109" t="n"/>
      <c r="R181" s="108" t="n"/>
      <c r="S181" s="110" t="inlineStr">
        <is>
          <t>🔲 데이터수집예정</t>
        </is>
      </c>
      <c r="T181" s="136" t="inlineStr">
        <is>
          <t>https://www.alpensia.com/</t>
        </is>
      </c>
      <c r="U181" s="96" t="n">
        <v>2009</v>
      </c>
      <c r="V181" s="96" t="inlineStr">
        <is>
          <t>033-339-0000</t>
        </is>
      </c>
      <c r="W181" s="125" t="n"/>
    </row>
    <row r="182" ht="18" customHeight="1" s="97">
      <c r="A182" s="112" t="n">
        <v>180</v>
      </c>
      <c r="B182" s="113" t="inlineStr">
        <is>
          <t>강원</t>
        </is>
      </c>
      <c r="C182" s="122" t="inlineStr">
        <is>
          <t>알펜시아컨트리클럽</t>
        </is>
      </c>
      <c r="D182" s="115" t="inlineStr">
        <is>
          <t>회원제</t>
        </is>
      </c>
      <c r="E182" s="116" t="inlineStr">
        <is>
          <t>강원도 평창군 대관령면 솔봉로 325</t>
        </is>
      </c>
      <c r="F182" s="112" t="n">
        <v>27</v>
      </c>
      <c r="G182" s="112">
        <f>F182*4</f>
        <v/>
      </c>
      <c r="H182" s="117" t="n">
        <v>1491721</v>
      </c>
      <c r="I182" s="118" t="inlineStr">
        <is>
          <t>강원도개발공사(이만희)</t>
        </is>
      </c>
      <c r="J182" s="108" t="n"/>
      <c r="K182" s="108" t="n"/>
      <c r="L182" s="108" t="n"/>
      <c r="M182" s="108" t="n"/>
      <c r="N182" s="108" t="n"/>
      <c r="O182" s="108" t="n"/>
      <c r="P182" s="112" t="n"/>
      <c r="Q182" s="119" t="n"/>
      <c r="R182" s="108" t="n"/>
      <c r="S182" s="110" t="inlineStr">
        <is>
          <t>🔲 데이터수집예정</t>
        </is>
      </c>
      <c r="T182" s="126" t="inlineStr">
        <is>
          <t>https://www.alpensia.com/</t>
        </is>
      </c>
      <c r="U182" s="96" t="n">
        <v>2009</v>
      </c>
      <c r="V182" s="96" t="inlineStr">
        <is>
          <t>033-339-0000</t>
        </is>
      </c>
      <c r="W182" s="121" t="n"/>
    </row>
    <row r="183" ht="18" customHeight="1" s="97">
      <c r="A183" s="101" t="n">
        <v>181</v>
      </c>
      <c r="B183" s="102" t="inlineStr">
        <is>
          <t>강원</t>
        </is>
      </c>
      <c r="C183" s="123" t="inlineStr">
        <is>
          <t>알프스대영컨트리클럽</t>
        </is>
      </c>
      <c r="D183" s="104" t="inlineStr">
        <is>
          <t>대중제</t>
        </is>
      </c>
      <c r="E183" s="105" t="inlineStr">
        <is>
          <t>강원도 횡성군 우천면 하우로 1295</t>
        </is>
      </c>
      <c r="F183" s="101" t="n">
        <v>18</v>
      </c>
      <c r="G183" s="101">
        <f>F183*4</f>
        <v/>
      </c>
      <c r="H183" s="106" t="n">
        <v>746919</v>
      </c>
      <c r="I183" s="107" t="inlineStr">
        <is>
          <t>삼대양레저㈜(유두열)</t>
        </is>
      </c>
      <c r="J183" s="108" t="n"/>
      <c r="K183" s="108" t="n"/>
      <c r="L183" s="108" t="n"/>
      <c r="M183" s="108" t="n"/>
      <c r="N183" s="108" t="n"/>
      <c r="O183" s="108" t="n"/>
      <c r="P183" s="101" t="n"/>
      <c r="Q183" s="109" t="n"/>
      <c r="R183" s="108" t="n"/>
      <c r="S183" s="110" t="inlineStr">
        <is>
          <t>🔲 데이터수집예정</t>
        </is>
      </c>
      <c r="T183" s="136" t="n"/>
      <c r="W183" s="111" t="n"/>
    </row>
    <row r="184" ht="18" customHeight="1" s="97">
      <c r="A184" s="112" t="n">
        <v>182</v>
      </c>
      <c r="B184" s="113" t="inlineStr">
        <is>
          <t>강원</t>
        </is>
      </c>
      <c r="C184" s="122" t="inlineStr">
        <is>
          <t>에스엘세레스 옥스필드 CC</t>
        </is>
      </c>
      <c r="D184" s="104" t="inlineStr">
        <is>
          <t>대중제</t>
        </is>
      </c>
      <c r="E184" s="116" t="inlineStr">
        <is>
          <t>강원도 횡성군 서원면 경강로 유현6길 28</t>
        </is>
      </c>
      <c r="F184" s="112" t="n">
        <v>18</v>
      </c>
      <c r="G184" s="112">
        <f>F184*4</f>
        <v/>
      </c>
      <c r="H184" s="117" t="n">
        <v>1033598</v>
      </c>
      <c r="I184" s="118" t="inlineStr">
        <is>
          <t>㈜에스엘세레스(최승현)</t>
        </is>
      </c>
      <c r="J184" s="108" t="n"/>
      <c r="K184" s="108" t="n"/>
      <c r="L184" s="108" t="n"/>
      <c r="M184" s="108" t="n"/>
      <c r="N184" s="108" t="n"/>
      <c r="O184" s="108" t="n"/>
      <c r="P184" s="112" t="n"/>
      <c r="Q184" s="119" t="n"/>
      <c r="R184" s="108" t="n"/>
      <c r="S184" s="110" t="inlineStr">
        <is>
          <t>🔲 데이터수집예정</t>
        </is>
      </c>
      <c r="T184" s="126" t="n"/>
      <c r="W184" s="121" t="n"/>
    </row>
    <row r="185" ht="18" customHeight="1" s="97">
      <c r="A185" s="101" t="n">
        <v>183</v>
      </c>
      <c r="B185" s="102" t="inlineStr">
        <is>
          <t>강원</t>
        </is>
      </c>
      <c r="C185" s="123" t="inlineStr">
        <is>
          <t>에콜리안정선골프장</t>
        </is>
      </c>
      <c r="D185" s="104" t="inlineStr">
        <is>
          <t>대중제</t>
        </is>
      </c>
      <c r="E185" s="105" t="inlineStr">
        <is>
          <t>강원도 정선군 신동읍 새골길 112-49</t>
        </is>
      </c>
      <c r="F185" s="101" t="n">
        <v>9</v>
      </c>
      <c r="G185" s="101">
        <f>F185*4</f>
        <v/>
      </c>
      <c r="H185" s="106" t="n">
        <v>504138</v>
      </c>
      <c r="I185" s="107" t="inlineStr">
        <is>
          <t>정선군,국민체육진흥공단</t>
        </is>
      </c>
      <c r="J185" s="108" t="n"/>
      <c r="K185" s="108" t="n"/>
      <c r="L185" s="108" t="n"/>
      <c r="M185" s="108" t="n"/>
      <c r="N185" s="108" t="n"/>
      <c r="O185" s="108" t="n"/>
      <c r="P185" s="101" t="n"/>
      <c r="Q185" s="109" t="n"/>
      <c r="R185" s="108" t="n"/>
      <c r="S185" s="110" t="inlineStr">
        <is>
          <t>🔲 데이터수집예정</t>
        </is>
      </c>
      <c r="T185" s="136" t="n"/>
      <c r="W185" s="111" t="n"/>
    </row>
    <row r="186" ht="18" customHeight="1" s="97">
      <c r="A186" s="112" t="n">
        <v>184</v>
      </c>
      <c r="B186" s="113" t="inlineStr">
        <is>
          <t>강원</t>
        </is>
      </c>
      <c r="C186" s="122" t="inlineStr">
        <is>
          <t>엘리시안 강촌대중골프장</t>
        </is>
      </c>
      <c r="D186" s="104" t="inlineStr">
        <is>
          <t>대중제</t>
        </is>
      </c>
      <c r="E186" s="116" t="inlineStr">
        <is>
          <t>강원도 춘천시 남산면 북한강변길 688</t>
        </is>
      </c>
      <c r="F186" s="112" t="n">
        <v>10</v>
      </c>
      <c r="G186" s="112">
        <f>F186*4</f>
        <v/>
      </c>
      <c r="H186" s="117" t="n">
        <v>445150</v>
      </c>
      <c r="I186" s="118" t="inlineStr">
        <is>
          <t>지에스건설㈜(임병용)</t>
        </is>
      </c>
      <c r="J186" s="108" t="n"/>
      <c r="K186" s="108" t="n"/>
      <c r="L186" s="108" t="n"/>
      <c r="M186" s="108" t="n"/>
      <c r="N186" s="108" t="n"/>
      <c r="O186" s="108" t="n"/>
      <c r="P186" s="112" t="n"/>
      <c r="Q186" s="119" t="n"/>
      <c r="R186" s="108" t="n"/>
      <c r="S186" s="110" t="inlineStr">
        <is>
          <t>🔲 데이터수집예정</t>
        </is>
      </c>
      <c r="T186" s="126" t="inlineStr">
        <is>
          <t>https://www.elysian.co.kr/gangchon/</t>
        </is>
      </c>
      <c r="U186" s="96" t="n">
        <v>2002</v>
      </c>
      <c r="V186" s="96" t="inlineStr">
        <is>
          <t>033-260-2000</t>
        </is>
      </c>
      <c r="W186" s="121" t="n"/>
    </row>
    <row r="187" ht="18" customHeight="1" s="97">
      <c r="A187" s="101" t="n">
        <v>185</v>
      </c>
      <c r="B187" s="102" t="inlineStr">
        <is>
          <t>강원</t>
        </is>
      </c>
      <c r="C187" s="123" t="inlineStr">
        <is>
          <t>엘리시안 강촌컨트리클럽</t>
        </is>
      </c>
      <c r="D187" s="115" t="inlineStr">
        <is>
          <t>회원제</t>
        </is>
      </c>
      <c r="E187" s="105" t="inlineStr">
        <is>
          <t>강원도 춘천시 남산면 북한강변길 688</t>
        </is>
      </c>
      <c r="F187" s="101" t="n">
        <v>27</v>
      </c>
      <c r="G187" s="101">
        <f>F187*4</f>
        <v/>
      </c>
      <c r="H187" s="106" t="n">
        <v>1041925</v>
      </c>
      <c r="I187" s="107" t="inlineStr">
        <is>
          <t>지에스건설㈜(임병용)</t>
        </is>
      </c>
      <c r="J187" s="134" t="n">
        <v>2</v>
      </c>
      <c r="K187" s="134" t="n">
        <v>2.1</v>
      </c>
      <c r="L187" s="134" t="n">
        <v>1.8</v>
      </c>
      <c r="M187" s="127" t="n">
        <v>4.9</v>
      </c>
      <c r="N187" s="133" t="n">
        <v>2.8</v>
      </c>
      <c r="O187" s="135">
        <f>ROUND(AVERAGE(J187:N187),2)</f>
        <v/>
      </c>
      <c r="P187" s="101" t="n">
        <v>140</v>
      </c>
      <c r="Q187" s="109" t="n">
        <v>73.5</v>
      </c>
      <c r="R187" s="162" t="inlineStr">
        <is>
          <t>상급</t>
        </is>
      </c>
      <c r="S187" s="131" t="inlineStr">
        <is>
          <t>✅ 서비스중</t>
        </is>
      </c>
      <c r="T187" s="138" t="inlineStr">
        <is>
          <t>https://www.elysian.co.kr</t>
        </is>
      </c>
      <c r="U187" s="96" t="n">
        <v>2002</v>
      </c>
      <c r="V187" s="96" t="inlineStr">
        <is>
          <t>033-260-2000</t>
        </is>
      </c>
      <c r="W187" s="125" t="n"/>
    </row>
    <row r="188" ht="18" customHeight="1" s="97">
      <c r="A188" s="112" t="n">
        <v>186</v>
      </c>
      <c r="B188" s="113" t="inlineStr">
        <is>
          <t>강원</t>
        </is>
      </c>
      <c r="C188" s="122" t="inlineStr">
        <is>
          <t>영랑호컨트리클럽</t>
        </is>
      </c>
      <c r="D188" s="104" t="inlineStr">
        <is>
          <t>대중제</t>
        </is>
      </c>
      <c r="E188" s="116" t="inlineStr">
        <is>
          <t>강원도 속초시 영랑호반길 170</t>
        </is>
      </c>
      <c r="F188" s="112" t="n">
        <v>9</v>
      </c>
      <c r="G188" s="112">
        <f>F188*4</f>
        <v/>
      </c>
      <c r="H188" s="117" t="n">
        <v>236439</v>
      </c>
      <c r="I188" s="118" t="inlineStr">
        <is>
          <t>㈜신세계영랑호리조트(송태승)</t>
        </is>
      </c>
      <c r="J188" s="108" t="n"/>
      <c r="K188" s="108" t="n"/>
      <c r="L188" s="108" t="n"/>
      <c r="M188" s="108" t="n"/>
      <c r="N188" s="108" t="n"/>
      <c r="O188" s="108" t="n"/>
      <c r="P188" s="112" t="n"/>
      <c r="Q188" s="119" t="n"/>
      <c r="R188" s="108" t="n"/>
      <c r="S188" s="110" t="inlineStr">
        <is>
          <t>🔲 데이터수집예정</t>
        </is>
      </c>
      <c r="T188" s="126" t="n"/>
      <c r="W188" s="121" t="n"/>
    </row>
    <row r="189" ht="18" customHeight="1" s="97">
      <c r="A189" s="101" t="n">
        <v>187</v>
      </c>
      <c r="B189" s="102" t="inlineStr">
        <is>
          <t>강원</t>
        </is>
      </c>
      <c r="C189" s="123" t="inlineStr">
        <is>
          <t>오너스골프클럽</t>
        </is>
      </c>
      <c r="D189" s="104" t="inlineStr">
        <is>
          <t>대중제</t>
        </is>
      </c>
      <c r="E189" s="105" t="inlineStr">
        <is>
          <t>강원도 춘천시 남산면 동촌로 667</t>
        </is>
      </c>
      <c r="F189" s="101" t="n">
        <v>18</v>
      </c>
      <c r="G189" s="101">
        <f>F189*4</f>
        <v/>
      </c>
      <c r="H189" s="106" t="n">
        <v>1023599</v>
      </c>
      <c r="I189" s="107" t="inlineStr">
        <is>
          <t>강촌칼론골프클럽㈜(김종현)</t>
        </is>
      </c>
      <c r="J189" s="108" t="n"/>
      <c r="K189" s="108" t="n"/>
      <c r="L189" s="108" t="n"/>
      <c r="M189" s="108" t="n"/>
      <c r="N189" s="108" t="n"/>
      <c r="O189" s="108" t="n"/>
      <c r="P189" s="101" t="n"/>
      <c r="Q189" s="109" t="n"/>
      <c r="R189" s="108" t="n"/>
      <c r="S189" s="110" t="inlineStr">
        <is>
          <t>🔲 데이터수집예정</t>
        </is>
      </c>
      <c r="T189" s="136" t="inlineStr">
        <is>
          <t>https://www.southcape.shop/</t>
        </is>
      </c>
      <c r="U189" s="96" t="n">
        <v>2013</v>
      </c>
      <c r="V189" s="96" t="inlineStr">
        <is>
          <t>055-860-5000</t>
        </is>
      </c>
      <c r="W189" s="125" t="n"/>
    </row>
    <row r="190" ht="18" customHeight="1" s="97">
      <c r="A190" s="112" t="n">
        <v>188</v>
      </c>
      <c r="B190" s="113" t="inlineStr">
        <is>
          <t>강원</t>
        </is>
      </c>
      <c r="C190" s="122" t="inlineStr">
        <is>
          <t>오크밸리 대중골프장</t>
        </is>
      </c>
      <c r="D190" s="104" t="inlineStr">
        <is>
          <t>대중제</t>
        </is>
      </c>
      <c r="E190" s="116" t="inlineStr">
        <is>
          <t>강원도 원주시 지정면 오크밸리1길 66</t>
        </is>
      </c>
      <c r="F190" s="112" t="n">
        <v>9</v>
      </c>
      <c r="G190" s="112">
        <f>F190*4</f>
        <v/>
      </c>
      <c r="H190" s="117" t="n">
        <v>296695</v>
      </c>
      <c r="I190" s="118" t="inlineStr">
        <is>
          <t>에이치디씨리조트㈜(조영환)</t>
        </is>
      </c>
      <c r="J190" s="108" t="n"/>
      <c r="K190" s="108" t="n"/>
      <c r="L190" s="108" t="n"/>
      <c r="M190" s="108" t="n"/>
      <c r="N190" s="108" t="n"/>
      <c r="O190" s="108" t="n"/>
      <c r="P190" s="112" t="n"/>
      <c r="Q190" s="119" t="n"/>
      <c r="R190" s="108" t="n"/>
      <c r="S190" s="110" t="inlineStr">
        <is>
          <t>🔲 데이터수집예정</t>
        </is>
      </c>
      <c r="T190" s="126" t="inlineStr">
        <is>
          <t>https://oakvalley.co.kr/</t>
        </is>
      </c>
      <c r="U190" s="96" t="n">
        <v>1995</v>
      </c>
      <c r="V190" s="96" t="inlineStr">
        <is>
          <t>033-730-3000</t>
        </is>
      </c>
      <c r="W190" s="121" t="n"/>
    </row>
    <row r="191" ht="18" customHeight="1" s="97">
      <c r="A191" s="101" t="n">
        <v>189</v>
      </c>
      <c r="B191" s="102" t="inlineStr">
        <is>
          <t>강원</t>
        </is>
      </c>
      <c r="C191" s="123" t="inlineStr">
        <is>
          <t>오크밸리회원제골프장</t>
        </is>
      </c>
      <c r="D191" s="115" t="inlineStr">
        <is>
          <t>회원제</t>
        </is>
      </c>
      <c r="E191" s="105" t="inlineStr">
        <is>
          <t>강원도 원주시 지정면 오크밸리1길 66</t>
        </is>
      </c>
      <c r="F191" s="101" t="n">
        <v>36</v>
      </c>
      <c r="G191" s="101">
        <f>F191*4</f>
        <v/>
      </c>
      <c r="H191" s="106" t="n">
        <v>1839621</v>
      </c>
      <c r="I191" s="107" t="inlineStr">
        <is>
          <t>에이치디씨리조트㈜(조영환)</t>
        </is>
      </c>
      <c r="J191" s="108" t="n"/>
      <c r="K191" s="108" t="n"/>
      <c r="L191" s="108" t="n"/>
      <c r="M191" s="108" t="n"/>
      <c r="N191" s="108" t="n"/>
      <c r="O191" s="108" t="n"/>
      <c r="P191" s="101" t="n"/>
      <c r="Q191" s="109" t="n"/>
      <c r="R191" s="108" t="n"/>
      <c r="S191" s="110" t="inlineStr">
        <is>
          <t>🔲 데이터수집예정</t>
        </is>
      </c>
      <c r="T191" s="136" t="inlineStr">
        <is>
          <t>https://oakvalley.co.kr/</t>
        </is>
      </c>
      <c r="U191" s="96" t="n">
        <v>1995</v>
      </c>
      <c r="V191" s="96" t="inlineStr">
        <is>
          <t>033-730-3000</t>
        </is>
      </c>
      <c r="W191" s="125" t="n"/>
    </row>
    <row r="192" ht="18" customHeight="1" s="97">
      <c r="A192" s="112" t="n">
        <v>190</v>
      </c>
      <c r="B192" s="113" t="inlineStr">
        <is>
          <t>강원</t>
        </is>
      </c>
      <c r="C192" s="122" t="inlineStr">
        <is>
          <t>오투리조트 C.C</t>
        </is>
      </c>
      <c r="D192" s="104" t="inlineStr">
        <is>
          <t>대중제</t>
        </is>
      </c>
      <c r="E192" s="116" t="inlineStr">
        <is>
          <t>강원도 태백시 서학로 861</t>
        </is>
      </c>
      <c r="F192" s="112" t="n">
        <v>18</v>
      </c>
      <c r="G192" s="112">
        <f>F192*4</f>
        <v/>
      </c>
      <c r="H192" s="117" t="n">
        <v>1079900</v>
      </c>
      <c r="I192" s="118" t="inlineStr">
        <is>
          <t>㈜오투리조트(김영윤)</t>
        </is>
      </c>
      <c r="J192" s="108" t="n"/>
      <c r="K192" s="108" t="n"/>
      <c r="L192" s="108" t="n"/>
      <c r="M192" s="108" t="n"/>
      <c r="N192" s="108" t="n"/>
      <c r="O192" s="108" t="n"/>
      <c r="P192" s="112" t="n"/>
      <c r="Q192" s="119" t="n"/>
      <c r="R192" s="108" t="n"/>
      <c r="S192" s="110" t="inlineStr">
        <is>
          <t>🔲 데이터수집예정</t>
        </is>
      </c>
      <c r="T192" s="126" t="n"/>
      <c r="W192" s="121" t="n"/>
    </row>
    <row r="193" ht="18" customHeight="1" s="97">
      <c r="A193" s="101" t="n">
        <v>191</v>
      </c>
      <c r="B193" s="102" t="inlineStr">
        <is>
          <t>강원</t>
        </is>
      </c>
      <c r="C193" s="123" t="inlineStr">
        <is>
          <t>오투리조트 골프</t>
        </is>
      </c>
      <c r="D193" s="104" t="inlineStr">
        <is>
          <t>대중제</t>
        </is>
      </c>
      <c r="E193" s="105" t="inlineStr">
        <is>
          <t>강원도 태백시 서학로 861</t>
        </is>
      </c>
      <c r="F193" s="101" t="n">
        <v>9</v>
      </c>
      <c r="G193" s="101">
        <f>F193*4</f>
        <v/>
      </c>
      <c r="H193" s="106" t="n">
        <v>467900</v>
      </c>
      <c r="I193" s="107" t="inlineStr">
        <is>
          <t>㈜오투리조트(김영윤)</t>
        </is>
      </c>
      <c r="J193" s="108" t="n"/>
      <c r="K193" s="108" t="n"/>
      <c r="L193" s="108" t="n"/>
      <c r="M193" s="108" t="n"/>
      <c r="N193" s="108" t="n"/>
      <c r="O193" s="108" t="n"/>
      <c r="P193" s="101" t="n"/>
      <c r="Q193" s="109" t="n"/>
      <c r="R193" s="108" t="n"/>
      <c r="S193" s="110" t="inlineStr">
        <is>
          <t>🔲 데이터수집예정</t>
        </is>
      </c>
      <c r="T193" s="136" t="n"/>
      <c r="W193" s="111" t="n"/>
    </row>
    <row r="194" ht="18" customHeight="1" s="97">
      <c r="A194" s="112" t="n">
        <v>192</v>
      </c>
      <c r="B194" s="113" t="inlineStr">
        <is>
          <t>강원</t>
        </is>
      </c>
      <c r="C194" s="122" t="inlineStr">
        <is>
          <t>용평리조트골프클럽</t>
        </is>
      </c>
      <c r="D194" s="115" t="inlineStr">
        <is>
          <t>회원제</t>
        </is>
      </c>
      <c r="E194" s="116" t="inlineStr">
        <is>
          <t>강원도 평창군 대관령면 올림픽로 715</t>
        </is>
      </c>
      <c r="F194" s="112" t="n">
        <v>18</v>
      </c>
      <c r="G194" s="112">
        <f>F194*4</f>
        <v/>
      </c>
      <c r="H194" s="117" t="n">
        <v>838497</v>
      </c>
      <c r="I194" s="126" t="inlineStr">
        <is>
          <t>(주)에이치제이매그놀리아 용평호텔앤리조트(신달순)</t>
        </is>
      </c>
      <c r="J194" s="108" t="n"/>
      <c r="K194" s="108" t="n"/>
      <c r="L194" s="108" t="n"/>
      <c r="M194" s="108" t="n"/>
      <c r="N194" s="108" t="n"/>
      <c r="O194" s="108" t="n"/>
      <c r="P194" s="112" t="n"/>
      <c r="Q194" s="119" t="n"/>
      <c r="R194" s="108" t="n"/>
      <c r="S194" s="110" t="inlineStr">
        <is>
          <t>🔲 데이터수집예정</t>
        </is>
      </c>
      <c r="T194" s="126" t="n"/>
      <c r="W194" s="121" t="n"/>
    </row>
    <row r="195" ht="18" customHeight="1" s="97">
      <c r="A195" s="101" t="n">
        <v>193</v>
      </c>
      <c r="B195" s="102" t="inlineStr">
        <is>
          <t>강원</t>
        </is>
      </c>
      <c r="C195" s="123" t="inlineStr">
        <is>
          <t>용평리조트대중골프장</t>
        </is>
      </c>
      <c r="D195" s="104" t="inlineStr">
        <is>
          <t>대중제</t>
        </is>
      </c>
      <c r="E195" s="105" t="inlineStr">
        <is>
          <t>강원도 평창군 대관령면 올림픽로 715</t>
        </is>
      </c>
      <c r="F195" s="101" t="n">
        <v>9</v>
      </c>
      <c r="G195" s="101">
        <f>F195*4</f>
        <v/>
      </c>
      <c r="H195" s="106" t="n">
        <v>268581</v>
      </c>
      <c r="I195" s="136" t="inlineStr">
        <is>
          <t>(주)에이치제이매그놀리아 용평호텔앤리조트(신달순)</t>
        </is>
      </c>
      <c r="J195" s="108" t="n"/>
      <c r="K195" s="108" t="n"/>
      <c r="L195" s="108" t="n"/>
      <c r="M195" s="108" t="n"/>
      <c r="N195" s="108" t="n"/>
      <c r="O195" s="108" t="n"/>
      <c r="P195" s="101" t="n"/>
      <c r="Q195" s="109" t="n"/>
      <c r="R195" s="108" t="n"/>
      <c r="S195" s="110" t="inlineStr">
        <is>
          <t>🔲 데이터수집예정</t>
        </is>
      </c>
      <c r="T195" s="136" t="n"/>
      <c r="W195" s="111" t="n"/>
    </row>
    <row r="196" ht="18" customHeight="1" s="97">
      <c r="A196" s="112" t="n">
        <v>194</v>
      </c>
      <c r="B196" s="113" t="inlineStr">
        <is>
          <t>강원</t>
        </is>
      </c>
      <c r="C196" s="122" t="inlineStr">
        <is>
          <t>용평버치힐골프클럽</t>
        </is>
      </c>
      <c r="D196" s="115" t="inlineStr">
        <is>
          <t>회원제</t>
        </is>
      </c>
      <c r="E196" s="116" t="inlineStr">
        <is>
          <t>강원도 평창군 대관령면 올림픽로 715</t>
        </is>
      </c>
      <c r="F196" s="112" t="n">
        <v>18</v>
      </c>
      <c r="G196" s="112">
        <f>F196*4</f>
        <v/>
      </c>
      <c r="H196" s="117" t="n">
        <v>983642</v>
      </c>
      <c r="I196" s="126" t="inlineStr">
        <is>
          <t>(주)에이치제이매그놀리아 용평호텔앤리조트(신달순)</t>
        </is>
      </c>
      <c r="J196" s="108" t="n"/>
      <c r="K196" s="108" t="n"/>
      <c r="L196" s="108" t="n"/>
      <c r="M196" s="108" t="n"/>
      <c r="N196" s="108" t="n"/>
      <c r="O196" s="108" t="n"/>
      <c r="P196" s="112" t="n"/>
      <c r="Q196" s="119" t="n"/>
      <c r="R196" s="108" t="n"/>
      <c r="S196" s="110" t="inlineStr">
        <is>
          <t>🔲 데이터수집예정</t>
        </is>
      </c>
      <c r="T196" s="126" t="inlineStr">
        <is>
          <t>https://www.yongpyong.co.kr/</t>
        </is>
      </c>
      <c r="U196" s="96" t="n">
        <v>1994</v>
      </c>
      <c r="V196" s="96" t="inlineStr">
        <is>
          <t>033-335-5757</t>
        </is>
      </c>
      <c r="W196" s="121" t="n"/>
    </row>
    <row r="197" ht="18" customHeight="1" s="97">
      <c r="A197" s="101" t="n">
        <v>195</v>
      </c>
      <c r="B197" s="102" t="inlineStr">
        <is>
          <t>강원</t>
        </is>
      </c>
      <c r="C197" s="123" t="inlineStr">
        <is>
          <t>웰리힐리컨트리클럽</t>
        </is>
      </c>
      <c r="D197" s="115" t="inlineStr">
        <is>
          <t>회원제</t>
        </is>
      </c>
      <c r="E197" s="105" t="inlineStr">
        <is>
          <t>강원도 횡성군 둔내면 고원로 451</t>
        </is>
      </c>
      <c r="F197" s="101" t="n">
        <v>36</v>
      </c>
      <c r="G197" s="101">
        <f>F197*4</f>
        <v/>
      </c>
      <c r="H197" s="106" t="n">
        <v>1899828</v>
      </c>
      <c r="I197" s="107" t="inlineStr">
        <is>
          <t>신안종합리조트㈜(민영민)</t>
        </is>
      </c>
      <c r="J197" s="108" t="n"/>
      <c r="K197" s="108" t="n"/>
      <c r="L197" s="108" t="n"/>
      <c r="M197" s="108" t="n"/>
      <c r="N197" s="108" t="n"/>
      <c r="O197" s="108" t="n"/>
      <c r="P197" s="101" t="n"/>
      <c r="Q197" s="109" t="n"/>
      <c r="R197" s="108" t="n"/>
      <c r="S197" s="110" t="inlineStr">
        <is>
          <t>🔲 데이터수집예정</t>
        </is>
      </c>
      <c r="T197" s="136" t="n"/>
      <c r="W197" s="111" t="n"/>
    </row>
    <row r="198" ht="18" customHeight="1" s="97">
      <c r="A198" s="112" t="n">
        <v>196</v>
      </c>
      <c r="B198" s="113" t="inlineStr">
        <is>
          <t>강원</t>
        </is>
      </c>
      <c r="C198" s="122" t="inlineStr">
        <is>
          <t>웰리힐리퍼블릭골프장</t>
        </is>
      </c>
      <c r="D198" s="104" t="inlineStr">
        <is>
          <t>대중제</t>
        </is>
      </c>
      <c r="E198" s="116" t="inlineStr">
        <is>
          <t>강원도 횡성군 둔내면 고원로 451</t>
        </is>
      </c>
      <c r="F198" s="112" t="n">
        <v>10</v>
      </c>
      <c r="G198" s="112">
        <f>F198*4</f>
        <v/>
      </c>
      <c r="H198" s="117" t="n">
        <v>243350</v>
      </c>
      <c r="I198" s="118" t="inlineStr">
        <is>
          <t>신안종합리조트㈜(민영민)</t>
        </is>
      </c>
      <c r="J198" s="108" t="n"/>
      <c r="K198" s="108" t="n"/>
      <c r="L198" s="108" t="n"/>
      <c r="M198" s="108" t="n"/>
      <c r="N198" s="108" t="n"/>
      <c r="O198" s="108" t="n"/>
      <c r="P198" s="112" t="n"/>
      <c r="Q198" s="119" t="n"/>
      <c r="R198" s="108" t="n"/>
      <c r="S198" s="110" t="inlineStr">
        <is>
          <t>🔲 데이터수집예정</t>
        </is>
      </c>
      <c r="T198" s="126" t="n"/>
      <c r="W198" s="121" t="n"/>
    </row>
    <row r="199" ht="18" customHeight="1" s="97">
      <c r="A199" s="101" t="n">
        <v>197</v>
      </c>
      <c r="B199" s="102" t="inlineStr">
        <is>
          <t>강원</t>
        </is>
      </c>
      <c r="C199" s="123" t="inlineStr">
        <is>
          <t>인터불고원주골프클럽</t>
        </is>
      </c>
      <c r="D199" s="104" t="inlineStr">
        <is>
          <t>대중제</t>
        </is>
      </c>
      <c r="E199" s="105" t="inlineStr">
        <is>
          <t>강원도 원주시 동부순환로 200</t>
        </is>
      </c>
      <c r="F199" s="101" t="n">
        <v>9</v>
      </c>
      <c r="G199" s="101">
        <f>F199*4</f>
        <v/>
      </c>
      <c r="H199" s="106" t="n">
        <v>158529</v>
      </c>
      <c r="I199" s="107" t="inlineStr">
        <is>
          <t>㈜호텔인터불고 원주(김삼남)</t>
        </is>
      </c>
      <c r="J199" s="108" t="n"/>
      <c r="K199" s="108" t="n"/>
      <c r="L199" s="108" t="n"/>
      <c r="M199" s="108" t="n"/>
      <c r="N199" s="108" t="n"/>
      <c r="O199" s="108" t="n"/>
      <c r="P199" s="101" t="n"/>
      <c r="Q199" s="109" t="n"/>
      <c r="R199" s="108" t="n"/>
      <c r="S199" s="110" t="inlineStr">
        <is>
          <t>🔲 데이터수집예정</t>
        </is>
      </c>
      <c r="T199" s="136" t="n"/>
      <c r="W199" s="111" t="n"/>
    </row>
    <row r="200" ht="18" customHeight="1" s="97">
      <c r="A200" s="112" t="n">
        <v>198</v>
      </c>
      <c r="B200" s="113" t="inlineStr">
        <is>
          <t>강원</t>
        </is>
      </c>
      <c r="C200" s="122" t="inlineStr">
        <is>
          <t>제이드팰리스 골프클럽</t>
        </is>
      </c>
      <c r="D200" s="115" t="inlineStr">
        <is>
          <t>회원제</t>
        </is>
      </c>
      <c r="E200" s="116" t="inlineStr">
        <is>
          <t>강원도 춘천시 남산면 경춘로 212-30</t>
        </is>
      </c>
      <c r="F200" s="112" t="n">
        <v>18</v>
      </c>
      <c r="G200" s="112">
        <f>F200*4</f>
        <v/>
      </c>
      <c r="H200" s="117" t="n">
        <v>986626</v>
      </c>
      <c r="I200" s="118" t="inlineStr">
        <is>
          <t>한화호텔앤드리조트㈜ (김형조)</t>
        </is>
      </c>
      <c r="J200" s="108" t="n"/>
      <c r="K200" s="108" t="n"/>
      <c r="L200" s="108" t="n"/>
      <c r="M200" s="108" t="n"/>
      <c r="N200" s="108" t="n"/>
      <c r="O200" s="108" t="n"/>
      <c r="P200" s="112" t="n"/>
      <c r="Q200" s="119" t="n"/>
      <c r="R200" s="108" t="n"/>
      <c r="S200" s="110" t="inlineStr">
        <is>
          <t>🔲 데이터수집예정</t>
        </is>
      </c>
      <c r="T200" s="126" t="n"/>
      <c r="W200" s="121" t="n"/>
    </row>
    <row r="201" ht="18" customHeight="1" s="97">
      <c r="A201" s="101" t="n">
        <v>199</v>
      </c>
      <c r="B201" s="102" t="inlineStr">
        <is>
          <t>강원</t>
        </is>
      </c>
      <c r="C201" s="123" t="inlineStr">
        <is>
          <t>클럽모우골프 &amp;라이프스타일</t>
        </is>
      </c>
      <c r="D201" s="104" t="inlineStr">
        <is>
          <t>대중제</t>
        </is>
      </c>
      <c r="E201" s="105" t="inlineStr">
        <is>
          <t>강원도 홍천군 서면 장락동길66번길 51</t>
        </is>
      </c>
      <c r="F201" s="101" t="n">
        <v>27</v>
      </c>
      <c r="G201" s="101">
        <f>F201*4</f>
        <v/>
      </c>
      <c r="H201" s="106" t="n">
        <v>1630602</v>
      </c>
      <c r="I201" s="107" t="inlineStr">
        <is>
          <t>㈜와이에이치레저개발(박윤하)</t>
        </is>
      </c>
      <c r="J201" s="108" t="n"/>
      <c r="K201" s="108" t="n"/>
      <c r="L201" s="108" t="n"/>
      <c r="M201" s="108" t="n"/>
      <c r="N201" s="108" t="n"/>
      <c r="O201" s="108" t="n"/>
      <c r="P201" s="101" t="n"/>
      <c r="Q201" s="109" t="n"/>
      <c r="R201" s="108" t="n"/>
      <c r="S201" s="110" t="inlineStr">
        <is>
          <t>🔲 데이터수집예정</t>
        </is>
      </c>
      <c r="T201" s="136" t="n"/>
      <c r="W201" s="111" t="n"/>
    </row>
    <row r="202" ht="18" customHeight="1" s="97">
      <c r="A202" s="112" t="n">
        <v>200</v>
      </c>
      <c r="B202" s="113" t="inlineStr">
        <is>
          <t>강원</t>
        </is>
      </c>
      <c r="C202" s="122" t="inlineStr">
        <is>
          <t>파가니카컨트리클럽</t>
        </is>
      </c>
      <c r="D202" s="104" t="inlineStr">
        <is>
          <t>대중제</t>
        </is>
      </c>
      <c r="E202" s="116" t="inlineStr">
        <is>
          <t>강원도 춘천시 남면 소주고개로 145-10</t>
        </is>
      </c>
      <c r="F202" s="112" t="n">
        <v>18</v>
      </c>
      <c r="G202" s="112">
        <f>F202*4</f>
        <v/>
      </c>
      <c r="H202" s="117" t="n">
        <v>1033746</v>
      </c>
      <c r="I202" s="118" t="inlineStr">
        <is>
          <t>㈜레저플러스(조태석)</t>
        </is>
      </c>
      <c r="J202" s="108" t="n"/>
      <c r="K202" s="108" t="n"/>
      <c r="L202" s="108" t="n"/>
      <c r="M202" s="108" t="n"/>
      <c r="N202" s="108" t="n"/>
      <c r="O202" s="108" t="n"/>
      <c r="P202" s="112" t="n"/>
      <c r="Q202" s="119" t="n"/>
      <c r="R202" s="108" t="n"/>
      <c r="S202" s="110" t="inlineStr">
        <is>
          <t>🔲 데이터수집예정</t>
        </is>
      </c>
      <c r="T202" s="126" t="inlineStr">
        <is>
          <t>https://www.paganica.co.kr/</t>
        </is>
      </c>
      <c r="U202" s="96" t="n">
        <v>2008</v>
      </c>
      <c r="V202" s="96" t="inlineStr">
        <is>
          <t>033-434-7000</t>
        </is>
      </c>
      <c r="W202" s="121" t="n"/>
    </row>
    <row r="203" ht="18" customHeight="1" s="97">
      <c r="A203" s="101" t="n">
        <v>201</v>
      </c>
      <c r="B203" s="102" t="inlineStr">
        <is>
          <t>강원</t>
        </is>
      </c>
      <c r="C203" s="123" t="inlineStr">
        <is>
          <t>파인리즈컨트리클럽</t>
        </is>
      </c>
      <c r="D203" s="104" t="inlineStr">
        <is>
          <t>대중제</t>
        </is>
      </c>
      <c r="E203" s="105" t="inlineStr">
        <is>
          <t>강원도 고성군 토성면 잼버리동로 267</t>
        </is>
      </c>
      <c r="F203" s="101" t="n">
        <v>27</v>
      </c>
      <c r="G203" s="101">
        <f>F203*4</f>
        <v/>
      </c>
      <c r="H203" s="106" t="n">
        <v>1484811</v>
      </c>
      <c r="I203" s="136" t="inlineStr">
        <is>
          <t>(주)에이치제이매그놀리아 용평파인리즈골프앤리조트(신달순)</t>
        </is>
      </c>
      <c r="J203" s="108" t="n"/>
      <c r="K203" s="108" t="n"/>
      <c r="L203" s="108" t="n"/>
      <c r="M203" s="108" t="n"/>
      <c r="N203" s="108" t="n"/>
      <c r="O203" s="108" t="n"/>
      <c r="P203" s="101" t="n"/>
      <c r="Q203" s="109" t="n"/>
      <c r="R203" s="108" t="n"/>
      <c r="S203" s="110" t="inlineStr">
        <is>
          <t>🔲 데이터수집예정</t>
        </is>
      </c>
      <c r="T203" s="136" t="n"/>
      <c r="W203" s="111" t="n"/>
    </row>
    <row r="204" ht="18" customHeight="1" s="97">
      <c r="A204" s="112" t="n">
        <v>202</v>
      </c>
      <c r="B204" s="113" t="inlineStr">
        <is>
          <t>강원</t>
        </is>
      </c>
      <c r="C204" s="122" t="inlineStr">
        <is>
          <t>파인밸리컨트리클럽</t>
        </is>
      </c>
      <c r="D204" s="104" t="inlineStr">
        <is>
          <t>대중제</t>
        </is>
      </c>
      <c r="E204" s="116" t="inlineStr">
        <is>
          <t>강원도 삼척시 근덕면 미근로 1629</t>
        </is>
      </c>
      <c r="F204" s="112" t="n">
        <v>18</v>
      </c>
      <c r="G204" s="112">
        <f>F204*4</f>
        <v/>
      </c>
      <c r="H204" s="117" t="n">
        <v>969816</v>
      </c>
      <c r="I204" s="118" t="inlineStr">
        <is>
          <t>㈜동양레저(강선)</t>
        </is>
      </c>
      <c r="J204" s="108" t="n"/>
      <c r="K204" s="108" t="n"/>
      <c r="L204" s="108" t="n"/>
      <c r="M204" s="108" t="n"/>
      <c r="N204" s="108" t="n"/>
      <c r="O204" s="108" t="n"/>
      <c r="P204" s="112" t="n"/>
      <c r="Q204" s="119" t="n"/>
      <c r="R204" s="108" t="n"/>
      <c r="S204" s="110" t="inlineStr">
        <is>
          <t>🔲 데이터수집예정</t>
        </is>
      </c>
      <c r="T204" s="126" t="n"/>
      <c r="W204" s="121" t="n"/>
    </row>
    <row r="205" ht="18" customHeight="1" s="97">
      <c r="A205" s="101" t="n">
        <v>203</v>
      </c>
      <c r="B205" s="102" t="inlineStr">
        <is>
          <t>강원</t>
        </is>
      </c>
      <c r="C205" s="123" t="inlineStr">
        <is>
          <t>파크밸리골프클럽</t>
        </is>
      </c>
      <c r="D205" s="104" t="inlineStr">
        <is>
          <t>대중제</t>
        </is>
      </c>
      <c r="E205" s="105" t="inlineStr">
        <is>
          <t>강원도 원주시 소초면 바우실길 281</t>
        </is>
      </c>
      <c r="F205" s="101" t="n">
        <v>18</v>
      </c>
      <c r="G205" s="101">
        <f>F205*4</f>
        <v/>
      </c>
      <c r="H205" s="106" t="n">
        <v>1072958</v>
      </c>
      <c r="I205" s="107" t="inlineStr">
        <is>
          <t>강원레저개발㈜(설경원)</t>
        </is>
      </c>
      <c r="J205" s="108" t="n"/>
      <c r="K205" s="108" t="n"/>
      <c r="L205" s="108" t="n"/>
      <c r="M205" s="108" t="n"/>
      <c r="N205" s="108" t="n"/>
      <c r="O205" s="108" t="n"/>
      <c r="P205" s="101" t="n"/>
      <c r="Q205" s="109" t="n"/>
      <c r="R205" s="108" t="n"/>
      <c r="S205" s="110" t="inlineStr">
        <is>
          <t>🔲 데이터수집예정</t>
        </is>
      </c>
      <c r="T205" s="136" t="n"/>
      <c r="W205" s="111" t="n"/>
    </row>
    <row r="206" ht="18" customHeight="1" s="97">
      <c r="A206" s="112" t="n">
        <v>204</v>
      </c>
      <c r="B206" s="113" t="inlineStr">
        <is>
          <t>강원</t>
        </is>
      </c>
      <c r="C206" s="122" t="inlineStr">
        <is>
          <t>하이원컨트리클럽</t>
        </is>
      </c>
      <c r="D206" s="104" t="inlineStr">
        <is>
          <t>대중제</t>
        </is>
      </c>
      <c r="E206" s="116" t="inlineStr">
        <is>
          <t>강원도 정선군 고한읍 하이원길 265</t>
        </is>
      </c>
      <c r="F206" s="112" t="n">
        <v>18</v>
      </c>
      <c r="G206" s="112">
        <f>F206*4</f>
        <v/>
      </c>
      <c r="H206" s="117" t="n">
        <v>1079662</v>
      </c>
      <c r="I206" s="118" t="inlineStr">
        <is>
          <t>㈜강원랜드(이삼걸)</t>
        </is>
      </c>
      <c r="J206" s="108" t="n"/>
      <c r="K206" s="108" t="n"/>
      <c r="L206" s="108" t="n"/>
      <c r="M206" s="108" t="n"/>
      <c r="N206" s="108" t="n"/>
      <c r="O206" s="108" t="n"/>
      <c r="P206" s="112" t="n"/>
      <c r="Q206" s="119" t="n"/>
      <c r="R206" s="108" t="n"/>
      <c r="S206" s="110" t="inlineStr">
        <is>
          <t>🔲 데이터수집예정</t>
        </is>
      </c>
      <c r="T206" s="126" t="inlineStr">
        <is>
          <t>https://www.high1.com/</t>
        </is>
      </c>
      <c r="U206" s="96" t="n">
        <v>2008</v>
      </c>
      <c r="V206" s="96" t="inlineStr">
        <is>
          <t>1588-7789</t>
        </is>
      </c>
      <c r="W206" s="121" t="n"/>
    </row>
    <row r="207" ht="18" customHeight="1" s="97">
      <c r="A207" s="101" t="n">
        <v>205</v>
      </c>
      <c r="B207" s="102" t="inlineStr">
        <is>
          <t>강원</t>
        </is>
      </c>
      <c r="C207" s="123" t="inlineStr">
        <is>
          <t>한탄강컨트리클럽</t>
        </is>
      </c>
      <c r="D207" s="104" t="inlineStr">
        <is>
          <t>대중제</t>
        </is>
      </c>
      <c r="E207" s="105" t="inlineStr">
        <is>
          <t>강원도 철원군 갈말읍 순담길 59</t>
        </is>
      </c>
      <c r="F207" s="101" t="n">
        <v>18</v>
      </c>
      <c r="G207" s="101">
        <f>F207*4</f>
        <v/>
      </c>
      <c r="H207" s="106" t="n">
        <v>876679</v>
      </c>
      <c r="I207" s="107" t="inlineStr">
        <is>
          <t>㈜귀뚜라미랜드(이의병)</t>
        </is>
      </c>
      <c r="J207" s="108" t="n"/>
      <c r="K207" s="108" t="n"/>
      <c r="L207" s="108" t="n"/>
      <c r="M207" s="108" t="n"/>
      <c r="N207" s="108" t="n"/>
      <c r="O207" s="108" t="n"/>
      <c r="P207" s="101" t="n"/>
      <c r="Q207" s="109" t="n"/>
      <c r="R207" s="108" t="n"/>
      <c r="S207" s="110" t="inlineStr">
        <is>
          <t>🔲 데이터수집예정</t>
        </is>
      </c>
      <c r="T207" s="136" t="n"/>
      <c r="W207" s="111" t="n"/>
    </row>
    <row r="208" ht="18" customHeight="1" s="97">
      <c r="A208" s="112" t="n">
        <v>206</v>
      </c>
      <c r="B208" s="113" t="inlineStr">
        <is>
          <t>강원</t>
        </is>
      </c>
      <c r="C208" s="122" t="inlineStr">
        <is>
          <t>휘닉스 컨트리클럽</t>
        </is>
      </c>
      <c r="D208" s="115" t="inlineStr">
        <is>
          <t>회원제</t>
        </is>
      </c>
      <c r="E208" s="116" t="inlineStr">
        <is>
          <t>강원도 평창군 봉평면 태기로 227-84</t>
        </is>
      </c>
      <c r="F208" s="112" t="n">
        <v>18</v>
      </c>
      <c r="G208" s="112">
        <f>F208*4</f>
        <v/>
      </c>
      <c r="H208" s="117" t="n">
        <v>1058644</v>
      </c>
      <c r="I208" s="118" t="inlineStr">
        <is>
          <t>휘닉스중앙 주식회사(이윤규)</t>
        </is>
      </c>
      <c r="J208" s="108" t="n"/>
      <c r="K208" s="108" t="n"/>
      <c r="L208" s="108" t="n"/>
      <c r="M208" s="108" t="n"/>
      <c r="N208" s="108" t="n"/>
      <c r="O208" s="108" t="n"/>
      <c r="P208" s="112" t="n"/>
      <c r="Q208" s="119" t="n"/>
      <c r="R208" s="108" t="n"/>
      <c r="S208" s="110" t="inlineStr">
        <is>
          <t>🔲 데이터수집예정</t>
        </is>
      </c>
      <c r="T208" s="126" t="n"/>
      <c r="W208" s="121" t="n"/>
    </row>
    <row r="209" ht="18" customHeight="1" s="97">
      <c r="A209" s="101" t="n">
        <v>207</v>
      </c>
      <c r="B209" s="102" t="inlineStr">
        <is>
          <t>강원</t>
        </is>
      </c>
      <c r="C209" s="123" t="inlineStr">
        <is>
          <t>휘슬링락컨트리클럽</t>
        </is>
      </c>
      <c r="D209" s="115" t="inlineStr">
        <is>
          <t>회원제</t>
        </is>
      </c>
      <c r="E209" s="105" t="inlineStr">
        <is>
          <t>강원도 춘천시 남산면 동촌로 501</t>
        </is>
      </c>
      <c r="F209" s="101" t="n">
        <v>27</v>
      </c>
      <c r="G209" s="101">
        <f>F209*4</f>
        <v/>
      </c>
      <c r="H209" s="106" t="n">
        <v>1716158</v>
      </c>
      <c r="I209" s="107" t="inlineStr">
        <is>
          <t>㈜티시스(최창성)</t>
        </is>
      </c>
      <c r="J209" s="108" t="n"/>
      <c r="K209" s="108" t="n"/>
      <c r="L209" s="108" t="n"/>
      <c r="M209" s="108" t="n"/>
      <c r="N209" s="108" t="n"/>
      <c r="O209" s="108" t="n"/>
      <c r="P209" s="101" t="n"/>
      <c r="Q209" s="109" t="n"/>
      <c r="R209" s="108" t="n"/>
      <c r="S209" s="110" t="inlineStr">
        <is>
          <t>🔲 데이터수집예정</t>
        </is>
      </c>
      <c r="T209" s="136" t="inlineStr">
        <is>
          <t>https://www.whistlingrockcc.com/</t>
        </is>
      </c>
      <c r="U209" s="96" t="n">
        <v>2012</v>
      </c>
      <c r="V209" s="96" t="inlineStr">
        <is>
          <t>033-269-2101</t>
        </is>
      </c>
      <c r="W209" s="125" t="n"/>
    </row>
    <row r="210" ht="18" customHeight="1" s="97">
      <c r="A210" s="112" t="n">
        <v>208</v>
      </c>
      <c r="B210" s="113" t="inlineStr">
        <is>
          <t>강원</t>
        </is>
      </c>
      <c r="C210" s="122" t="inlineStr">
        <is>
          <t>힐드로사이컨트리클럽</t>
        </is>
      </c>
      <c r="D210" s="104" t="inlineStr">
        <is>
          <t>대중제</t>
        </is>
      </c>
      <c r="E210" s="116" t="inlineStr">
        <is>
          <t>강원도 홍천군 남면 한서로 2840</t>
        </is>
      </c>
      <c r="F210" s="112" t="n">
        <v>18</v>
      </c>
      <c r="G210" s="112">
        <f>F210*4</f>
        <v/>
      </c>
      <c r="H210" s="117" t="n">
        <v>1031837</v>
      </c>
      <c r="I210" s="118" t="inlineStr">
        <is>
          <t>㈜이지아이아이앤디(황인택)</t>
        </is>
      </c>
      <c r="J210" s="108" t="n"/>
      <c r="K210" s="108" t="n"/>
      <c r="L210" s="108" t="n"/>
      <c r="M210" s="108" t="n"/>
      <c r="N210" s="108" t="n"/>
      <c r="O210" s="108" t="n"/>
      <c r="P210" s="112" t="n"/>
      <c r="Q210" s="119" t="n"/>
      <c r="R210" s="108" t="n"/>
      <c r="S210" s="110" t="inlineStr">
        <is>
          <t>🔲 데이터수집예정</t>
        </is>
      </c>
      <c r="T210" s="126" t="inlineStr">
        <is>
          <t>https://www.hilldeloci.co.kr/</t>
        </is>
      </c>
      <c r="U210" s="96" t="n">
        <v>2010</v>
      </c>
      <c r="V210" s="96" t="inlineStr">
        <is>
          <t>033-439-0000</t>
        </is>
      </c>
      <c r="W210" s="121" t="n"/>
    </row>
    <row r="211" ht="18" customHeight="1" s="97">
      <c r="A211" s="152" t="n">
        <v>209</v>
      </c>
      <c r="B211" s="153" t="inlineStr">
        <is>
          <t>충남</t>
        </is>
      </c>
      <c r="C211" s="163" t="inlineStr">
        <is>
          <t>㈜호텔롯데 스카이힐 부여CC</t>
        </is>
      </c>
      <c r="D211" s="144" t="inlineStr">
        <is>
          <t>대중제</t>
        </is>
      </c>
      <c r="E211" s="155" t="inlineStr">
        <is>
          <t>부여군 규암면 백제문로 470</t>
        </is>
      </c>
      <c r="F211" s="152" t="n">
        <v>18</v>
      </c>
      <c r="G211" s="152">
        <f>F211*4</f>
        <v/>
      </c>
      <c r="H211" s="156" t="n">
        <v>981904</v>
      </c>
      <c r="I211" s="157" t="inlineStr">
        <is>
          <t>㈜호텔롯데</t>
        </is>
      </c>
      <c r="J211" s="148" t="n"/>
      <c r="K211" s="148" t="n"/>
      <c r="L211" s="148" t="n"/>
      <c r="M211" s="148" t="n"/>
      <c r="N211" s="148" t="n"/>
      <c r="O211" s="148" t="n"/>
      <c r="P211" s="152" t="n"/>
      <c r="Q211" s="158" t="n"/>
      <c r="R211" s="148" t="n"/>
      <c r="S211" s="150" t="inlineStr">
        <is>
          <t>🔲 데이터수집예정</t>
        </is>
      </c>
      <c r="T211" s="157" t="n"/>
      <c r="W211" s="159" t="n"/>
    </row>
    <row r="212" ht="18" customHeight="1" s="97">
      <c r="A212" s="112" t="n">
        <v>210</v>
      </c>
      <c r="B212" s="113" t="inlineStr">
        <is>
          <t>충남</t>
        </is>
      </c>
      <c r="C212" s="122" t="inlineStr">
        <is>
          <t>계룡산골프장</t>
        </is>
      </c>
      <c r="D212" s="104" t="inlineStr">
        <is>
          <t>대중제</t>
        </is>
      </c>
      <c r="E212" s="116" t="inlineStr">
        <is>
          <t>공주시 계룡면 아랫난댕이길 17(내흥리)</t>
        </is>
      </c>
      <c r="F212" s="112" t="n">
        <v>9</v>
      </c>
      <c r="G212" s="112">
        <f>F212*4</f>
        <v/>
      </c>
      <c r="H212" s="117" t="n">
        <v>103426</v>
      </c>
      <c r="I212" s="118" t="inlineStr">
        <is>
          <t>계룡산골프장</t>
        </is>
      </c>
      <c r="J212" s="108" t="n"/>
      <c r="K212" s="108" t="n"/>
      <c r="L212" s="108" t="n"/>
      <c r="M212" s="108" t="n"/>
      <c r="N212" s="108" t="n"/>
      <c r="O212" s="108" t="n"/>
      <c r="P212" s="112" t="n"/>
      <c r="Q212" s="119" t="n"/>
      <c r="R212" s="108" t="n"/>
      <c r="S212" s="110" t="inlineStr">
        <is>
          <t>🔲 데이터수집예정</t>
        </is>
      </c>
      <c r="T212" s="126" t="n"/>
      <c r="W212" s="121" t="n"/>
    </row>
    <row r="213" ht="18" customHeight="1" s="97">
      <c r="A213" s="101" t="n">
        <v>211</v>
      </c>
      <c r="B213" s="102" t="inlineStr">
        <is>
          <t>충남</t>
        </is>
      </c>
      <c r="C213" s="123" t="inlineStr">
        <is>
          <t>골드리버CC</t>
        </is>
      </c>
      <c r="D213" s="104" t="inlineStr">
        <is>
          <t>대중제</t>
        </is>
      </c>
      <c r="E213" s="105" t="inlineStr">
        <is>
          <t>공주시 의당면 신정말길 67-133(청룡리)</t>
        </is>
      </c>
      <c r="F213" s="101" t="n">
        <v>9</v>
      </c>
      <c r="G213" s="101">
        <f>F213*4</f>
        <v/>
      </c>
      <c r="H213" s="106" t="n">
        <v>152438</v>
      </c>
      <c r="I213" s="107" t="inlineStr">
        <is>
          <t>㈜웅진</t>
        </is>
      </c>
      <c r="J213" s="108" t="n"/>
      <c r="K213" s="108" t="n"/>
      <c r="L213" s="108" t="n"/>
      <c r="M213" s="108" t="n"/>
      <c r="N213" s="108" t="n"/>
      <c r="O213" s="108" t="n"/>
      <c r="P213" s="101" t="n"/>
      <c r="Q213" s="109" t="n"/>
      <c r="R213" s="108" t="n"/>
      <c r="S213" s="110" t="inlineStr">
        <is>
          <t>🔲 데이터수집예정</t>
        </is>
      </c>
      <c r="T213" s="136" t="n"/>
      <c r="W213" s="111" t="n"/>
    </row>
    <row r="214" ht="18" customHeight="1" s="97">
      <c r="A214" s="112" t="n">
        <v>212</v>
      </c>
      <c r="B214" s="113" t="inlineStr">
        <is>
          <t>충남</t>
        </is>
      </c>
      <c r="C214" s="122" t="inlineStr">
        <is>
          <t>골든베이골프&amp;리조트</t>
        </is>
      </c>
      <c r="D214" s="104" t="inlineStr">
        <is>
          <t>대중제</t>
        </is>
      </c>
      <c r="E214" s="116" t="inlineStr">
        <is>
          <t>태안군 근흥면 정선포로 217</t>
        </is>
      </c>
      <c r="F214" s="112" t="n">
        <v>27</v>
      </c>
      <c r="G214" s="112">
        <f>F214*4</f>
        <v/>
      </c>
      <c r="H214" s="117" t="n">
        <v>1385535</v>
      </c>
      <c r="I214" s="118" t="inlineStr">
        <is>
          <t>㈜셀럽골프앤리조트</t>
        </is>
      </c>
      <c r="J214" s="108" t="n"/>
      <c r="K214" s="108" t="n"/>
      <c r="L214" s="108" t="n"/>
      <c r="M214" s="108" t="n"/>
      <c r="N214" s="108" t="n"/>
      <c r="O214" s="108" t="n"/>
      <c r="P214" s="112" t="n"/>
      <c r="Q214" s="119" t="n"/>
      <c r="R214" s="108" t="n"/>
      <c r="S214" s="110" t="inlineStr">
        <is>
          <t>🔲 데이터수집예정</t>
        </is>
      </c>
      <c r="T214" s="126" t="n"/>
      <c r="W214" s="121" t="n"/>
    </row>
    <row r="215" ht="18" customHeight="1" s="97">
      <c r="A215" s="101" t="n">
        <v>213</v>
      </c>
      <c r="B215" s="102" t="inlineStr">
        <is>
          <t>충남</t>
        </is>
      </c>
      <c r="C215" s="123" t="inlineStr">
        <is>
          <t>골프존카운티 천안</t>
        </is>
      </c>
      <c r="D215" s="104" t="inlineStr">
        <is>
          <t>대중제</t>
        </is>
      </c>
      <c r="E215" s="105" t="inlineStr">
        <is>
          <t>천안시 동남구 병천면 매성2길 103</t>
        </is>
      </c>
      <c r="F215" s="101" t="n">
        <v>18</v>
      </c>
      <c r="G215" s="101">
        <f>F215*4</f>
        <v/>
      </c>
      <c r="H215" s="106" t="n">
        <v>913887</v>
      </c>
      <c r="I215" s="107" t="inlineStr">
        <is>
          <t>㈜지씨천안</t>
        </is>
      </c>
      <c r="J215" s="139" t="n">
        <v>3.9</v>
      </c>
      <c r="K215" s="139" t="n">
        <v>4</v>
      </c>
      <c r="L215" s="139" t="n">
        <v>3.7</v>
      </c>
      <c r="M215" s="128" t="n">
        <v>4.4</v>
      </c>
      <c r="N215" s="139" t="n">
        <v>4.1</v>
      </c>
      <c r="O215" s="140">
        <f>ROUND(AVERAGE(J215:N215),2)</f>
        <v/>
      </c>
      <c r="P215" s="101" t="n">
        <v>121</v>
      </c>
      <c r="Q215" s="109" t="n">
        <v>70.59999999999999</v>
      </c>
      <c r="R215" s="130" t="inlineStr">
        <is>
          <t>중급</t>
        </is>
      </c>
      <c r="S215" s="131" t="inlineStr">
        <is>
          <t>✅ 서비스중</t>
        </is>
      </c>
      <c r="T215" s="138" t="inlineStr">
        <is>
          <t>https://www.golfzoncounty.com</t>
        </is>
      </c>
      <c r="W215" s="111" t="n"/>
    </row>
    <row r="216" ht="18" customHeight="1" s="97">
      <c r="A216" s="112" t="n">
        <v>214</v>
      </c>
      <c r="B216" s="113" t="inlineStr">
        <is>
          <t>충남</t>
        </is>
      </c>
      <c r="C216" s="122" t="inlineStr">
        <is>
          <t>뉴데이컨트리클럽</t>
        </is>
      </c>
      <c r="D216" s="115" t="inlineStr">
        <is>
          <t>회원제</t>
        </is>
      </c>
      <c r="E216" s="116" t="inlineStr">
        <is>
          <t>천안시 동남구 북면 납안5길 74</t>
        </is>
      </c>
      <c r="F216" s="112" t="n">
        <v>18</v>
      </c>
      <c r="G216" s="112">
        <f>F216*4</f>
        <v/>
      </c>
      <c r="H216" s="117" t="n">
        <v>1027365</v>
      </c>
      <c r="I216" s="118" t="inlineStr">
        <is>
          <t>㈜마론</t>
        </is>
      </c>
      <c r="J216" s="108" t="n"/>
      <c r="K216" s="108" t="n"/>
      <c r="L216" s="108" t="n"/>
      <c r="M216" s="108" t="n"/>
      <c r="N216" s="108" t="n"/>
      <c r="O216" s="108" t="n"/>
      <c r="P216" s="112" t="n"/>
      <c r="Q216" s="119" t="n"/>
      <c r="R216" s="108" t="n"/>
      <c r="S216" s="110" t="inlineStr">
        <is>
          <t>🔲 데이터수집예정</t>
        </is>
      </c>
      <c r="T216" s="126" t="n"/>
      <c r="W216" s="121" t="n"/>
    </row>
    <row r="217" ht="18" customHeight="1" s="97">
      <c r="A217" s="101" t="n">
        <v>215</v>
      </c>
      <c r="B217" s="102" t="inlineStr">
        <is>
          <t>충남</t>
        </is>
      </c>
      <c r="C217" s="123" t="inlineStr">
        <is>
          <t>더힐 컨트리클럽</t>
        </is>
      </c>
      <c r="D217" s="104" t="inlineStr">
        <is>
          <t>대중제</t>
        </is>
      </c>
      <c r="E217" s="105" t="inlineStr">
        <is>
          <t>논산시 상월면 선비로 1079</t>
        </is>
      </c>
      <c r="F217" s="101" t="n">
        <v>9</v>
      </c>
      <c r="G217" s="101">
        <f>F217*4</f>
        <v/>
      </c>
      <c r="H217" s="106" t="n">
        <v>247641</v>
      </c>
      <c r="I217" s="107" t="inlineStr">
        <is>
          <t>㈜일상</t>
        </is>
      </c>
      <c r="J217" s="108" t="n"/>
      <c r="K217" s="108" t="n"/>
      <c r="L217" s="108" t="n"/>
      <c r="M217" s="108" t="n"/>
      <c r="N217" s="108" t="n"/>
      <c r="O217" s="108" t="n"/>
      <c r="P217" s="101" t="n"/>
      <c r="Q217" s="109" t="n"/>
      <c r="R217" s="108" t="n"/>
      <c r="S217" s="110" t="inlineStr">
        <is>
          <t>🔲 데이터수집예정</t>
        </is>
      </c>
      <c r="T217" s="136" t="n"/>
      <c r="W217" s="111" t="n"/>
    </row>
    <row r="218" ht="18" customHeight="1" s="97">
      <c r="A218" s="112" t="n">
        <v>216</v>
      </c>
      <c r="B218" s="113" t="inlineStr">
        <is>
          <t>충남</t>
        </is>
      </c>
      <c r="C218" s="122" t="inlineStr">
        <is>
          <t>도고컨트리구락부</t>
        </is>
      </c>
      <c r="D218" s="115" t="inlineStr">
        <is>
          <t>회원제</t>
        </is>
      </c>
      <c r="E218" s="116" t="inlineStr">
        <is>
          <t>아산시 선장면 삼봉산길 188</t>
        </is>
      </c>
      <c r="F218" s="112" t="n">
        <v>18</v>
      </c>
      <c r="G218" s="112">
        <f>F218*4</f>
        <v/>
      </c>
      <c r="H218" s="117" t="n">
        <v>904536</v>
      </c>
      <c r="I218" s="118" t="inlineStr">
        <is>
          <t>㈜도고칸추리크럽</t>
        </is>
      </c>
      <c r="J218" s="108" t="n"/>
      <c r="K218" s="108" t="n"/>
      <c r="L218" s="108" t="n"/>
      <c r="M218" s="108" t="n"/>
      <c r="N218" s="108" t="n"/>
      <c r="O218" s="108" t="n"/>
      <c r="P218" s="112" t="n"/>
      <c r="Q218" s="119" t="n"/>
      <c r="R218" s="108" t="n"/>
      <c r="S218" s="110" t="inlineStr">
        <is>
          <t>🔲 데이터수집예정</t>
        </is>
      </c>
      <c r="T218" s="126" t="n"/>
      <c r="W218" s="121" t="n"/>
    </row>
    <row r="219" ht="18" customHeight="1" s="97">
      <c r="A219" s="101" t="n">
        <v>217</v>
      </c>
      <c r="B219" s="102" t="inlineStr">
        <is>
          <t>충남</t>
        </is>
      </c>
      <c r="C219" s="123" t="inlineStr">
        <is>
          <t>로얄링스1</t>
        </is>
      </c>
      <c r="D219" s="104" t="inlineStr">
        <is>
          <t>대중제</t>
        </is>
      </c>
      <c r="E219" s="105" t="inlineStr">
        <is>
          <t>태안군 태안읍 반곡길 284</t>
        </is>
      </c>
      <c r="F219" s="101" t="n">
        <v>18</v>
      </c>
      <c r="G219" s="101">
        <f>F219*4</f>
        <v/>
      </c>
      <c r="H219" s="106" t="n">
        <v>707220</v>
      </c>
      <c r="I219" s="107" t="inlineStr">
        <is>
          <t>로얄링스㈜</t>
        </is>
      </c>
      <c r="J219" s="108" t="n"/>
      <c r="K219" s="108" t="n"/>
      <c r="L219" s="108" t="n"/>
      <c r="M219" s="108" t="n"/>
      <c r="N219" s="108" t="n"/>
      <c r="O219" s="108" t="n"/>
      <c r="P219" s="101" t="n"/>
      <c r="Q219" s="109" t="n"/>
      <c r="R219" s="108" t="n"/>
      <c r="S219" s="110" t="inlineStr">
        <is>
          <t>🔲 데이터수집예정</t>
        </is>
      </c>
      <c r="T219" s="136" t="n"/>
      <c r="W219" s="111" t="n"/>
    </row>
    <row r="220" ht="18" customHeight="1" s="97">
      <c r="A220" s="112" t="n">
        <v>218</v>
      </c>
      <c r="B220" s="113" t="inlineStr">
        <is>
          <t>충남</t>
        </is>
      </c>
      <c r="C220" s="122" t="inlineStr">
        <is>
          <t>로얄링스2</t>
        </is>
      </c>
      <c r="D220" s="104" t="inlineStr">
        <is>
          <t>대중제</t>
        </is>
      </c>
      <c r="E220" s="116" t="inlineStr">
        <is>
          <t>태안군 태안읍 반곡길 284</t>
        </is>
      </c>
      <c r="F220" s="112" t="n">
        <v>18</v>
      </c>
      <c r="G220" s="112">
        <f>F220*4</f>
        <v/>
      </c>
      <c r="H220" s="117" t="n">
        <v>714790</v>
      </c>
      <c r="I220" s="118" t="inlineStr">
        <is>
          <t>로얄링스㈜</t>
        </is>
      </c>
      <c r="J220" s="108" t="n"/>
      <c r="K220" s="108" t="n"/>
      <c r="L220" s="108" t="n"/>
      <c r="M220" s="108" t="n"/>
      <c r="N220" s="108" t="n"/>
      <c r="O220" s="108" t="n"/>
      <c r="P220" s="112" t="n"/>
      <c r="Q220" s="119" t="n"/>
      <c r="R220" s="108" t="n"/>
      <c r="S220" s="110" t="inlineStr">
        <is>
          <t>🔲 데이터수집예정</t>
        </is>
      </c>
      <c r="T220" s="126" t="n"/>
      <c r="W220" s="121" t="n"/>
    </row>
    <row r="221" ht="18" customHeight="1" s="97">
      <c r="A221" s="101" t="n">
        <v>219</v>
      </c>
      <c r="B221" s="102" t="inlineStr">
        <is>
          <t>충남</t>
        </is>
      </c>
      <c r="C221" s="123" t="inlineStr">
        <is>
          <t>백제컨트리클럽</t>
        </is>
      </c>
      <c r="D221" s="104" t="inlineStr">
        <is>
          <t>대중제</t>
        </is>
      </c>
      <c r="E221" s="105" t="inlineStr">
        <is>
          <t>부여군 은산면 충절로 3734-82</t>
        </is>
      </c>
      <c r="F221" s="101" t="n">
        <v>27</v>
      </c>
      <c r="G221" s="101">
        <f>F221*4</f>
        <v/>
      </c>
      <c r="H221" s="106" t="n">
        <v>1459801</v>
      </c>
      <c r="I221" s="107" t="inlineStr">
        <is>
          <t>백제컨트리클럽㈜</t>
        </is>
      </c>
      <c r="J221" s="108" t="n"/>
      <c r="K221" s="108" t="n"/>
      <c r="L221" s="108" t="n"/>
      <c r="M221" s="108" t="n"/>
      <c r="N221" s="108" t="n"/>
      <c r="O221" s="108" t="n"/>
      <c r="P221" s="101" t="n"/>
      <c r="Q221" s="109" t="n"/>
      <c r="R221" s="108" t="n"/>
      <c r="S221" s="110" t="inlineStr">
        <is>
          <t>🔲 데이터수집예정</t>
        </is>
      </c>
      <c r="T221" s="136" t="n"/>
      <c r="W221" s="111" t="n"/>
    </row>
    <row r="222" ht="18" customHeight="1" s="97">
      <c r="A222" s="112" t="n">
        <v>220</v>
      </c>
      <c r="B222" s="113" t="inlineStr">
        <is>
          <t>충남</t>
        </is>
      </c>
      <c r="C222" s="122" t="inlineStr">
        <is>
          <t>보령베이스CC</t>
        </is>
      </c>
      <c r="D222" s="104" t="inlineStr">
        <is>
          <t>대중제</t>
        </is>
      </c>
      <c r="E222" s="116" t="inlineStr">
        <is>
          <t>보령시 옥마벚길 10</t>
        </is>
      </c>
      <c r="F222" s="112" t="n">
        <v>9</v>
      </c>
      <c r="G222" s="112">
        <f>F222*4</f>
        <v/>
      </c>
      <c r="H222" s="117" t="n">
        <v>350420</v>
      </c>
      <c r="I222" s="118" t="inlineStr">
        <is>
          <t>㈜대천리조트</t>
        </is>
      </c>
      <c r="J222" s="108" t="n"/>
      <c r="K222" s="108" t="n"/>
      <c r="L222" s="108" t="n"/>
      <c r="M222" s="108" t="n"/>
      <c r="N222" s="108" t="n"/>
      <c r="O222" s="108" t="n"/>
      <c r="P222" s="112" t="n"/>
      <c r="Q222" s="119" t="n"/>
      <c r="R222" s="108" t="n"/>
      <c r="S222" s="110" t="inlineStr">
        <is>
          <t>🔲 데이터수집예정</t>
        </is>
      </c>
      <c r="T222" s="126" t="n"/>
      <c r="W222" s="121" t="n"/>
    </row>
    <row r="223" ht="18" customHeight="1" s="97">
      <c r="A223" s="101" t="n">
        <v>221</v>
      </c>
      <c r="B223" s="102" t="inlineStr">
        <is>
          <t>충남</t>
        </is>
      </c>
      <c r="C223" s="123" t="inlineStr">
        <is>
          <t>서산수 골프앤리조트</t>
        </is>
      </c>
      <c r="D223" s="104" t="inlineStr">
        <is>
          <t>대중제</t>
        </is>
      </c>
      <c r="E223" s="105" t="inlineStr">
        <is>
          <t>서산시 대산읍 삼길포7로 8</t>
        </is>
      </c>
      <c r="F223" s="101" t="n">
        <v>18</v>
      </c>
      <c r="G223" s="101">
        <f>F223*4</f>
        <v/>
      </c>
      <c r="H223" s="106" t="n">
        <v>955691</v>
      </c>
      <c r="I223" s="107" t="inlineStr">
        <is>
          <t>서산수골프앤리조트</t>
        </is>
      </c>
      <c r="J223" s="108" t="n"/>
      <c r="K223" s="108" t="n"/>
      <c r="L223" s="108" t="n"/>
      <c r="M223" s="108" t="n"/>
      <c r="N223" s="108" t="n"/>
      <c r="O223" s="108" t="n"/>
      <c r="P223" s="101" t="n"/>
      <c r="Q223" s="109" t="n"/>
      <c r="R223" s="108" t="n"/>
      <c r="S223" s="110" t="inlineStr">
        <is>
          <t>🔲 데이터수집예정</t>
        </is>
      </c>
      <c r="T223" s="136" t="n"/>
      <c r="W223" s="111" t="n"/>
    </row>
    <row r="224" ht="18" customHeight="1" s="97">
      <c r="A224" s="112" t="n">
        <v>222</v>
      </c>
      <c r="B224" s="113" t="inlineStr">
        <is>
          <t>충남</t>
        </is>
      </c>
      <c r="C224" s="122" t="inlineStr">
        <is>
          <t>솔라고CC1</t>
        </is>
      </c>
      <c r="D224" s="104" t="inlineStr">
        <is>
          <t>대중제</t>
        </is>
      </c>
      <c r="E224" s="116" t="inlineStr">
        <is>
          <t>태안군 태안읍 소곳이길 92-234</t>
        </is>
      </c>
      <c r="F224" s="112" t="n">
        <v>18</v>
      </c>
      <c r="G224" s="112">
        <f>F224*4</f>
        <v/>
      </c>
      <c r="H224" s="117" t="n">
        <v>720400</v>
      </c>
      <c r="I224" s="118" t="inlineStr">
        <is>
          <t>㈜현대도시개발 일진레저㈜</t>
        </is>
      </c>
      <c r="J224" s="108" t="n"/>
      <c r="K224" s="108" t="n"/>
      <c r="L224" s="108" t="n"/>
      <c r="M224" s="108" t="n"/>
      <c r="N224" s="108" t="n"/>
      <c r="O224" s="108" t="n"/>
      <c r="P224" s="112" t="n"/>
      <c r="Q224" s="119" t="n"/>
      <c r="R224" s="108" t="n"/>
      <c r="S224" s="110" t="inlineStr">
        <is>
          <t>🔲 데이터수집예정</t>
        </is>
      </c>
      <c r="T224" s="126" t="n"/>
      <c r="W224" s="121" t="n"/>
    </row>
    <row r="225" ht="18" customHeight="1" s="97">
      <c r="A225" s="101" t="n">
        <v>223</v>
      </c>
      <c r="B225" s="102" t="inlineStr">
        <is>
          <t>충남</t>
        </is>
      </c>
      <c r="C225" s="123" t="inlineStr">
        <is>
          <t>솔라고CC2</t>
        </is>
      </c>
      <c r="D225" s="104" t="inlineStr">
        <is>
          <t>대중제</t>
        </is>
      </c>
      <c r="E225" s="105" t="inlineStr">
        <is>
          <t>태안군 태안읍 소곳이길 92-234</t>
        </is>
      </c>
      <c r="F225" s="101" t="n">
        <v>18</v>
      </c>
      <c r="G225" s="101">
        <f>F225*4</f>
        <v/>
      </c>
      <c r="H225" s="106" t="n">
        <v>843860</v>
      </c>
      <c r="I225" s="107" t="inlineStr">
        <is>
          <t>㈜현대도시개발 일진레저㈜</t>
        </is>
      </c>
      <c r="J225" s="108" t="n"/>
      <c r="K225" s="108" t="n"/>
      <c r="L225" s="108" t="n"/>
      <c r="M225" s="108" t="n"/>
      <c r="N225" s="108" t="n"/>
      <c r="O225" s="108" t="n"/>
      <c r="P225" s="101" t="n"/>
      <c r="Q225" s="109" t="n"/>
      <c r="R225" s="108" t="n"/>
      <c r="S225" s="110" t="inlineStr">
        <is>
          <t>🔲 데이터수집예정</t>
        </is>
      </c>
      <c r="T225" s="136" t="n"/>
      <c r="W225" s="111" t="n"/>
    </row>
    <row r="226" ht="18" customHeight="1" s="97">
      <c r="A226" s="112" t="n">
        <v>224</v>
      </c>
      <c r="B226" s="113" t="inlineStr">
        <is>
          <t>충남</t>
        </is>
      </c>
      <c r="C226" s="122" t="inlineStr">
        <is>
          <t>스톤비치컨트리클럽</t>
        </is>
      </c>
      <c r="D226" s="104" t="inlineStr">
        <is>
          <t>대중제</t>
        </is>
      </c>
      <c r="E226" s="116" t="inlineStr">
        <is>
          <t>태안군 근흥면 갈음이길 88</t>
        </is>
      </c>
      <c r="F226" s="112" t="n">
        <v>18</v>
      </c>
      <c r="G226" s="112">
        <f>F226*4</f>
        <v/>
      </c>
      <c r="H226" s="117" t="n">
        <v>523948</v>
      </c>
      <c r="I226" s="118" t="inlineStr">
        <is>
          <t>㈜스톤비치</t>
        </is>
      </c>
      <c r="J226" s="108" t="n"/>
      <c r="K226" s="108" t="n"/>
      <c r="L226" s="108" t="n"/>
      <c r="M226" s="108" t="n"/>
      <c r="N226" s="108" t="n"/>
      <c r="O226" s="108" t="n"/>
      <c r="P226" s="112" t="n"/>
      <c r="Q226" s="119" t="n"/>
      <c r="R226" s="108" t="n"/>
      <c r="S226" s="110" t="inlineStr">
        <is>
          <t>🔲 데이터수집예정</t>
        </is>
      </c>
      <c r="T226" s="126" t="n"/>
      <c r="W226" s="121" t="n"/>
    </row>
    <row r="227" ht="18" customHeight="1" s="97">
      <c r="A227" s="101" t="n">
        <v>225</v>
      </c>
      <c r="B227" s="102" t="inlineStr">
        <is>
          <t>충남</t>
        </is>
      </c>
      <c r="C227" s="123" t="inlineStr">
        <is>
          <t>아리스타 CC</t>
        </is>
      </c>
      <c r="D227" s="104" t="inlineStr">
        <is>
          <t>대중제</t>
        </is>
      </c>
      <c r="E227" s="105" t="inlineStr">
        <is>
          <t>연무읍 황화정리 산100</t>
        </is>
      </c>
      <c r="F227" s="101" t="n">
        <v>18</v>
      </c>
      <c r="G227" s="101">
        <f>F227*4</f>
        <v/>
      </c>
      <c r="H227" s="106" t="n">
        <v>898530</v>
      </c>
      <c r="I227" s="107" t="inlineStr">
        <is>
          <t>대양레져산업개발㈜</t>
        </is>
      </c>
      <c r="J227" s="108" t="n"/>
      <c r="K227" s="108" t="n"/>
      <c r="L227" s="108" t="n"/>
      <c r="M227" s="108" t="n"/>
      <c r="N227" s="108" t="n"/>
      <c r="O227" s="108" t="n"/>
      <c r="P227" s="101" t="n"/>
      <c r="Q227" s="109" t="n"/>
      <c r="R227" s="108" t="n"/>
      <c r="S227" s="110" t="inlineStr">
        <is>
          <t>🔲 데이터수집예정</t>
        </is>
      </c>
      <c r="T227" s="136" t="n"/>
      <c r="W227" s="111" t="n"/>
    </row>
    <row r="228" ht="18" customHeight="1" s="97">
      <c r="A228" s="112" t="n">
        <v>226</v>
      </c>
      <c r="B228" s="113" t="inlineStr">
        <is>
          <t>충남</t>
        </is>
      </c>
      <c r="C228" s="122" t="inlineStr">
        <is>
          <t>에딘버러 컨트리클럽</t>
        </is>
      </c>
      <c r="D228" s="115" t="inlineStr">
        <is>
          <t>회원제</t>
        </is>
      </c>
      <c r="E228" s="116" t="inlineStr">
        <is>
          <t>금산군 진산면 살구정길 167</t>
        </is>
      </c>
      <c r="F228" s="112" t="n">
        <v>18</v>
      </c>
      <c r="G228" s="112">
        <f>F228*4</f>
        <v/>
      </c>
      <c r="H228" s="117" t="n">
        <v>1024690</v>
      </c>
      <c r="I228" s="126" t="inlineStr">
        <is>
          <t>(주)부토</t>
        </is>
      </c>
      <c r="J228" s="108" t="n"/>
      <c r="K228" s="108" t="n"/>
      <c r="L228" s="108" t="n"/>
      <c r="M228" s="108" t="n"/>
      <c r="N228" s="108" t="n"/>
      <c r="O228" s="108" t="n"/>
      <c r="P228" s="112" t="n"/>
      <c r="Q228" s="119" t="n"/>
      <c r="R228" s="108" t="n"/>
      <c r="S228" s="110" t="inlineStr">
        <is>
          <t>🔲 데이터수집예정</t>
        </is>
      </c>
      <c r="T228" s="126" t="n"/>
      <c r="W228" s="121" t="n"/>
    </row>
    <row r="229" ht="18" customHeight="1" s="97">
      <c r="A229" s="101" t="n">
        <v>227</v>
      </c>
      <c r="B229" s="102" t="inlineStr">
        <is>
          <t>충남</t>
        </is>
      </c>
      <c r="C229" s="123" t="inlineStr">
        <is>
          <t>에스앤 골프리조트</t>
        </is>
      </c>
      <c r="D229" s="104" t="inlineStr">
        <is>
          <t>대중제</t>
        </is>
      </c>
      <c r="E229" s="105" t="inlineStr">
        <is>
          <t>보령시 남포면 양항리 650-2</t>
        </is>
      </c>
      <c r="F229" s="101" t="n">
        <v>9</v>
      </c>
      <c r="G229" s="101">
        <f>F229*4</f>
        <v/>
      </c>
      <c r="H229" s="106" t="n">
        <v>205503</v>
      </c>
      <c r="I229" s="107" t="inlineStr">
        <is>
          <t>㈜에스앤골프리조트</t>
        </is>
      </c>
      <c r="J229" s="108" t="n"/>
      <c r="K229" s="108" t="n"/>
      <c r="L229" s="108" t="n"/>
      <c r="M229" s="108" t="n"/>
      <c r="N229" s="108" t="n"/>
      <c r="O229" s="108" t="n"/>
      <c r="P229" s="101" t="n"/>
      <c r="Q229" s="109" t="n"/>
      <c r="R229" s="108" t="n"/>
      <c r="S229" s="110" t="inlineStr">
        <is>
          <t>🔲 데이터수집예정</t>
        </is>
      </c>
      <c r="T229" s="136" t="n"/>
      <c r="W229" s="111" t="n"/>
    </row>
    <row r="230" ht="18" customHeight="1" s="97">
      <c r="A230" s="112" t="n">
        <v>228</v>
      </c>
      <c r="B230" s="113" t="inlineStr">
        <is>
          <t>충남</t>
        </is>
      </c>
      <c r="C230" s="122" t="inlineStr">
        <is>
          <t>에스지아름다운골프&amp;리조트</t>
        </is>
      </c>
      <c r="D230" s="104" t="inlineStr">
        <is>
          <t>대중제</t>
        </is>
      </c>
      <c r="E230" s="116" t="inlineStr">
        <is>
          <t>아산시 영인면 영인산로 440</t>
        </is>
      </c>
      <c r="F230" s="112" t="n">
        <v>27</v>
      </c>
      <c r="G230" s="112">
        <f>F230*4</f>
        <v/>
      </c>
      <c r="H230" s="117" t="n">
        <v>1648880</v>
      </c>
      <c r="I230" s="118" t="inlineStr">
        <is>
          <t>㈜단톡</t>
        </is>
      </c>
      <c r="J230" s="108" t="n"/>
      <c r="K230" s="108" t="n"/>
      <c r="L230" s="108" t="n"/>
      <c r="M230" s="108" t="n"/>
      <c r="N230" s="108" t="n"/>
      <c r="O230" s="108" t="n"/>
      <c r="P230" s="112" t="n"/>
      <c r="Q230" s="119" t="n"/>
      <c r="R230" s="108" t="n"/>
      <c r="S230" s="110" t="inlineStr">
        <is>
          <t>🔲 데이터수집예정</t>
        </is>
      </c>
      <c r="T230" s="126" t="n"/>
      <c r="W230" s="121" t="n"/>
    </row>
    <row r="231" ht="18" customHeight="1" s="97">
      <c r="A231" s="101" t="n">
        <v>229</v>
      </c>
      <c r="B231" s="102" t="inlineStr">
        <is>
          <t>충남</t>
        </is>
      </c>
      <c r="C231" s="123" t="inlineStr">
        <is>
          <t>우정힐스 컨트리클럽</t>
        </is>
      </c>
      <c r="D231" s="115" t="inlineStr">
        <is>
          <t>회원제</t>
        </is>
      </c>
      <c r="E231" s="105" t="inlineStr">
        <is>
          <t>천안시 동남구 목천읍 충정로 1048-68</t>
        </is>
      </c>
      <c r="F231" s="101" t="n">
        <v>18</v>
      </c>
      <c r="G231" s="101">
        <f>F231*4</f>
        <v/>
      </c>
      <c r="H231" s="106" t="n">
        <v>1049767</v>
      </c>
      <c r="I231" s="107" t="inlineStr">
        <is>
          <t>그린나래㈜</t>
        </is>
      </c>
      <c r="J231" s="108" t="n"/>
      <c r="K231" s="108" t="n"/>
      <c r="L231" s="108" t="n"/>
      <c r="M231" s="108" t="n"/>
      <c r="N231" s="108" t="n"/>
      <c r="O231" s="108" t="n"/>
      <c r="P231" s="101" t="n"/>
      <c r="Q231" s="109" t="n"/>
      <c r="R231" s="108" t="n"/>
      <c r="S231" s="110" t="inlineStr">
        <is>
          <t>🔲 데이터수집예정</t>
        </is>
      </c>
      <c r="T231" s="136" t="inlineStr">
        <is>
          <t>https://www.woojunghills.com/</t>
        </is>
      </c>
      <c r="U231" s="96" t="n">
        <v>1996</v>
      </c>
      <c r="V231" s="96" t="inlineStr">
        <is>
          <t>041-520-5000</t>
        </is>
      </c>
      <c r="W231" s="125" t="n"/>
    </row>
    <row r="232" ht="18" customHeight="1" s="97">
      <c r="A232" s="112" t="n">
        <v>230</v>
      </c>
      <c r="B232" s="113" t="inlineStr">
        <is>
          <t>충남</t>
        </is>
      </c>
      <c r="C232" s="122" t="inlineStr">
        <is>
          <t>천안상록골프장</t>
        </is>
      </c>
      <c r="D232" s="104" t="inlineStr">
        <is>
          <t>대중제</t>
        </is>
      </c>
      <c r="E232" s="116" t="inlineStr">
        <is>
          <t>천안시 동남구 수신면 수신로 576</t>
        </is>
      </c>
      <c r="F232" s="112" t="n">
        <v>27</v>
      </c>
      <c r="G232" s="112">
        <f>F232*4</f>
        <v/>
      </c>
      <c r="H232" s="117" t="n">
        <v>1314137</v>
      </c>
      <c r="I232" s="118" t="inlineStr">
        <is>
          <t>공무원연금관리공단</t>
        </is>
      </c>
      <c r="J232" s="108" t="n"/>
      <c r="K232" s="108" t="n"/>
      <c r="L232" s="108" t="n"/>
      <c r="M232" s="108" t="n"/>
      <c r="N232" s="108" t="n"/>
      <c r="O232" s="108" t="n"/>
      <c r="P232" s="112" t="n"/>
      <c r="Q232" s="119" t="n"/>
      <c r="R232" s="108" t="n"/>
      <c r="S232" s="110" t="inlineStr">
        <is>
          <t>🔲 데이터수집예정</t>
        </is>
      </c>
      <c r="T232" s="126" t="n"/>
      <c r="W232" s="121" t="n"/>
    </row>
    <row r="233" ht="18" customHeight="1" s="97">
      <c r="A233" s="101" t="n">
        <v>231</v>
      </c>
      <c r="B233" s="102" t="inlineStr">
        <is>
          <t>충남</t>
        </is>
      </c>
      <c r="C233" s="123" t="inlineStr">
        <is>
          <t>파나시아 골프클럽</t>
        </is>
      </c>
      <c r="D233" s="104" t="inlineStr">
        <is>
          <t>대중제</t>
        </is>
      </c>
      <c r="E233" s="105" t="inlineStr">
        <is>
          <t>당진시 신평면 계명길 33</t>
        </is>
      </c>
      <c r="F233" s="101" t="n">
        <v>9</v>
      </c>
      <c r="G233" s="101">
        <f>F233*4</f>
        <v/>
      </c>
      <c r="H233" s="106" t="n">
        <v>387448</v>
      </c>
      <c r="I233" s="107" t="inlineStr">
        <is>
          <t>만진집단㈜</t>
        </is>
      </c>
      <c r="J233" s="108" t="n"/>
      <c r="K233" s="108" t="n"/>
      <c r="L233" s="108" t="n"/>
      <c r="M233" s="108" t="n"/>
      <c r="N233" s="108" t="n"/>
      <c r="O233" s="108" t="n"/>
      <c r="P233" s="101" t="n"/>
      <c r="Q233" s="109" t="n"/>
      <c r="R233" s="108" t="n"/>
      <c r="S233" s="110" t="inlineStr">
        <is>
          <t>🔲 데이터수집예정</t>
        </is>
      </c>
      <c r="T233" s="136" t="n"/>
      <c r="W233" s="111" t="n"/>
    </row>
    <row r="234" ht="18" customHeight="1" s="97">
      <c r="A234" s="112" t="n">
        <v>232</v>
      </c>
      <c r="B234" s="113" t="inlineStr">
        <is>
          <t>충남</t>
        </is>
      </c>
      <c r="C234" s="122" t="inlineStr">
        <is>
          <t>파인스톤 컨트리클럽</t>
        </is>
      </c>
      <c r="D234" s="104" t="inlineStr">
        <is>
          <t>대중제</t>
        </is>
      </c>
      <c r="E234" s="116" t="inlineStr">
        <is>
          <t>당진시 송산면 무수들길 90</t>
        </is>
      </c>
      <c r="F234" s="112" t="n">
        <v>18</v>
      </c>
      <c r="G234" s="112">
        <f>F234*4</f>
        <v/>
      </c>
      <c r="H234" s="117" t="n">
        <v>686891</v>
      </c>
      <c r="I234" s="118" t="inlineStr">
        <is>
          <t>㈜동양관광레저</t>
        </is>
      </c>
      <c r="J234" s="108" t="n"/>
      <c r="K234" s="108" t="n"/>
      <c r="L234" s="108" t="n"/>
      <c r="M234" s="108" t="n"/>
      <c r="N234" s="108" t="n"/>
      <c r="O234" s="108" t="n"/>
      <c r="P234" s="112" t="n"/>
      <c r="Q234" s="119" t="n"/>
      <c r="R234" s="108" t="n"/>
      <c r="S234" s="110" t="inlineStr">
        <is>
          <t>🔲 데이터수집예정</t>
        </is>
      </c>
      <c r="T234" s="126" t="n"/>
      <c r="W234" s="121" t="n"/>
    </row>
    <row r="235" ht="18" customHeight="1" s="97">
      <c r="A235" s="101" t="n">
        <v>233</v>
      </c>
      <c r="B235" s="102" t="inlineStr">
        <is>
          <t>충남</t>
        </is>
      </c>
      <c r="C235" s="123" t="inlineStr">
        <is>
          <t>프린세스 골프클럽</t>
        </is>
      </c>
      <c r="D235" s="104" t="inlineStr">
        <is>
          <t>대중제</t>
        </is>
      </c>
      <c r="E235" s="105" t="inlineStr">
        <is>
          <t>공주시 정안면 방자들길 81-50(인풍리)</t>
        </is>
      </c>
      <c r="F235" s="101" t="n">
        <v>18</v>
      </c>
      <c r="G235" s="101">
        <f>F235*4</f>
        <v/>
      </c>
      <c r="H235" s="106" t="n">
        <v>751706</v>
      </c>
      <c r="I235" s="107" t="inlineStr">
        <is>
          <t>공주개발(주)</t>
        </is>
      </c>
      <c r="J235" s="108" t="n"/>
      <c r="K235" s="108" t="n"/>
      <c r="L235" s="108" t="n"/>
      <c r="M235" s="108" t="n"/>
      <c r="N235" s="108" t="n"/>
      <c r="O235" s="108" t="n"/>
      <c r="P235" s="101" t="n"/>
      <c r="Q235" s="109" t="n"/>
      <c r="R235" s="108" t="n"/>
      <c r="S235" s="110" t="inlineStr">
        <is>
          <t>🔲 데이터수집예정</t>
        </is>
      </c>
      <c r="T235" s="136" t="n"/>
      <c r="W235" s="111" t="n"/>
    </row>
    <row r="236" ht="18" customHeight="1" s="97">
      <c r="A236" s="141" t="n">
        <v>234</v>
      </c>
      <c r="B236" s="142" t="inlineStr">
        <is>
          <t>충북</t>
        </is>
      </c>
      <c r="C236" s="143" t="inlineStr">
        <is>
          <t>감곡cc</t>
        </is>
      </c>
      <c r="D236" s="144" t="inlineStr">
        <is>
          <t>대중제</t>
        </is>
      </c>
      <c r="E236" s="145" t="inlineStr">
        <is>
          <t>음성군 감곡면 문촌리 산81-6</t>
        </is>
      </c>
      <c r="F236" s="141" t="n">
        <v>18</v>
      </c>
      <c r="G236" s="141">
        <f>F236*4</f>
        <v/>
      </c>
      <c r="H236" s="146" t="n">
        <v>1023114</v>
      </c>
      <c r="I236" s="147" t="inlineStr">
        <is>
          <t>캠토㈜심천보</t>
        </is>
      </c>
      <c r="J236" s="148" t="n"/>
      <c r="K236" s="148" t="n"/>
      <c r="L236" s="148" t="n"/>
      <c r="M236" s="148" t="n"/>
      <c r="N236" s="148" t="n"/>
      <c r="O236" s="148" t="n"/>
      <c r="P236" s="141" t="n"/>
      <c r="Q236" s="149" t="n"/>
      <c r="R236" s="148" t="n"/>
      <c r="S236" s="150" t="inlineStr">
        <is>
          <t>🔲 데이터수집예정</t>
        </is>
      </c>
      <c r="T236" s="147" t="n"/>
      <c r="W236" s="151" t="n"/>
    </row>
    <row r="237" ht="18" customHeight="1" s="97">
      <c r="A237" s="101" t="n">
        <v>235</v>
      </c>
      <c r="B237" s="102" t="inlineStr">
        <is>
          <t>충북</t>
        </is>
      </c>
      <c r="C237" s="123" t="inlineStr">
        <is>
          <t>골드나인</t>
        </is>
      </c>
      <c r="D237" s="104" t="inlineStr">
        <is>
          <t>대중제</t>
        </is>
      </c>
      <c r="E237" s="105" t="inlineStr">
        <is>
          <t>청주시 청원구 낭성면 산성로 1520-17</t>
        </is>
      </c>
      <c r="F237" s="101" t="n">
        <v>9</v>
      </c>
      <c r="G237" s="101">
        <f>F237*4</f>
        <v/>
      </c>
      <c r="H237" s="106" t="n">
        <v>421101</v>
      </c>
      <c r="I237" s="107" t="inlineStr">
        <is>
          <t>호정개발㈜정용희</t>
        </is>
      </c>
      <c r="J237" s="108" t="n"/>
      <c r="K237" s="108" t="n"/>
      <c r="L237" s="108" t="n"/>
      <c r="M237" s="108" t="n"/>
      <c r="N237" s="108" t="n"/>
      <c r="O237" s="108" t="n"/>
      <c r="P237" s="101" t="n"/>
      <c r="Q237" s="109" t="n"/>
      <c r="R237" s="108" t="n"/>
      <c r="S237" s="110" t="inlineStr">
        <is>
          <t>🔲 데이터수집예정</t>
        </is>
      </c>
      <c r="T237" s="136" t="n"/>
      <c r="W237" s="111" t="n"/>
    </row>
    <row r="238" ht="18" customHeight="1" s="97">
      <c r="A238" s="112" t="n">
        <v>236</v>
      </c>
      <c r="B238" s="113" t="inlineStr">
        <is>
          <t>충북</t>
        </is>
      </c>
      <c r="C238" s="122" t="inlineStr">
        <is>
          <t>골프존카운티 진천</t>
        </is>
      </c>
      <c r="D238" s="104" t="inlineStr">
        <is>
          <t>대중제</t>
        </is>
      </c>
      <c r="E238" s="116" t="inlineStr">
        <is>
          <t>진천군 진천읍 송강로 783-51</t>
        </is>
      </c>
      <c r="F238" s="112" t="n">
        <v>27</v>
      </c>
      <c r="G238" s="112">
        <f>F238*4</f>
        <v/>
      </c>
      <c r="H238" s="117" t="n">
        <v>1200500</v>
      </c>
      <c r="I238" s="118" t="inlineStr">
        <is>
          <t>㈜지씨진천서상현</t>
        </is>
      </c>
      <c r="J238" s="108" t="n"/>
      <c r="K238" s="108" t="n"/>
      <c r="L238" s="108" t="n"/>
      <c r="M238" s="108" t="n"/>
      <c r="N238" s="108" t="n"/>
      <c r="O238" s="108" t="n"/>
      <c r="P238" s="112" t="n"/>
      <c r="Q238" s="119" t="n"/>
      <c r="R238" s="108" t="n"/>
      <c r="S238" s="110" t="inlineStr">
        <is>
          <t>🔲 데이터수집예정</t>
        </is>
      </c>
      <c r="T238" s="126" t="n"/>
      <c r="W238" s="121" t="n"/>
    </row>
    <row r="239" ht="18" customHeight="1" s="97">
      <c r="A239" s="101" t="n">
        <v>237</v>
      </c>
      <c r="B239" s="102" t="inlineStr">
        <is>
          <t>충북</t>
        </is>
      </c>
      <c r="C239" s="123" t="inlineStr">
        <is>
          <t>골프존카운티화랑</t>
        </is>
      </c>
      <c r="D239" s="104" t="inlineStr">
        <is>
          <t>대중제</t>
        </is>
      </c>
      <c r="E239" s="105" t="inlineStr">
        <is>
          <t>진천군 문백면 농다리로 809</t>
        </is>
      </c>
      <c r="F239" s="101" t="n">
        <v>18</v>
      </c>
      <c r="G239" s="101">
        <f>F239*4</f>
        <v/>
      </c>
      <c r="H239" s="106" t="n">
        <v>998111</v>
      </c>
      <c r="I239" s="107" t="inlineStr">
        <is>
          <t>골프존카운티㈜서상현</t>
        </is>
      </c>
      <c r="J239" s="108" t="n"/>
      <c r="K239" s="108" t="n"/>
      <c r="L239" s="108" t="n"/>
      <c r="M239" s="108" t="n"/>
      <c r="N239" s="108" t="n"/>
      <c r="O239" s="108" t="n"/>
      <c r="P239" s="101" t="n"/>
      <c r="Q239" s="109" t="n"/>
      <c r="R239" s="108" t="n"/>
      <c r="S239" s="110" t="inlineStr">
        <is>
          <t>🔲 데이터수집예정</t>
        </is>
      </c>
      <c r="T239" s="136" t="n"/>
      <c r="W239" s="111" t="n"/>
    </row>
    <row r="240" ht="18" customHeight="1" s="97">
      <c r="A240" s="112" t="n">
        <v>238</v>
      </c>
      <c r="B240" s="113" t="inlineStr">
        <is>
          <t>충북</t>
        </is>
      </c>
      <c r="C240" s="122" t="inlineStr">
        <is>
          <t>그랜드</t>
        </is>
      </c>
      <c r="D240" s="115" t="inlineStr">
        <is>
          <t>회원제</t>
        </is>
      </c>
      <c r="E240" s="116" t="inlineStr">
        <is>
          <t>청주시 청원군 오창읍 꽃화산길 14</t>
        </is>
      </c>
      <c r="F240" s="112" t="n">
        <v>27</v>
      </c>
      <c r="G240" s="112">
        <f>F240*4</f>
        <v/>
      </c>
      <c r="H240" s="117" t="n">
        <v>1696299</v>
      </c>
      <c r="I240" s="118" t="inlineStr">
        <is>
          <t>청주개발㈜임재풍</t>
        </is>
      </c>
      <c r="J240" s="108" t="n"/>
      <c r="K240" s="108" t="n"/>
      <c r="L240" s="108" t="n"/>
      <c r="M240" s="108" t="n"/>
      <c r="N240" s="108" t="n"/>
      <c r="O240" s="108" t="n"/>
      <c r="P240" s="112" t="n"/>
      <c r="Q240" s="119" t="n"/>
      <c r="R240" s="108" t="n"/>
      <c r="S240" s="110" t="inlineStr">
        <is>
          <t>🔲 데이터수집예정</t>
        </is>
      </c>
      <c r="T240" s="126" t="n"/>
      <c r="W240" s="121" t="n"/>
    </row>
    <row r="241" ht="18" customHeight="1" s="97">
      <c r="A241" s="101" t="n">
        <v>239</v>
      </c>
      <c r="B241" s="102" t="inlineStr">
        <is>
          <t>충북</t>
        </is>
      </c>
      <c r="C241" s="123" t="inlineStr">
        <is>
          <t>대영베이스</t>
        </is>
      </c>
      <c r="D241" s="104" t="inlineStr">
        <is>
          <t>대중제</t>
        </is>
      </c>
      <c r="E241" s="105" t="inlineStr">
        <is>
          <t>충주시 대소원면 성종두담길 113</t>
        </is>
      </c>
      <c r="F241" s="101" t="n">
        <v>18</v>
      </c>
      <c r="G241" s="101">
        <f>F241*4</f>
        <v/>
      </c>
      <c r="H241" s="106" t="n">
        <v>999268</v>
      </c>
      <c r="I241" s="107" t="inlineStr">
        <is>
          <t>㈜대영베이스권혁희</t>
        </is>
      </c>
      <c r="J241" s="108" t="n"/>
      <c r="K241" s="108" t="n"/>
      <c r="L241" s="108" t="n"/>
      <c r="M241" s="108" t="n"/>
      <c r="N241" s="108" t="n"/>
      <c r="O241" s="108" t="n"/>
      <c r="P241" s="101" t="n"/>
      <c r="Q241" s="109" t="n"/>
      <c r="R241" s="108" t="n"/>
      <c r="S241" s="110" t="inlineStr">
        <is>
          <t>🔲 데이터수집예정</t>
        </is>
      </c>
      <c r="T241" s="136" t="n"/>
      <c r="W241" s="111" t="n"/>
    </row>
    <row r="242" ht="18" customHeight="1" s="97">
      <c r="A242" s="112" t="n">
        <v>240</v>
      </c>
      <c r="B242" s="113" t="inlineStr">
        <is>
          <t>충북</t>
        </is>
      </c>
      <c r="C242" s="122" t="inlineStr">
        <is>
          <t>대영힐스</t>
        </is>
      </c>
      <c r="D242" s="104" t="inlineStr">
        <is>
          <t>대중제</t>
        </is>
      </c>
      <c r="E242" s="116" t="inlineStr">
        <is>
          <t>충주시 대소원면 성종두담길 114</t>
        </is>
      </c>
      <c r="F242" s="112" t="n">
        <v>27</v>
      </c>
      <c r="G242" s="112">
        <f>F242*4</f>
        <v/>
      </c>
      <c r="H242" s="117" t="n">
        <v>1167916</v>
      </c>
      <c r="I242" s="118" t="inlineStr">
        <is>
          <t>㈜대영베이스권혁희</t>
        </is>
      </c>
      <c r="J242" s="108" t="n"/>
      <c r="K242" s="108" t="n"/>
      <c r="L242" s="108" t="n"/>
      <c r="M242" s="108" t="n"/>
      <c r="N242" s="108" t="n"/>
      <c r="O242" s="108" t="n"/>
      <c r="P242" s="112" t="n"/>
      <c r="Q242" s="119" t="n"/>
      <c r="R242" s="108" t="n"/>
      <c r="S242" s="110" t="inlineStr">
        <is>
          <t>🔲 데이터수집예정</t>
        </is>
      </c>
      <c r="T242" s="126" t="n"/>
      <c r="W242" s="121" t="n"/>
    </row>
    <row r="243" ht="18" customHeight="1" s="97">
      <c r="A243" s="101" t="n">
        <v>241</v>
      </c>
      <c r="B243" s="102" t="inlineStr">
        <is>
          <t>충북</t>
        </is>
      </c>
      <c r="C243" s="123" t="inlineStr">
        <is>
          <t>대호단양</t>
        </is>
      </c>
      <c r="D243" s="104" t="inlineStr">
        <is>
          <t>대중제</t>
        </is>
      </c>
      <c r="E243" s="105" t="inlineStr">
        <is>
          <t>단양군 매포읍 고양5길 43</t>
        </is>
      </c>
      <c r="F243" s="101" t="n">
        <v>18</v>
      </c>
      <c r="G243" s="101">
        <f>F243*4</f>
        <v/>
      </c>
      <c r="H243" s="106" t="n">
        <v>920073</v>
      </c>
      <c r="I243" s="107" t="inlineStr">
        <is>
          <t>㈜대호아이알황호연</t>
        </is>
      </c>
      <c r="J243" s="108" t="n"/>
      <c r="K243" s="108" t="n"/>
      <c r="L243" s="108" t="n"/>
      <c r="M243" s="108" t="n"/>
      <c r="N243" s="108" t="n"/>
      <c r="O243" s="108" t="n"/>
      <c r="P243" s="101" t="n"/>
      <c r="Q243" s="109" t="n"/>
      <c r="R243" s="108" t="n"/>
      <c r="S243" s="110" t="inlineStr">
        <is>
          <t>🔲 데이터수집예정</t>
        </is>
      </c>
      <c r="T243" s="136" t="n"/>
      <c r="W243" s="111" t="n"/>
    </row>
    <row r="244" ht="18" customHeight="1" s="97">
      <c r="A244" s="112" t="n">
        <v>242</v>
      </c>
      <c r="B244" s="113" t="inlineStr">
        <is>
          <t>충북</t>
        </is>
      </c>
      <c r="C244" s="122" t="inlineStr">
        <is>
          <t>동촌</t>
        </is>
      </c>
      <c r="D244" s="104" t="inlineStr">
        <is>
          <t>대중제</t>
        </is>
      </c>
      <c r="E244" s="116" t="inlineStr">
        <is>
          <t>충주시 노은면 감노로 1327</t>
        </is>
      </c>
      <c r="F244" s="112" t="n">
        <v>18</v>
      </c>
      <c r="G244" s="112">
        <f>F244*4</f>
        <v/>
      </c>
      <c r="H244" s="117" t="n">
        <v>1047645</v>
      </c>
      <c r="I244" s="118" t="inlineStr">
        <is>
          <t>문성레저개발㈜이완희</t>
        </is>
      </c>
      <c r="J244" s="108" t="n"/>
      <c r="K244" s="108" t="n"/>
      <c r="L244" s="108" t="n"/>
      <c r="M244" s="108" t="n"/>
      <c r="N244" s="108" t="n"/>
      <c r="O244" s="108" t="n"/>
      <c r="P244" s="112" t="n"/>
      <c r="Q244" s="119" t="n"/>
      <c r="R244" s="108" t="n"/>
      <c r="S244" s="110" t="inlineStr">
        <is>
          <t>🔲 데이터수집예정</t>
        </is>
      </c>
      <c r="T244" s="126" t="n"/>
      <c r="W244" s="121" t="n"/>
    </row>
    <row r="245" ht="18" customHeight="1" s="97">
      <c r="A245" s="101" t="n">
        <v>243</v>
      </c>
      <c r="B245" s="102" t="inlineStr">
        <is>
          <t>충북</t>
        </is>
      </c>
      <c r="C245" s="123" t="inlineStr">
        <is>
          <t>떼제베</t>
        </is>
      </c>
      <c r="D245" s="104" t="inlineStr">
        <is>
          <t>대중제</t>
        </is>
      </c>
      <c r="E245" s="105" t="inlineStr">
        <is>
          <t>청주시 흥덕구 옥산면 동림2길 149</t>
        </is>
      </c>
      <c r="F245" s="101" t="n">
        <v>36</v>
      </c>
      <c r="G245" s="101">
        <f>F245*4</f>
        <v/>
      </c>
      <c r="H245" s="106" t="n">
        <v>1567859</v>
      </c>
      <c r="I245" s="107" t="inlineStr">
        <is>
          <t>㈜떼제베운영최영범</t>
        </is>
      </c>
      <c r="J245" s="108" t="n"/>
      <c r="K245" s="108" t="n"/>
      <c r="L245" s="108" t="n"/>
      <c r="M245" s="108" t="n"/>
      <c r="N245" s="108" t="n"/>
      <c r="O245" s="108" t="n"/>
      <c r="P245" s="101" t="n"/>
      <c r="Q245" s="109" t="n"/>
      <c r="R245" s="108" t="n"/>
      <c r="S245" s="110" t="inlineStr">
        <is>
          <t>🔲 데이터수집예정</t>
        </is>
      </c>
      <c r="T245" s="136" t="n"/>
      <c r="W245" s="111" t="n"/>
    </row>
    <row r="246" ht="18" customHeight="1" s="97">
      <c r="A246" s="112" t="n">
        <v>244</v>
      </c>
      <c r="B246" s="113" t="inlineStr">
        <is>
          <t>충북</t>
        </is>
      </c>
      <c r="C246" s="122" t="inlineStr">
        <is>
          <t>레인보우힐스</t>
        </is>
      </c>
      <c r="D246" s="104" t="inlineStr">
        <is>
          <t>대중제</t>
        </is>
      </c>
      <c r="E246" s="116" t="inlineStr">
        <is>
          <t>음성군 생극면 차생로 168</t>
        </is>
      </c>
      <c r="F246" s="112" t="n">
        <v>27</v>
      </c>
      <c r="G246" s="112">
        <f>F246*4</f>
        <v/>
      </c>
      <c r="H246" s="117" t="n">
        <v>2180205</v>
      </c>
      <c r="I246" s="118" t="inlineStr">
        <is>
          <t>㈜디비월드최경진</t>
        </is>
      </c>
      <c r="J246" s="108" t="n"/>
      <c r="K246" s="108" t="n"/>
      <c r="L246" s="108" t="n"/>
      <c r="M246" s="108" t="n"/>
      <c r="N246" s="108" t="n"/>
      <c r="O246" s="108" t="n"/>
      <c r="P246" s="112" t="n"/>
      <c r="Q246" s="119" t="n"/>
      <c r="R246" s="108" t="n"/>
      <c r="S246" s="110" t="inlineStr">
        <is>
          <t>🔲 데이터수집예정</t>
        </is>
      </c>
      <c r="T246" s="126" t="inlineStr">
        <is>
          <t>https://www.rainbowhills.co.kr/</t>
        </is>
      </c>
      <c r="U246" s="96" t="n">
        <v>2009</v>
      </c>
      <c r="V246" s="96" t="inlineStr">
        <is>
          <t>043-883-8000</t>
        </is>
      </c>
      <c r="W246" s="121" t="n"/>
    </row>
    <row r="247" ht="18" customHeight="1" s="97">
      <c r="A247" s="101" t="n">
        <v>245</v>
      </c>
      <c r="B247" s="102" t="inlineStr">
        <is>
          <t>충북</t>
        </is>
      </c>
      <c r="C247" s="123" t="inlineStr">
        <is>
          <t>로얄포레</t>
        </is>
      </c>
      <c r="D247" s="104" t="inlineStr">
        <is>
          <t>대중제</t>
        </is>
      </c>
      <c r="E247" s="105" t="inlineStr">
        <is>
          <t>충주시 신니면 화치3길 35</t>
        </is>
      </c>
      <c r="F247" s="101" t="n">
        <v>18</v>
      </c>
      <c r="G247" s="101">
        <f>F247*4</f>
        <v/>
      </c>
      <c r="H247" s="106" t="n">
        <v>926019</v>
      </c>
      <c r="I247" s="107" t="inlineStr">
        <is>
          <t>㈜신니개발김상현, 최동호</t>
        </is>
      </c>
      <c r="J247" s="108" t="n"/>
      <c r="K247" s="108" t="n"/>
      <c r="L247" s="108" t="n"/>
      <c r="M247" s="108" t="n"/>
      <c r="N247" s="108" t="n"/>
      <c r="O247" s="108" t="n"/>
      <c r="P247" s="101" t="n"/>
      <c r="Q247" s="109" t="n"/>
      <c r="R247" s="108" t="n"/>
      <c r="S247" s="110" t="inlineStr">
        <is>
          <t>🔲 데이터수집예정</t>
        </is>
      </c>
      <c r="T247" s="136" t="n"/>
      <c r="W247" s="111" t="n"/>
    </row>
    <row r="248" ht="18" customHeight="1" s="97">
      <c r="A248" s="112" t="n">
        <v>246</v>
      </c>
      <c r="B248" s="113" t="inlineStr">
        <is>
          <t>충북</t>
        </is>
      </c>
      <c r="C248" s="122" t="inlineStr">
        <is>
          <t>블랙스톤</t>
        </is>
      </c>
      <c r="D248" s="104" t="inlineStr">
        <is>
          <t>대중제</t>
        </is>
      </c>
      <c r="E248" s="116" t="inlineStr">
        <is>
          <t>증평군 도안면 벼루재길 334</t>
        </is>
      </c>
      <c r="F248" s="112" t="n">
        <v>18</v>
      </c>
      <c r="G248" s="112">
        <f>F248*4</f>
        <v/>
      </c>
      <c r="H248" s="117" t="n">
        <v>690038</v>
      </c>
      <c r="I248" s="118" t="inlineStr">
        <is>
          <t>㈜블랙스톤에듀팜원성역</t>
        </is>
      </c>
      <c r="J248" s="108" t="n"/>
      <c r="K248" s="108" t="n"/>
      <c r="L248" s="108" t="n"/>
      <c r="M248" s="108" t="n"/>
      <c r="N248" s="108" t="n"/>
      <c r="O248" s="108" t="n"/>
      <c r="P248" s="112" t="n"/>
      <c r="Q248" s="119" t="n"/>
      <c r="R248" s="108" t="n"/>
      <c r="S248" s="110" t="inlineStr">
        <is>
          <t>🔲 데이터수집예정</t>
        </is>
      </c>
      <c r="T248" s="126" t="inlineStr">
        <is>
          <t>https://www.blackstoneresort.com/jj/</t>
        </is>
      </c>
      <c r="U248" s="96" t="n">
        <v>2010</v>
      </c>
      <c r="V248" s="96" t="inlineStr">
        <is>
          <t>064-793-8000</t>
        </is>
      </c>
      <c r="W248" s="121" t="n"/>
    </row>
    <row r="249" ht="18" customHeight="1" s="97">
      <c r="A249" s="101" t="n">
        <v>247</v>
      </c>
      <c r="B249" s="102" t="inlineStr">
        <is>
          <t>충북</t>
        </is>
      </c>
      <c r="C249" s="123" t="inlineStr">
        <is>
          <t>세레니티cc(구, 실크리버)</t>
        </is>
      </c>
      <c r="D249" s="115" t="inlineStr">
        <is>
          <t>회원제</t>
        </is>
      </c>
      <c r="E249" s="105" t="inlineStr">
        <is>
          <t>청주시 서원구 남이면 문곡구절골길 235</t>
        </is>
      </c>
      <c r="F249" s="101" t="n">
        <v>18</v>
      </c>
      <c r="G249" s="101">
        <f>F249*4</f>
        <v/>
      </c>
      <c r="H249" s="106" t="n">
        <v>1075151</v>
      </c>
      <c r="I249" s="107" t="inlineStr">
        <is>
          <t>㈜다음홀딩스김주영</t>
        </is>
      </c>
      <c r="J249" s="108" t="n"/>
      <c r="K249" s="108" t="n"/>
      <c r="L249" s="108" t="n"/>
      <c r="M249" s="108" t="n"/>
      <c r="N249" s="108" t="n"/>
      <c r="O249" s="108" t="n"/>
      <c r="P249" s="101" t="n"/>
      <c r="Q249" s="109" t="n"/>
      <c r="R249" s="108" t="n"/>
      <c r="S249" s="110" t="inlineStr">
        <is>
          <t>🔲 데이터수집예정</t>
        </is>
      </c>
      <c r="T249" s="136" t="n"/>
      <c r="W249" s="111" t="n"/>
    </row>
    <row r="250" ht="18" customHeight="1" s="97">
      <c r="A250" s="112" t="n">
        <v>248</v>
      </c>
      <c r="B250" s="113" t="inlineStr">
        <is>
          <t>충북</t>
        </is>
      </c>
      <c r="C250" s="122" t="inlineStr">
        <is>
          <t>세일</t>
        </is>
      </c>
      <c r="D250" s="104" t="inlineStr">
        <is>
          <t>대중제</t>
        </is>
      </c>
      <c r="E250" s="116" t="inlineStr">
        <is>
          <t>충주시 신니면 동락길 207</t>
        </is>
      </c>
      <c r="F250" s="112" t="n">
        <v>18</v>
      </c>
      <c r="G250" s="112">
        <f>F250*4</f>
        <v/>
      </c>
      <c r="H250" s="117" t="n">
        <v>880653</v>
      </c>
      <c r="I250" s="118" t="inlineStr">
        <is>
          <t>세일개발㈜권민수</t>
        </is>
      </c>
      <c r="J250" s="108" t="n"/>
      <c r="K250" s="108" t="n"/>
      <c r="L250" s="108" t="n"/>
      <c r="M250" s="108" t="n"/>
      <c r="N250" s="108" t="n"/>
      <c r="O250" s="108" t="n"/>
      <c r="P250" s="112" t="n"/>
      <c r="Q250" s="119" t="n"/>
      <c r="R250" s="108" t="n"/>
      <c r="S250" s="110" t="inlineStr">
        <is>
          <t>🔲 데이터수집예정</t>
        </is>
      </c>
      <c r="T250" s="126" t="n"/>
      <c r="W250" s="121" t="n"/>
    </row>
    <row r="251" ht="18" customHeight="1" s="97">
      <c r="A251" s="101" t="n">
        <v>249</v>
      </c>
      <c r="B251" s="102" t="inlineStr">
        <is>
          <t>충북</t>
        </is>
      </c>
      <c r="C251" s="123" t="inlineStr">
        <is>
          <t>센테리움</t>
        </is>
      </c>
      <c r="D251" s="104" t="inlineStr">
        <is>
          <t>대중제</t>
        </is>
      </c>
      <c r="E251" s="105" t="inlineStr">
        <is>
          <t>충주시 노은면 솔고개로 750</t>
        </is>
      </c>
      <c r="F251" s="101" t="n">
        <v>27</v>
      </c>
      <c r="G251" s="101">
        <f>F251*4</f>
        <v/>
      </c>
      <c r="H251" s="106" t="n">
        <v>1415008</v>
      </c>
      <c r="I251" s="107" t="inlineStr">
        <is>
          <t>금강센테리움㈜최상순</t>
        </is>
      </c>
      <c r="J251" s="108" t="n"/>
      <c r="K251" s="108" t="n"/>
      <c r="L251" s="108" t="n"/>
      <c r="M251" s="108" t="n"/>
      <c r="N251" s="108" t="n"/>
      <c r="O251" s="108" t="n"/>
      <c r="P251" s="101" t="n"/>
      <c r="Q251" s="109" t="n"/>
      <c r="R251" s="108" t="n"/>
      <c r="S251" s="110" t="inlineStr">
        <is>
          <t>🔲 데이터수집예정</t>
        </is>
      </c>
      <c r="T251" s="136" t="n"/>
      <c r="W251" s="111" t="n"/>
    </row>
    <row r="252" ht="18" customHeight="1" s="97">
      <c r="A252" s="112" t="n">
        <v>250</v>
      </c>
      <c r="B252" s="113" t="inlineStr">
        <is>
          <t>충북</t>
        </is>
      </c>
      <c r="C252" s="122" t="inlineStr">
        <is>
          <t>스타cc</t>
        </is>
      </c>
      <c r="D252" s="115" t="inlineStr">
        <is>
          <t>회원제</t>
        </is>
      </c>
      <c r="E252" s="116" t="inlineStr">
        <is>
          <t>충주시 앙성면 상대촌1길 198</t>
        </is>
      </c>
      <c r="F252" s="112" t="n">
        <v>18</v>
      </c>
      <c r="G252" s="112">
        <f>F252*4</f>
        <v/>
      </c>
      <c r="H252" s="117" t="n">
        <v>1005341</v>
      </c>
      <c r="I252" s="118" t="inlineStr">
        <is>
          <t>㈜나인포인트 김환웅</t>
        </is>
      </c>
      <c r="J252" s="108" t="n"/>
      <c r="K252" s="108" t="n"/>
      <c r="L252" s="108" t="n"/>
      <c r="M252" s="108" t="n"/>
      <c r="N252" s="108" t="n"/>
      <c r="O252" s="108" t="n"/>
      <c r="P252" s="112" t="n"/>
      <c r="Q252" s="119" t="n"/>
      <c r="R252" s="108" t="n"/>
      <c r="S252" s="110" t="inlineStr">
        <is>
          <t>🔲 데이터수집예정</t>
        </is>
      </c>
      <c r="T252" s="126" t="n"/>
      <c r="W252" s="121" t="n"/>
    </row>
    <row r="253" ht="18" customHeight="1" s="97">
      <c r="A253" s="101" t="n">
        <v>251</v>
      </c>
      <c r="B253" s="102" t="inlineStr">
        <is>
          <t>충북</t>
        </is>
      </c>
      <c r="C253" s="123" t="inlineStr">
        <is>
          <t>시그너스</t>
        </is>
      </c>
      <c r="D253" s="104" t="inlineStr">
        <is>
          <t>대중제</t>
        </is>
      </c>
      <c r="E253" s="105" t="inlineStr">
        <is>
          <t>충주시 앙성면 중방곡길 57-44</t>
        </is>
      </c>
      <c r="F253" s="101" t="n">
        <v>18</v>
      </c>
      <c r="G253" s="101">
        <f>F253*4</f>
        <v/>
      </c>
      <c r="H253" s="106" t="n">
        <v>893383</v>
      </c>
      <c r="I253" s="107" t="inlineStr">
        <is>
          <t>㈜시그너스CC김영란 강석무</t>
        </is>
      </c>
      <c r="J253" s="108" t="n"/>
      <c r="K253" s="108" t="n"/>
      <c r="L253" s="108" t="n"/>
      <c r="M253" s="108" t="n"/>
      <c r="N253" s="108" t="n"/>
      <c r="O253" s="108" t="n"/>
      <c r="P253" s="101" t="n"/>
      <c r="Q253" s="109" t="n"/>
      <c r="R253" s="108" t="n"/>
      <c r="S253" s="110" t="inlineStr">
        <is>
          <t>🔲 데이터수집예정</t>
        </is>
      </c>
      <c r="T253" s="136" t="n"/>
      <c r="W253" s="111" t="n"/>
    </row>
    <row r="254" ht="18" customHeight="1" s="97">
      <c r="A254" s="112" t="n">
        <v>252</v>
      </c>
      <c r="B254" s="113" t="inlineStr">
        <is>
          <t>충북</t>
        </is>
      </c>
      <c r="C254" s="122" t="inlineStr">
        <is>
          <t>썬밸리</t>
        </is>
      </c>
      <c r="D254" s="104" t="inlineStr">
        <is>
          <t>대중제</t>
        </is>
      </c>
      <c r="E254" s="116" t="inlineStr">
        <is>
          <t>음성군 삼성면 법말길 49</t>
        </is>
      </c>
      <c r="F254" s="112" t="n">
        <v>18</v>
      </c>
      <c r="G254" s="112">
        <f>F254*4</f>
        <v/>
      </c>
      <c r="H254" s="117" t="n">
        <v>944976</v>
      </c>
      <c r="I254" s="118" t="inlineStr">
        <is>
          <t>㈜연흥개발이신근</t>
        </is>
      </c>
      <c r="J254" s="108" t="n"/>
      <c r="K254" s="108" t="n"/>
      <c r="L254" s="108" t="n"/>
      <c r="M254" s="108" t="n"/>
      <c r="N254" s="108" t="n"/>
      <c r="O254" s="108" t="n"/>
      <c r="P254" s="112" t="n"/>
      <c r="Q254" s="119" t="n"/>
      <c r="R254" s="108" t="n"/>
      <c r="S254" s="110" t="inlineStr">
        <is>
          <t>🔲 데이터수집예정</t>
        </is>
      </c>
      <c r="T254" s="126" t="n"/>
      <c r="W254" s="121" t="n"/>
    </row>
    <row r="255" ht="18" customHeight="1" s="97">
      <c r="A255" s="101" t="n">
        <v>253</v>
      </c>
      <c r="B255" s="102" t="inlineStr">
        <is>
          <t>충북</t>
        </is>
      </c>
      <c r="C255" s="123" t="inlineStr">
        <is>
          <t>아난티 중앙골프클럽(구,디에머슨)</t>
        </is>
      </c>
      <c r="D255" s="115" t="inlineStr">
        <is>
          <t>회원제</t>
        </is>
      </c>
      <c r="E255" s="105" t="inlineStr">
        <is>
          <t>진천군 백곡면 배티로 818-105</t>
        </is>
      </c>
      <c r="F255" s="101" t="n">
        <v>27</v>
      </c>
      <c r="G255" s="101">
        <f>F255*4</f>
        <v/>
      </c>
      <c r="H255" s="106" t="n">
        <v>1151924</v>
      </c>
      <c r="I255" s="107" t="inlineStr">
        <is>
          <t>중앙관광개발(준)이만규</t>
        </is>
      </c>
      <c r="J255" s="108" t="n"/>
      <c r="K255" s="108" t="n"/>
      <c r="L255" s="108" t="n"/>
      <c r="M255" s="108" t="n"/>
      <c r="N255" s="108" t="n"/>
      <c r="O255" s="108" t="n"/>
      <c r="P255" s="101" t="n"/>
      <c r="Q255" s="109" t="n"/>
      <c r="R255" s="108" t="n"/>
      <c r="S255" s="110" t="inlineStr">
        <is>
          <t>🔲 데이터수집예정</t>
        </is>
      </c>
      <c r="T255" s="136" t="n"/>
      <c r="W255" s="111" t="n"/>
    </row>
    <row r="256" ht="18" customHeight="1" s="97">
      <c r="A256" s="112" t="n">
        <v>254</v>
      </c>
      <c r="B256" s="113" t="inlineStr">
        <is>
          <t>충북</t>
        </is>
      </c>
      <c r="C256" s="122" t="inlineStr">
        <is>
          <t>아름다운cc</t>
        </is>
      </c>
      <c r="D256" s="104" t="inlineStr">
        <is>
          <t>대중제</t>
        </is>
      </c>
      <c r="E256" s="116" t="inlineStr">
        <is>
          <t>진천군 백곡면 소토골길 61</t>
        </is>
      </c>
      <c r="F256" s="112" t="n">
        <v>27</v>
      </c>
      <c r="G256" s="112">
        <f>F256*4</f>
        <v/>
      </c>
      <c r="H256" s="117" t="n">
        <v>1434573</v>
      </c>
      <c r="I256" s="118" t="inlineStr">
        <is>
          <t>㈜아름다은정현숙</t>
        </is>
      </c>
      <c r="J256" s="108" t="n"/>
      <c r="K256" s="108" t="n"/>
      <c r="L256" s="108" t="n"/>
      <c r="M256" s="108" t="n"/>
      <c r="N256" s="108" t="n"/>
      <c r="O256" s="108" t="n"/>
      <c r="P256" s="112" t="n"/>
      <c r="Q256" s="119" t="n"/>
      <c r="R256" s="108" t="n"/>
      <c r="S256" s="110" t="inlineStr">
        <is>
          <t>🔲 데이터수집예정</t>
        </is>
      </c>
      <c r="T256" s="126" t="n"/>
      <c r="W256" s="121" t="n"/>
    </row>
    <row r="257" ht="18" customHeight="1" s="97">
      <c r="A257" s="101" t="n">
        <v>255</v>
      </c>
      <c r="B257" s="102" t="inlineStr">
        <is>
          <t>충북</t>
        </is>
      </c>
      <c r="C257" s="123" t="inlineStr">
        <is>
          <t>에스엘세레스임페리얼레이크</t>
        </is>
      </c>
      <c r="D257" s="104" t="inlineStr">
        <is>
          <t>대중제</t>
        </is>
      </c>
      <c r="E257" s="105" t="inlineStr">
        <is>
          <t>충주시 금가면 다래울길 52</t>
        </is>
      </c>
      <c r="F257" s="101" t="n">
        <v>18</v>
      </c>
      <c r="G257" s="101">
        <f>F257*4</f>
        <v/>
      </c>
      <c r="H257" s="106" t="n">
        <v>830332</v>
      </c>
      <c r="I257" s="107" t="inlineStr">
        <is>
          <t>㈜에스엘레스안중기</t>
        </is>
      </c>
      <c r="J257" s="108" t="n"/>
      <c r="K257" s="108" t="n"/>
      <c r="L257" s="108" t="n"/>
      <c r="M257" s="108" t="n"/>
      <c r="N257" s="108" t="n"/>
      <c r="O257" s="108" t="n"/>
      <c r="P257" s="101" t="n"/>
      <c r="Q257" s="109" t="n"/>
      <c r="R257" s="108" t="n"/>
      <c r="S257" s="110" t="inlineStr">
        <is>
          <t>🔲 데이터수집예정</t>
        </is>
      </c>
      <c r="T257" s="136" t="inlineStr">
        <is>
          <t>https://www.imperialcc.co.kr/</t>
        </is>
      </c>
      <c r="U257" s="96" t="n">
        <v>2006</v>
      </c>
      <c r="V257" s="96" t="inlineStr">
        <is>
          <t>043-850-1000</t>
        </is>
      </c>
      <c r="W257" s="125" t="n"/>
    </row>
    <row r="258" ht="18" customHeight="1" s="97">
      <c r="A258" s="112" t="n">
        <v>256</v>
      </c>
      <c r="B258" s="113" t="inlineStr">
        <is>
          <t>충북</t>
        </is>
      </c>
      <c r="C258" s="122" t="inlineStr">
        <is>
          <t>에콜리안제천</t>
        </is>
      </c>
      <c r="D258" s="104" t="inlineStr">
        <is>
          <t>대중제</t>
        </is>
      </c>
      <c r="E258" s="116" t="inlineStr">
        <is>
          <t>제천시 고암동 송학 주천로 102</t>
        </is>
      </c>
      <c r="F258" s="112" t="n">
        <v>9</v>
      </c>
      <c r="G258" s="112">
        <f>F258*4</f>
        <v/>
      </c>
      <c r="H258" s="117" t="n">
        <v>371280</v>
      </c>
      <c r="I258" s="118" t="inlineStr">
        <is>
          <t>국민체육진흥공단조재기</t>
        </is>
      </c>
      <c r="J258" s="108" t="n"/>
      <c r="K258" s="108" t="n"/>
      <c r="L258" s="108" t="n"/>
      <c r="M258" s="108" t="n"/>
      <c r="N258" s="108" t="n"/>
      <c r="O258" s="108" t="n"/>
      <c r="P258" s="112" t="n"/>
      <c r="Q258" s="119" t="n"/>
      <c r="R258" s="108" t="n"/>
      <c r="S258" s="110" t="inlineStr">
        <is>
          <t>🔲 데이터수집예정</t>
        </is>
      </c>
      <c r="T258" s="126" t="n"/>
      <c r="W258" s="121" t="n"/>
    </row>
    <row r="259" ht="18" customHeight="1" s="97">
      <c r="A259" s="101" t="n">
        <v>257</v>
      </c>
      <c r="B259" s="102" t="inlineStr">
        <is>
          <t>충북</t>
        </is>
      </c>
      <c r="C259" s="123" t="inlineStr">
        <is>
          <t>영동일라이트컨트리클럽</t>
        </is>
      </c>
      <c r="D259" s="104" t="inlineStr">
        <is>
          <t>대중제</t>
        </is>
      </c>
      <c r="E259" s="105" t="inlineStr">
        <is>
          <t>영동군 영동읍 매천리 산35-1</t>
        </is>
      </c>
      <c r="F259" s="101" t="n">
        <v>18</v>
      </c>
      <c r="G259" s="101">
        <f>F259*4</f>
        <v/>
      </c>
      <c r="H259" s="106" t="n">
        <v>889884</v>
      </c>
      <c r="I259" s="107" t="inlineStr">
        <is>
          <t>레인보우㈜전문수</t>
        </is>
      </c>
      <c r="J259" s="108" t="n"/>
      <c r="K259" s="108" t="n"/>
      <c r="L259" s="108" t="n"/>
      <c r="M259" s="108" t="n"/>
      <c r="N259" s="108" t="n"/>
      <c r="O259" s="108" t="n"/>
      <c r="P259" s="101" t="n"/>
      <c r="Q259" s="109" t="n"/>
      <c r="R259" s="108" t="n"/>
      <c r="S259" s="110" t="inlineStr">
        <is>
          <t>🔲 데이터수집예정</t>
        </is>
      </c>
      <c r="T259" s="136" t="n"/>
      <c r="W259" s="111" t="n"/>
    </row>
    <row r="260" ht="18" customHeight="1" s="97">
      <c r="A260" s="112" t="n">
        <v>258</v>
      </c>
      <c r="B260" s="113" t="inlineStr">
        <is>
          <t>충북</t>
        </is>
      </c>
      <c r="C260" s="122" t="inlineStr">
        <is>
          <t>오창에딘버러</t>
        </is>
      </c>
      <c r="D260" s="104" t="inlineStr">
        <is>
          <t>대중제</t>
        </is>
      </c>
      <c r="E260" s="116" t="inlineStr">
        <is>
          <t>청주시 청원구 오창읍 두릉유리로 846</t>
        </is>
      </c>
      <c r="F260" s="112" t="n">
        <v>9</v>
      </c>
      <c r="G260" s="112">
        <f>F260*4</f>
        <v/>
      </c>
      <c r="H260" s="117" t="n">
        <v>391643</v>
      </c>
      <c r="I260" s="118" t="inlineStr">
        <is>
          <t>운하리조트㈜오형근,이창옥</t>
        </is>
      </c>
      <c r="J260" s="108" t="n"/>
      <c r="K260" s="108" t="n"/>
      <c r="L260" s="108" t="n"/>
      <c r="M260" s="108" t="n"/>
      <c r="N260" s="108" t="n"/>
      <c r="O260" s="108" t="n"/>
      <c r="P260" s="112" t="n"/>
      <c r="Q260" s="119" t="n"/>
      <c r="R260" s="108" t="n"/>
      <c r="S260" s="110" t="inlineStr">
        <is>
          <t>🔲 데이터수집예정</t>
        </is>
      </c>
      <c r="T260" s="126" t="n"/>
      <c r="W260" s="121" t="n"/>
    </row>
    <row r="261" ht="18" customHeight="1" s="97">
      <c r="A261" s="101" t="n">
        <v>259</v>
      </c>
      <c r="B261" s="102" t="inlineStr">
        <is>
          <t>충북</t>
        </is>
      </c>
      <c r="C261" s="123" t="inlineStr">
        <is>
          <t>올데이골프앤리조트</t>
        </is>
      </c>
      <c r="D261" s="104" t="inlineStr">
        <is>
          <t>대중제</t>
        </is>
      </c>
      <c r="E261" s="105" t="inlineStr">
        <is>
          <t>충주시 앙성면 조천리 350</t>
        </is>
      </c>
      <c r="F261" s="101" t="n">
        <v>27</v>
      </c>
      <c r="G261" s="101">
        <f>F261*4</f>
        <v/>
      </c>
      <c r="H261" s="106" t="n">
        <v>1371052</v>
      </c>
      <c r="I261" s="107" t="inlineStr">
        <is>
          <t>㈜에스엘세레스안중기</t>
        </is>
      </c>
      <c r="J261" s="108" t="n"/>
      <c r="K261" s="108" t="n"/>
      <c r="L261" s="108" t="n"/>
      <c r="M261" s="108" t="n"/>
      <c r="N261" s="108" t="n"/>
      <c r="O261" s="108" t="n"/>
      <c r="P261" s="101" t="n"/>
      <c r="Q261" s="109" t="n"/>
      <c r="R261" s="108" t="n"/>
      <c r="S261" s="110" t="inlineStr">
        <is>
          <t>🔲 데이터수집예정</t>
        </is>
      </c>
      <c r="T261" s="136" t="n"/>
      <c r="W261" s="111" t="n"/>
    </row>
    <row r="262" ht="18" customHeight="1" s="97">
      <c r="A262" s="112" t="n">
        <v>260</v>
      </c>
      <c r="B262" s="113" t="inlineStr">
        <is>
          <t>충북</t>
        </is>
      </c>
      <c r="C262" s="122" t="inlineStr">
        <is>
          <t>이븐데일</t>
        </is>
      </c>
      <c r="D262" s="104" t="inlineStr">
        <is>
          <t>대중제</t>
        </is>
      </c>
      <c r="E262" s="116" t="inlineStr">
        <is>
          <t>청주시 상당구 미원면 대신2길 31</t>
        </is>
      </c>
      <c r="F262" s="112" t="n">
        <v>18</v>
      </c>
      <c r="G262" s="112">
        <f>F262*4</f>
        <v/>
      </c>
      <c r="H262" s="117" t="n">
        <v>982711</v>
      </c>
      <c r="I262" s="126" t="inlineStr">
        <is>
          <t>(주)경원실업홍승우</t>
        </is>
      </c>
      <c r="J262" s="108" t="n"/>
      <c r="K262" s="108" t="n"/>
      <c r="L262" s="108" t="n"/>
      <c r="M262" s="108" t="n"/>
      <c r="N262" s="108" t="n"/>
      <c r="O262" s="108" t="n"/>
      <c r="P262" s="112" t="n"/>
      <c r="Q262" s="119" t="n"/>
      <c r="R262" s="108" t="n"/>
      <c r="S262" s="110" t="inlineStr">
        <is>
          <t>🔲 데이터수집예정</t>
        </is>
      </c>
      <c r="T262" s="126" t="n"/>
      <c r="W262" s="121" t="n"/>
    </row>
    <row r="263" ht="18" customHeight="1" s="97">
      <c r="A263" s="101" t="n">
        <v>261</v>
      </c>
      <c r="B263" s="102" t="inlineStr">
        <is>
          <t>충북</t>
        </is>
      </c>
      <c r="C263" s="123" t="inlineStr">
        <is>
          <t>일레븐</t>
        </is>
      </c>
      <c r="D263" s="104" t="inlineStr">
        <is>
          <t>대중제</t>
        </is>
      </c>
      <c r="E263" s="105" t="inlineStr">
        <is>
          <t>충주시 앙성면 본평리 산 43-1</t>
        </is>
      </c>
      <c r="F263" s="101" t="n">
        <v>18</v>
      </c>
      <c r="G263" s="101">
        <f>F263*4</f>
        <v/>
      </c>
      <c r="H263" s="106" t="n">
        <v>1245258</v>
      </c>
      <c r="I263" s="136" t="inlineStr">
        <is>
          <t>(주)일레븐건설송창의</t>
        </is>
      </c>
      <c r="J263" s="108" t="n"/>
      <c r="K263" s="108" t="n"/>
      <c r="L263" s="108" t="n"/>
      <c r="M263" s="108" t="n"/>
      <c r="N263" s="108" t="n"/>
      <c r="O263" s="108" t="n"/>
      <c r="P263" s="101" t="n"/>
      <c r="Q263" s="109" t="n"/>
      <c r="R263" s="108" t="n"/>
      <c r="S263" s="110" t="inlineStr">
        <is>
          <t>🔲 데이터수집예정</t>
        </is>
      </c>
      <c r="T263" s="136" t="n"/>
      <c r="W263" s="111" t="n"/>
    </row>
    <row r="264" ht="18" customHeight="1" s="97">
      <c r="A264" s="112" t="n">
        <v>262</v>
      </c>
      <c r="B264" s="113" t="inlineStr">
        <is>
          <t>충북</t>
        </is>
      </c>
      <c r="C264" s="122" t="inlineStr">
        <is>
          <t>젠스필드</t>
        </is>
      </c>
      <c r="D264" s="104" t="inlineStr">
        <is>
          <t>대중제</t>
        </is>
      </c>
      <c r="E264" s="116" t="inlineStr">
        <is>
          <t>음성군 삼성면 덕호로 382</t>
        </is>
      </c>
      <c r="F264" s="112" t="n">
        <v>18</v>
      </c>
      <c r="G264" s="112">
        <f>F264*4</f>
        <v/>
      </c>
      <c r="H264" s="117" t="n">
        <v>896185</v>
      </c>
      <c r="I264" s="118" t="inlineStr">
        <is>
          <t>㈜신라레져이상균</t>
        </is>
      </c>
      <c r="J264" s="108" t="n"/>
      <c r="K264" s="108" t="n"/>
      <c r="L264" s="108" t="n"/>
      <c r="M264" s="108" t="n"/>
      <c r="N264" s="108" t="n"/>
      <c r="O264" s="108" t="n"/>
      <c r="P264" s="112" t="n"/>
      <c r="Q264" s="119" t="n"/>
      <c r="R264" s="108" t="n"/>
      <c r="S264" s="110" t="inlineStr">
        <is>
          <t>🔲 데이터수집예정</t>
        </is>
      </c>
      <c r="T264" s="126" t="n"/>
      <c r="W264" s="121" t="n"/>
    </row>
    <row r="265" ht="18" customHeight="1" s="97">
      <c r="A265" s="101" t="n">
        <v>263</v>
      </c>
      <c r="B265" s="102" t="inlineStr">
        <is>
          <t>충북</t>
        </is>
      </c>
      <c r="C265" s="123" t="inlineStr">
        <is>
          <t>중원</t>
        </is>
      </c>
      <c r="D265" s="104" t="inlineStr">
        <is>
          <t>대중제</t>
        </is>
      </c>
      <c r="E265" s="105" t="inlineStr">
        <is>
          <t>충주시 산척면 인등로 392</t>
        </is>
      </c>
      <c r="F265" s="101" t="n">
        <v>27</v>
      </c>
      <c r="G265" s="101">
        <f>F265*4</f>
        <v/>
      </c>
      <c r="H265" s="106" t="n">
        <v>1179674</v>
      </c>
      <c r="I265" s="136" t="inlineStr">
        <is>
          <t>(유)중원골프크럽이용규</t>
        </is>
      </c>
      <c r="J265" s="108" t="n"/>
      <c r="K265" s="108" t="n"/>
      <c r="L265" s="108" t="n"/>
      <c r="M265" s="108" t="n"/>
      <c r="N265" s="108" t="n"/>
      <c r="O265" s="108" t="n"/>
      <c r="P265" s="101" t="n"/>
      <c r="Q265" s="109" t="n"/>
      <c r="R265" s="108" t="n"/>
      <c r="S265" s="110" t="inlineStr">
        <is>
          <t>🔲 데이터수집예정</t>
        </is>
      </c>
      <c r="T265" s="136" t="n"/>
      <c r="W265" s="111" t="n"/>
    </row>
    <row r="266" ht="18" customHeight="1" s="97">
      <c r="A266" s="112" t="n">
        <v>264</v>
      </c>
      <c r="B266" s="113" t="inlineStr">
        <is>
          <t>충북</t>
        </is>
      </c>
      <c r="C266" s="122" t="inlineStr">
        <is>
          <t>진양밸리</t>
        </is>
      </c>
      <c r="D266" s="104" t="inlineStr">
        <is>
          <t>대중제</t>
        </is>
      </c>
      <c r="E266" s="116" t="inlineStr">
        <is>
          <t>음성군 삼성면 금일로 1195</t>
        </is>
      </c>
      <c r="F266" s="112" t="n">
        <v>27</v>
      </c>
      <c r="G266" s="112">
        <f>F266*4</f>
        <v/>
      </c>
      <c r="H266" s="117" t="n">
        <v>1372015</v>
      </c>
      <c r="I266" s="118" t="inlineStr">
        <is>
          <t>진양개발㈜이종현</t>
        </is>
      </c>
      <c r="J266" s="108" t="n"/>
      <c r="K266" s="108" t="n"/>
      <c r="L266" s="108" t="n"/>
      <c r="M266" s="108" t="n"/>
      <c r="N266" s="108" t="n"/>
      <c r="O266" s="108" t="n"/>
      <c r="P266" s="112" t="n"/>
      <c r="Q266" s="119" t="n"/>
      <c r="R266" s="108" t="n"/>
      <c r="S266" s="110" t="inlineStr">
        <is>
          <t>🔲 데이터수집예정</t>
        </is>
      </c>
      <c r="T266" s="126" t="n"/>
      <c r="W266" s="121" t="n"/>
    </row>
    <row r="267" ht="18" customHeight="1" s="97">
      <c r="A267" s="101" t="n">
        <v>265</v>
      </c>
      <c r="B267" s="102" t="inlineStr">
        <is>
          <t>충북</t>
        </is>
      </c>
      <c r="C267" s="123" t="inlineStr">
        <is>
          <t>천룡</t>
        </is>
      </c>
      <c r="D267" s="115" t="inlineStr">
        <is>
          <t>회원제</t>
        </is>
      </c>
      <c r="E267" s="105" t="inlineStr">
        <is>
          <t>진천군 이월면 진안로 347-123</t>
        </is>
      </c>
      <c r="F267" s="101" t="n">
        <v>27</v>
      </c>
      <c r="G267" s="101">
        <f>F267*4</f>
        <v/>
      </c>
      <c r="H267" s="106" t="n">
        <v>1153107</v>
      </c>
      <c r="I267" s="107" t="inlineStr">
        <is>
          <t>천룡종합개발㈜윤진동</t>
        </is>
      </c>
      <c r="J267" s="108" t="n"/>
      <c r="K267" s="108" t="n"/>
      <c r="L267" s="108" t="n"/>
      <c r="M267" s="108" t="n"/>
      <c r="N267" s="108" t="n"/>
      <c r="O267" s="108" t="n"/>
      <c r="P267" s="101" t="n"/>
      <c r="Q267" s="109" t="n"/>
      <c r="R267" s="108" t="n"/>
      <c r="S267" s="110" t="inlineStr">
        <is>
          <t>🔲 데이터수집예정</t>
        </is>
      </c>
      <c r="T267" s="136" t="inlineStr">
        <is>
          <t>https://www.crcc.co.kr/</t>
        </is>
      </c>
      <c r="U267" s="96" t="n">
        <v>2009</v>
      </c>
      <c r="V267" s="96" t="inlineStr">
        <is>
          <t>043-536-1001</t>
        </is>
      </c>
      <c r="W267" s="125" t="n"/>
    </row>
    <row r="268" ht="18" customHeight="1" s="97">
      <c r="A268" s="112" t="n">
        <v>266</v>
      </c>
      <c r="B268" s="113" t="inlineStr">
        <is>
          <t>충북</t>
        </is>
      </c>
      <c r="C268" s="122" t="inlineStr">
        <is>
          <t>천룡</t>
        </is>
      </c>
      <c r="D268" s="104" t="inlineStr">
        <is>
          <t>대중제</t>
        </is>
      </c>
      <c r="E268" s="116" t="inlineStr">
        <is>
          <t>진천군 이월면 진안로 425</t>
        </is>
      </c>
      <c r="F268" s="112" t="n">
        <v>9</v>
      </c>
      <c r="G268" s="112">
        <f>F268*4</f>
        <v/>
      </c>
      <c r="H268" s="117" t="n">
        <v>259636</v>
      </c>
      <c r="I268" s="118" t="inlineStr">
        <is>
          <t>천룡종합개발㈜윤진동</t>
        </is>
      </c>
      <c r="J268" s="108" t="n"/>
      <c r="K268" s="108" t="n"/>
      <c r="L268" s="108" t="n"/>
      <c r="M268" s="108" t="n"/>
      <c r="N268" s="108" t="n"/>
      <c r="O268" s="108" t="n"/>
      <c r="P268" s="112" t="n"/>
      <c r="Q268" s="119" t="n"/>
      <c r="R268" s="108" t="n"/>
      <c r="S268" s="110" t="inlineStr">
        <is>
          <t>🔲 데이터수집예정</t>
        </is>
      </c>
      <c r="T268" s="126" t="inlineStr">
        <is>
          <t>https://www.crcc.co.kr/</t>
        </is>
      </c>
      <c r="U268" s="96" t="n">
        <v>2009</v>
      </c>
      <c r="V268" s="96" t="inlineStr">
        <is>
          <t>043-536-1001</t>
        </is>
      </c>
      <c r="W268" s="121" t="n"/>
    </row>
    <row r="269" ht="18" customHeight="1" s="97">
      <c r="A269" s="101" t="n">
        <v>267</v>
      </c>
      <c r="B269" s="102" t="inlineStr">
        <is>
          <t>충북</t>
        </is>
      </c>
      <c r="C269" s="123" t="inlineStr">
        <is>
          <t>코스카</t>
        </is>
      </c>
      <c r="D269" s="104" t="inlineStr">
        <is>
          <t>대중제</t>
        </is>
      </c>
      <c r="E269" s="105" t="inlineStr">
        <is>
          <t>음성군 음성읍 동음로 318</t>
        </is>
      </c>
      <c r="F269" s="101" t="n">
        <v>27</v>
      </c>
      <c r="G269" s="101">
        <f>F269*4</f>
        <v/>
      </c>
      <c r="H269" s="106" t="n">
        <v>1421784</v>
      </c>
      <c r="I269" s="107" t="inlineStr">
        <is>
          <t>항석개발㈜이종광</t>
        </is>
      </c>
      <c r="J269" s="108" t="n"/>
      <c r="K269" s="108" t="n"/>
      <c r="L269" s="108" t="n"/>
      <c r="M269" s="108" t="n"/>
      <c r="N269" s="108" t="n"/>
      <c r="O269" s="108" t="n"/>
      <c r="P269" s="101" t="n"/>
      <c r="Q269" s="109" t="n"/>
      <c r="R269" s="108" t="n"/>
      <c r="S269" s="110" t="inlineStr">
        <is>
          <t>🔲 데이터수집예정</t>
        </is>
      </c>
      <c r="T269" s="136" t="n"/>
      <c r="W269" s="111" t="n"/>
    </row>
    <row r="270" ht="18" customHeight="1" s="97">
      <c r="A270" s="112" t="n">
        <v>268</v>
      </c>
      <c r="B270" s="113" t="inlineStr">
        <is>
          <t>충북</t>
        </is>
      </c>
      <c r="C270" s="122" t="inlineStr">
        <is>
          <t>클럽디보은</t>
        </is>
      </c>
      <c r="D270" s="104" t="inlineStr">
        <is>
          <t>대중제</t>
        </is>
      </c>
      <c r="E270" s="116" t="inlineStr">
        <is>
          <t>보은군 보은읍 장속중초로 386</t>
        </is>
      </c>
      <c r="F270" s="112" t="n">
        <v>18</v>
      </c>
      <c r="G270" s="112">
        <f>F270*4</f>
        <v/>
      </c>
      <c r="H270" s="117" t="n">
        <v>944128</v>
      </c>
      <c r="I270" s="118" t="inlineStr">
        <is>
          <t>㈜이도 최정훈</t>
        </is>
      </c>
      <c r="J270" s="108" t="n"/>
      <c r="K270" s="108" t="n"/>
      <c r="L270" s="108" t="n"/>
      <c r="M270" s="108" t="n"/>
      <c r="N270" s="108" t="n"/>
      <c r="O270" s="108" t="n"/>
      <c r="P270" s="112" t="n"/>
      <c r="Q270" s="119" t="n"/>
      <c r="R270" s="108" t="n"/>
      <c r="S270" s="110" t="inlineStr">
        <is>
          <t>🔲 데이터수집예정</t>
        </is>
      </c>
      <c r="T270" s="126" t="n"/>
      <c r="W270" s="121" t="n"/>
    </row>
    <row r="271" ht="18" customHeight="1" s="97">
      <c r="A271" s="101" t="n">
        <v>269</v>
      </c>
      <c r="B271" s="102" t="inlineStr">
        <is>
          <t>충북</t>
        </is>
      </c>
      <c r="C271" s="123" t="inlineStr">
        <is>
          <t>클럽디속리산</t>
        </is>
      </c>
      <c r="D271" s="104" t="inlineStr">
        <is>
          <t>대중제</t>
        </is>
      </c>
      <c r="E271" s="105" t="inlineStr">
        <is>
          <t>보은군 탄부면 평각상장로 230</t>
        </is>
      </c>
      <c r="F271" s="101" t="n">
        <v>18</v>
      </c>
      <c r="G271" s="101">
        <f>F271*4</f>
        <v/>
      </c>
      <c r="H271" s="106" t="n">
        <v>828506</v>
      </c>
      <c r="I271" s="107" t="inlineStr">
        <is>
          <t>㈜이도 최정훈</t>
        </is>
      </c>
      <c r="J271" s="108" t="n"/>
      <c r="K271" s="108" t="n"/>
      <c r="L271" s="108" t="n"/>
      <c r="M271" s="108" t="n"/>
      <c r="N271" s="108" t="n"/>
      <c r="O271" s="108" t="n"/>
      <c r="P271" s="101" t="n"/>
      <c r="Q271" s="109" t="n"/>
      <c r="R271" s="108" t="n"/>
      <c r="S271" s="110" t="inlineStr">
        <is>
          <t>🔲 데이터수집예정</t>
        </is>
      </c>
      <c r="T271" s="136" t="n"/>
      <c r="W271" s="111" t="n"/>
    </row>
    <row r="272" ht="18" customHeight="1" s="97">
      <c r="A272" s="112" t="n">
        <v>270</v>
      </c>
      <c r="B272" s="113" t="inlineStr">
        <is>
          <t>충북</t>
        </is>
      </c>
      <c r="C272" s="122" t="inlineStr">
        <is>
          <t>킹스데일</t>
        </is>
      </c>
      <c r="D272" s="104" t="inlineStr">
        <is>
          <t>대중제</t>
        </is>
      </c>
      <c r="E272" s="116" t="inlineStr">
        <is>
          <t>충주시 주덕면 기업도시3로 2</t>
        </is>
      </c>
      <c r="F272" s="112" t="n">
        <v>18</v>
      </c>
      <c r="G272" s="112">
        <f>F272*4</f>
        <v/>
      </c>
      <c r="H272" s="117" t="n">
        <v>870252</v>
      </c>
      <c r="I272" s="118" t="inlineStr">
        <is>
          <t>킹스데일㈜</t>
        </is>
      </c>
      <c r="J272" s="108" t="n"/>
      <c r="K272" s="108" t="n"/>
      <c r="L272" s="108" t="n"/>
      <c r="M272" s="108" t="n"/>
      <c r="N272" s="108" t="n"/>
      <c r="O272" s="108" t="n"/>
      <c r="P272" s="112" t="n"/>
      <c r="Q272" s="119" t="n"/>
      <c r="R272" s="108" t="n"/>
      <c r="S272" s="110" t="inlineStr">
        <is>
          <t>🔲 데이터수집예정</t>
        </is>
      </c>
      <c r="T272" s="126" t="n"/>
      <c r="W272" s="121" t="n"/>
    </row>
    <row r="273" ht="18" customHeight="1" s="97">
      <c r="A273" s="101" t="n">
        <v>271</v>
      </c>
      <c r="B273" s="102" t="inlineStr">
        <is>
          <t>충북</t>
        </is>
      </c>
      <c r="C273" s="123" t="inlineStr">
        <is>
          <t>킹즈락</t>
        </is>
      </c>
      <c r="D273" s="104" t="inlineStr">
        <is>
          <t>대중제</t>
        </is>
      </c>
      <c r="E273" s="105" t="inlineStr">
        <is>
          <t>제천시 천남동 내토로7길 136</t>
        </is>
      </c>
      <c r="F273" s="101" t="n">
        <v>27</v>
      </c>
      <c r="G273" s="101">
        <f>F273*4</f>
        <v/>
      </c>
      <c r="H273" s="106" t="n">
        <v>1253344</v>
      </c>
      <c r="I273" s="107" t="inlineStr">
        <is>
          <t>㈜이엔엘정성훈</t>
        </is>
      </c>
      <c r="J273" s="108" t="n"/>
      <c r="K273" s="108" t="n"/>
      <c r="L273" s="108" t="n"/>
      <c r="M273" s="108" t="n"/>
      <c r="N273" s="108" t="n"/>
      <c r="O273" s="108" t="n"/>
      <c r="P273" s="101" t="n"/>
      <c r="Q273" s="109" t="n"/>
      <c r="R273" s="108" t="n"/>
      <c r="S273" s="110" t="inlineStr">
        <is>
          <t>🔲 데이터수집예정</t>
        </is>
      </c>
      <c r="T273" s="136" t="n"/>
      <c r="W273" s="111" t="n"/>
    </row>
    <row r="274" ht="18" customHeight="1" s="97">
      <c r="A274" s="141" t="n">
        <v>272</v>
      </c>
      <c r="B274" s="142" t="inlineStr">
        <is>
          <t>대전</t>
        </is>
      </c>
      <c r="C274" s="143" t="inlineStr">
        <is>
          <t>금실대덕밸리CC</t>
        </is>
      </c>
      <c r="D274" s="144" t="inlineStr">
        <is>
          <t>대중제</t>
        </is>
      </c>
      <c r="E274" s="145" t="inlineStr">
        <is>
          <t>대전 유성구 테크노중앙로 210(용산동 676번지)</t>
        </is>
      </c>
      <c r="F274" s="141" t="n">
        <v>9</v>
      </c>
      <c r="G274" s="141">
        <f>F274*4</f>
        <v/>
      </c>
      <c r="H274" s="146" t="n">
        <v>259401</v>
      </c>
      <c r="I274" s="147" t="inlineStr">
        <is>
          <t>정영숙</t>
        </is>
      </c>
      <c r="J274" s="148" t="n"/>
      <c r="K274" s="148" t="n"/>
      <c r="L274" s="148" t="n"/>
      <c r="M274" s="148" t="n"/>
      <c r="N274" s="148" t="n"/>
      <c r="O274" s="148" t="n"/>
      <c r="P274" s="141" t="n"/>
      <c r="Q274" s="149" t="n"/>
      <c r="R274" s="148" t="n"/>
      <c r="S274" s="150" t="inlineStr">
        <is>
          <t>🔲 데이터수집예정</t>
        </is>
      </c>
      <c r="T274" s="147" t="n"/>
      <c r="W274" s="151" t="n"/>
    </row>
    <row r="275" ht="18" customHeight="1" s="97">
      <c r="A275" s="101" t="n">
        <v>273</v>
      </c>
      <c r="B275" s="102" t="inlineStr">
        <is>
          <t>대전</t>
        </is>
      </c>
      <c r="C275" s="123" t="inlineStr">
        <is>
          <t>대덕복지센터</t>
        </is>
      </c>
      <c r="D275" s="104" t="inlineStr">
        <is>
          <t>대중제</t>
        </is>
      </c>
      <c r="E275" s="105" t="inlineStr">
        <is>
          <t>대전 유성구 유성대로 1689번길 69(전민동 463번지)</t>
        </is>
      </c>
      <c r="F275" s="101" t="n">
        <v>9</v>
      </c>
      <c r="G275" s="101">
        <f>F275*4</f>
        <v/>
      </c>
      <c r="H275" s="106" t="n">
        <v>318382</v>
      </c>
      <c r="I275" s="107" t="inlineStr">
        <is>
          <t>배재웅</t>
        </is>
      </c>
      <c r="J275" s="108" t="n"/>
      <c r="K275" s="108" t="n"/>
      <c r="L275" s="108" t="n"/>
      <c r="M275" s="108" t="n"/>
      <c r="N275" s="108" t="n"/>
      <c r="O275" s="108" t="n"/>
      <c r="P275" s="101" t="n"/>
      <c r="Q275" s="109" t="n"/>
      <c r="R275" s="108" t="n"/>
      <c r="S275" s="110" t="inlineStr">
        <is>
          <t>🔲 데이터수집예정</t>
        </is>
      </c>
      <c r="T275" s="136" t="n"/>
      <c r="W275" s="111" t="n"/>
    </row>
    <row r="276" ht="18" customHeight="1" s="97">
      <c r="A276" s="112" t="n">
        <v>274</v>
      </c>
      <c r="B276" s="113" t="inlineStr">
        <is>
          <t>대전</t>
        </is>
      </c>
      <c r="C276" s="122" t="inlineStr">
        <is>
          <t>유성컨트리클럽</t>
        </is>
      </c>
      <c r="D276" s="115" t="inlineStr">
        <is>
          <t>회원제</t>
        </is>
      </c>
      <c r="E276" s="116" t="inlineStr">
        <is>
          <t>대전 유성구 현충원로 200(덕명동 215-7번지)</t>
        </is>
      </c>
      <c r="F276" s="112" t="n">
        <v>18</v>
      </c>
      <c r="G276" s="112">
        <f>F276*4</f>
        <v/>
      </c>
      <c r="H276" s="117" t="n">
        <v>1156423</v>
      </c>
      <c r="I276" s="118" t="inlineStr">
        <is>
          <t>강현모강은모</t>
        </is>
      </c>
      <c r="J276" s="133" t="n">
        <v>2.8</v>
      </c>
      <c r="K276" s="133" t="n">
        <v>3</v>
      </c>
      <c r="L276" s="133" t="n">
        <v>3.2</v>
      </c>
      <c r="M276" s="139" t="n">
        <v>4</v>
      </c>
      <c r="N276" s="133" t="n">
        <v>3.3</v>
      </c>
      <c r="O276" s="135">
        <f>ROUND(AVERAGE(J276:N276),2)</f>
        <v/>
      </c>
      <c r="P276" s="112" t="n">
        <v>113</v>
      </c>
      <c r="Q276" s="119" t="n">
        <v>69.3</v>
      </c>
      <c r="R276" s="164" t="inlineStr">
        <is>
          <t>초급</t>
        </is>
      </c>
      <c r="S276" s="131" t="inlineStr">
        <is>
          <t>✅ 서비스중</t>
        </is>
      </c>
      <c r="T276" s="132" t="inlineStr">
        <is>
          <t>https://www.yusungcc.co.kr</t>
        </is>
      </c>
      <c r="W276" s="121" t="n"/>
    </row>
    <row r="277" ht="18" customHeight="1" s="97">
      <c r="A277" s="152" t="n">
        <v>275</v>
      </c>
      <c r="B277" s="153" t="inlineStr">
        <is>
          <t>세종</t>
        </is>
      </c>
      <c r="C277" s="163" t="inlineStr">
        <is>
          <t>건설공제조합세종필드골프클럽</t>
        </is>
      </c>
      <c r="D277" s="144" t="inlineStr">
        <is>
          <t>대중제</t>
        </is>
      </c>
      <c r="E277" s="155" t="inlineStr">
        <is>
          <t>세종시 정안세종로  1569</t>
        </is>
      </c>
      <c r="F277" s="152" t="n">
        <v>18</v>
      </c>
      <c r="G277" s="152">
        <f>F277*4</f>
        <v/>
      </c>
      <c r="H277" s="156" t="n">
        <v>1009660</v>
      </c>
      <c r="I277" s="157" t="inlineStr">
        <is>
          <t>건설공제조합</t>
        </is>
      </c>
      <c r="J277" s="148" t="n"/>
      <c r="K277" s="148" t="n"/>
      <c r="L277" s="148" t="n"/>
      <c r="M277" s="148" t="n"/>
      <c r="N277" s="148" t="n"/>
      <c r="O277" s="148" t="n"/>
      <c r="P277" s="152" t="n"/>
      <c r="Q277" s="158" t="n"/>
      <c r="R277" s="148" t="n"/>
      <c r="S277" s="150" t="inlineStr">
        <is>
          <t>🔲 데이터수집예정</t>
        </is>
      </c>
      <c r="T277" s="165" t="inlineStr">
        <is>
          <t>https://www.sejongcc.com/</t>
        </is>
      </c>
      <c r="U277" s="96" t="n">
        <v>2004</v>
      </c>
      <c r="V277" s="96" t="inlineStr">
        <is>
          <t>044-864-1000</t>
        </is>
      </c>
      <c r="W277" s="166" t="n"/>
    </row>
    <row r="278" ht="18" customHeight="1" s="97">
      <c r="A278" s="112" t="n">
        <v>276</v>
      </c>
      <c r="B278" s="113" t="inlineStr">
        <is>
          <t>세종</t>
        </is>
      </c>
      <c r="C278" s="122" t="inlineStr">
        <is>
          <t>세종레이캐슬골프&amp;리조트</t>
        </is>
      </c>
      <c r="D278" s="104" t="inlineStr">
        <is>
          <t>대중제</t>
        </is>
      </c>
      <c r="E278" s="116" t="inlineStr">
        <is>
          <t>세종시 전의면 의당전의로 252</t>
        </is>
      </c>
      <c r="F278" s="112" t="n">
        <v>27</v>
      </c>
      <c r="G278" s="112">
        <f>F278*4</f>
        <v/>
      </c>
      <c r="H278" s="117" t="n">
        <v>1301532</v>
      </c>
      <c r="I278" s="118" t="inlineStr">
        <is>
          <t>㈜자광홀딩스</t>
        </is>
      </c>
      <c r="J278" s="108" t="n"/>
      <c r="K278" s="108" t="n"/>
      <c r="L278" s="108" t="n"/>
      <c r="M278" s="108" t="n"/>
      <c r="N278" s="108" t="n"/>
      <c r="O278" s="108" t="n"/>
      <c r="P278" s="112" t="n"/>
      <c r="Q278" s="119" t="n"/>
      <c r="R278" s="108" t="n"/>
      <c r="S278" s="110" t="inlineStr">
        <is>
          <t>🔲 데이터수집예정</t>
        </is>
      </c>
      <c r="T278" s="126" t="n"/>
      <c r="W278" s="121" t="n"/>
    </row>
    <row r="279" ht="18" customHeight="1" s="97">
      <c r="A279" s="101" t="n">
        <v>277</v>
      </c>
      <c r="B279" s="102" t="inlineStr">
        <is>
          <t>세종</t>
        </is>
      </c>
      <c r="C279" s="123" t="inlineStr">
        <is>
          <t>세종에머슨컨트리클럽</t>
        </is>
      </c>
      <c r="D279" s="115" t="inlineStr">
        <is>
          <t>회원제</t>
        </is>
      </c>
      <c r="E279" s="105" t="inlineStr">
        <is>
          <t>세종시 전의면 운주산로 1510</t>
        </is>
      </c>
      <c r="F279" s="101" t="n">
        <v>27</v>
      </c>
      <c r="G279" s="101">
        <f>F279*4</f>
        <v/>
      </c>
      <c r="H279" s="106" t="n">
        <v>1496123</v>
      </c>
      <c r="I279" s="107" t="inlineStr">
        <is>
          <t>세종에머슨㈜</t>
        </is>
      </c>
      <c r="J279" s="108" t="n"/>
      <c r="K279" s="108" t="n"/>
      <c r="L279" s="108" t="n"/>
      <c r="M279" s="108" t="n"/>
      <c r="N279" s="108" t="n"/>
      <c r="O279" s="108" t="n"/>
      <c r="P279" s="101" t="n"/>
      <c r="Q279" s="109" t="n"/>
      <c r="R279" s="108" t="n"/>
      <c r="S279" s="110" t="inlineStr">
        <is>
          <t>🔲 데이터수집예정</t>
        </is>
      </c>
      <c r="T279" s="136" t="n"/>
      <c r="W279" s="111" t="n"/>
    </row>
    <row r="280" ht="18" customHeight="1" s="97">
      <c r="A280" s="141" t="n">
        <v>278</v>
      </c>
      <c r="B280" s="142" t="inlineStr">
        <is>
          <t>전북</t>
        </is>
      </c>
      <c r="C280" s="160" t="inlineStr">
        <is>
          <t>CLUBD 금강</t>
        </is>
      </c>
      <c r="D280" s="144" t="inlineStr">
        <is>
          <t>대중제</t>
        </is>
      </c>
      <c r="E280" s="145" t="inlineStr">
        <is>
          <t>전라북도 익산시 웅포면 강변로 130</t>
        </is>
      </c>
      <c r="F280" s="141" t="n">
        <v>18</v>
      </c>
      <c r="G280" s="141">
        <f>F280*4</f>
        <v/>
      </c>
      <c r="H280" s="146" t="n">
        <v>1242476.09</v>
      </c>
      <c r="I280" s="147" t="inlineStr">
        <is>
          <t>㈜이도(최정훈)</t>
        </is>
      </c>
      <c r="J280" s="148" t="n"/>
      <c r="K280" s="148" t="n"/>
      <c r="L280" s="148" t="n"/>
      <c r="M280" s="148" t="n"/>
      <c r="N280" s="148" t="n"/>
      <c r="O280" s="148" t="n"/>
      <c r="P280" s="141" t="n"/>
      <c r="Q280" s="149" t="n"/>
      <c r="R280" s="148" t="n"/>
      <c r="S280" s="150" t="inlineStr">
        <is>
          <t>🔲 데이터수집예정</t>
        </is>
      </c>
      <c r="T280" s="147" t="n"/>
      <c r="W280" s="151" t="n"/>
    </row>
    <row r="281" ht="18" customHeight="1" s="97">
      <c r="A281" s="101" t="n">
        <v>279</v>
      </c>
      <c r="B281" s="102" t="inlineStr">
        <is>
          <t>전북</t>
        </is>
      </c>
      <c r="C281" s="103" t="inlineStr">
        <is>
          <t>OKCC</t>
        </is>
      </c>
      <c r="D281" s="104" t="inlineStr">
        <is>
          <t>대중제</t>
        </is>
      </c>
      <c r="E281" s="105" t="inlineStr">
        <is>
          <t>전라북도 완주군 소양면 화심리 300</t>
        </is>
      </c>
      <c r="F281" s="101" t="n">
        <v>9</v>
      </c>
      <c r="G281" s="101">
        <f>F281*4</f>
        <v/>
      </c>
      <c r="H281" s="106" t="n">
        <v>341398</v>
      </c>
      <c r="I281" s="107" t="inlineStr">
        <is>
          <t>㈜오케이(문무양)</t>
        </is>
      </c>
      <c r="J281" s="108" t="n"/>
      <c r="K281" s="108" t="n"/>
      <c r="L281" s="108" t="n"/>
      <c r="M281" s="108" t="n"/>
      <c r="N281" s="108" t="n"/>
      <c r="O281" s="108" t="n"/>
      <c r="P281" s="101" t="n"/>
      <c r="Q281" s="109" t="n"/>
      <c r="R281" s="108" t="n"/>
      <c r="S281" s="110" t="inlineStr">
        <is>
          <t>🔲 데이터수집예정</t>
        </is>
      </c>
      <c r="T281" s="136" t="n"/>
      <c r="W281" s="111" t="n"/>
    </row>
    <row r="282" ht="18" customHeight="1" s="97">
      <c r="A282" s="112" t="n">
        <v>280</v>
      </c>
      <c r="B282" s="113" t="inlineStr">
        <is>
          <t>전북</t>
        </is>
      </c>
      <c r="C282" s="122" t="inlineStr">
        <is>
          <t>고창CC</t>
        </is>
      </c>
      <c r="D282" s="104" t="inlineStr">
        <is>
          <t>대중제</t>
        </is>
      </c>
      <c r="E282" s="116" t="inlineStr">
        <is>
          <t>전라북도 고창군 심원면 애향갯벌로 70</t>
        </is>
      </c>
      <c r="F282" s="112" t="n">
        <v>21</v>
      </c>
      <c r="G282" s="112">
        <f>F282*4</f>
        <v/>
      </c>
      <c r="H282" s="117" t="n">
        <v>760515</v>
      </c>
      <c r="I282" s="118" t="inlineStr">
        <is>
          <t>동호레저㈜(김선미)</t>
        </is>
      </c>
      <c r="J282" s="108" t="n"/>
      <c r="K282" s="108" t="n"/>
      <c r="L282" s="108" t="n"/>
      <c r="M282" s="108" t="n"/>
      <c r="N282" s="108" t="n"/>
      <c r="O282" s="108" t="n"/>
      <c r="P282" s="112" t="n"/>
      <c r="Q282" s="119" t="n"/>
      <c r="R282" s="108" t="n"/>
      <c r="S282" s="110" t="inlineStr">
        <is>
          <t>🔲 데이터수집예정</t>
        </is>
      </c>
      <c r="T282" s="126" t="n"/>
      <c r="W282" s="121" t="n"/>
    </row>
    <row r="283" ht="18" customHeight="1" s="97">
      <c r="A283" s="101" t="n">
        <v>281</v>
      </c>
      <c r="B283" s="102" t="inlineStr">
        <is>
          <t>전북</t>
        </is>
      </c>
      <c r="C283" s="123" t="inlineStr">
        <is>
          <t>골프존 카운티 드래곤</t>
        </is>
      </c>
      <c r="D283" s="104" t="inlineStr">
        <is>
          <t>대중제</t>
        </is>
      </c>
      <c r="E283" s="105" t="inlineStr">
        <is>
          <t>전라북도 남원시 대산면 대사로 498</t>
        </is>
      </c>
      <c r="F283" s="101" t="n">
        <v>18</v>
      </c>
      <c r="G283" s="101">
        <f>F283*4</f>
        <v/>
      </c>
      <c r="H283" s="106" t="n">
        <v>939327</v>
      </c>
      <c r="I283" s="107" t="inlineStr">
        <is>
          <t>신한레저㈜(박남식)</t>
        </is>
      </c>
      <c r="J283" s="108" t="n"/>
      <c r="K283" s="108" t="n"/>
      <c r="L283" s="108" t="n"/>
      <c r="M283" s="108" t="n"/>
      <c r="N283" s="108" t="n"/>
      <c r="O283" s="108" t="n"/>
      <c r="P283" s="101" t="n"/>
      <c r="Q283" s="109" t="n"/>
      <c r="R283" s="108" t="n"/>
      <c r="S283" s="110" t="inlineStr">
        <is>
          <t>🔲 데이터수집예정</t>
        </is>
      </c>
      <c r="T283" s="136" t="n"/>
      <c r="W283" s="111" t="n"/>
    </row>
    <row r="284" ht="18" customHeight="1" s="97">
      <c r="A284" s="112" t="n">
        <v>282</v>
      </c>
      <c r="B284" s="113" t="inlineStr">
        <is>
          <t>전북</t>
        </is>
      </c>
      <c r="C284" s="122" t="inlineStr">
        <is>
          <t>골프존카운티무주</t>
        </is>
      </c>
      <c r="D284" s="104" t="inlineStr">
        <is>
          <t>대중제</t>
        </is>
      </c>
      <c r="E284" s="116" t="inlineStr">
        <is>
          <t>전라북도 무주군 안성면 장무로 1537-21</t>
        </is>
      </c>
      <c r="F284" s="112" t="n">
        <v>18</v>
      </c>
      <c r="G284" s="112">
        <f>F284*4</f>
        <v/>
      </c>
      <c r="H284" s="117" t="n">
        <v>895464.6</v>
      </c>
      <c r="I284" s="118" t="inlineStr">
        <is>
          <t>㈜케이제이클럽(유현식)㈜골프존카운티(서상현)</t>
        </is>
      </c>
      <c r="J284" s="108" t="n"/>
      <c r="K284" s="108" t="n"/>
      <c r="L284" s="108" t="n"/>
      <c r="M284" s="108" t="n"/>
      <c r="N284" s="108" t="n"/>
      <c r="O284" s="108" t="n"/>
      <c r="P284" s="112" t="n"/>
      <c r="Q284" s="119" t="n"/>
      <c r="R284" s="108" t="n"/>
      <c r="S284" s="110" t="inlineStr">
        <is>
          <t>🔲 데이터수집예정</t>
        </is>
      </c>
      <c r="T284" s="126" t="n"/>
      <c r="W284" s="121" t="n"/>
    </row>
    <row r="285" ht="18" customHeight="1" s="97">
      <c r="A285" s="101" t="n">
        <v>283</v>
      </c>
      <c r="B285" s="102" t="inlineStr">
        <is>
          <t>전북</t>
        </is>
      </c>
      <c r="C285" s="123" t="inlineStr">
        <is>
          <t>골프존카운티선운</t>
        </is>
      </c>
      <c r="D285" s="104" t="inlineStr">
        <is>
          <t>대중제</t>
        </is>
      </c>
      <c r="E285" s="105" t="inlineStr">
        <is>
          <t>전라북도 고창군 아산면 운곡로 418</t>
        </is>
      </c>
      <c r="F285" s="101" t="n">
        <v>18</v>
      </c>
      <c r="G285" s="101">
        <f>F285*4</f>
        <v/>
      </c>
      <c r="H285" s="106" t="n">
        <v>930788</v>
      </c>
      <c r="I285" s="107" t="inlineStr">
        <is>
          <t>㈜골프존카운티(서상현)</t>
        </is>
      </c>
      <c r="J285" s="108" t="n"/>
      <c r="K285" s="108" t="n"/>
      <c r="L285" s="108" t="n"/>
      <c r="M285" s="108" t="n"/>
      <c r="N285" s="108" t="n"/>
      <c r="O285" s="108" t="n"/>
      <c r="P285" s="101" t="n"/>
      <c r="Q285" s="109" t="n"/>
      <c r="R285" s="108" t="n"/>
      <c r="S285" s="110" t="inlineStr">
        <is>
          <t>🔲 데이터수집예정</t>
        </is>
      </c>
      <c r="T285" s="136" t="n"/>
      <c r="W285" s="111" t="n"/>
    </row>
    <row r="286" ht="18" customHeight="1" s="97">
      <c r="A286" s="112" t="n">
        <v>284</v>
      </c>
      <c r="B286" s="113" t="inlineStr">
        <is>
          <t>전북</t>
        </is>
      </c>
      <c r="C286" s="122" t="inlineStr">
        <is>
          <t>군산CC</t>
        </is>
      </c>
      <c r="D286" s="104" t="inlineStr">
        <is>
          <t>대중제</t>
        </is>
      </c>
      <c r="E286" s="116" t="inlineStr">
        <is>
          <t>전라북도 군산시 옥서면 남산군로 1685</t>
        </is>
      </c>
      <c r="F286" s="112" t="n">
        <v>81</v>
      </c>
      <c r="G286" s="112">
        <f>F286*4</f>
        <v/>
      </c>
      <c r="H286" s="117" t="n">
        <v>4240782</v>
      </c>
      <c r="I286" s="118" t="inlineStr">
        <is>
          <t>군산레저산업㈜(박성주)</t>
        </is>
      </c>
      <c r="J286" s="108" t="n"/>
      <c r="K286" s="108" t="n"/>
      <c r="L286" s="108" t="n"/>
      <c r="M286" s="108" t="n"/>
      <c r="N286" s="108" t="n"/>
      <c r="O286" s="108" t="n"/>
      <c r="P286" s="112" t="n"/>
      <c r="Q286" s="119" t="n"/>
      <c r="R286" s="108" t="n"/>
      <c r="S286" s="110" t="inlineStr">
        <is>
          <t>🔲 데이터수집예정</t>
        </is>
      </c>
      <c r="T286" s="126" t="n"/>
      <c r="W286" s="121" t="n"/>
    </row>
    <row r="287" ht="18" customHeight="1" s="97">
      <c r="A287" s="101" t="n">
        <v>285</v>
      </c>
      <c r="B287" s="102" t="inlineStr">
        <is>
          <t>전북</t>
        </is>
      </c>
      <c r="C287" s="123" t="inlineStr">
        <is>
          <t>김제스파힐스CC</t>
        </is>
      </c>
      <c r="D287" s="104" t="inlineStr">
        <is>
          <t>대중제</t>
        </is>
      </c>
      <c r="E287" s="105" t="inlineStr">
        <is>
          <t>전라북도 김제시 온천길 37</t>
        </is>
      </c>
      <c r="F287" s="101" t="n">
        <v>18</v>
      </c>
      <c r="G287" s="101">
        <f>F287*4</f>
        <v/>
      </c>
      <c r="H287" s="106" t="n">
        <v>559779</v>
      </c>
      <c r="I287" s="107" t="inlineStr">
        <is>
          <t>㈜티엠지개발(김현하)</t>
        </is>
      </c>
      <c r="J287" s="108" t="n"/>
      <c r="K287" s="108" t="n"/>
      <c r="L287" s="108" t="n"/>
      <c r="M287" s="108" t="n"/>
      <c r="N287" s="108" t="n"/>
      <c r="O287" s="108" t="n"/>
      <c r="P287" s="101" t="n"/>
      <c r="Q287" s="109" t="n"/>
      <c r="R287" s="108" t="n"/>
      <c r="S287" s="110" t="inlineStr">
        <is>
          <t>🔲 데이터수집예정</t>
        </is>
      </c>
      <c r="T287" s="136" t="n"/>
      <c r="W287" s="111" t="n"/>
    </row>
    <row r="288" ht="18" customHeight="1" s="97">
      <c r="A288" s="112" t="n">
        <v>286</v>
      </c>
      <c r="B288" s="113" t="inlineStr">
        <is>
          <t>전북</t>
        </is>
      </c>
      <c r="C288" s="122" t="inlineStr">
        <is>
          <t>남원상록골프장</t>
        </is>
      </c>
      <c r="D288" s="104" t="inlineStr">
        <is>
          <t>대중제</t>
        </is>
      </c>
      <c r="E288" s="116" t="inlineStr">
        <is>
          <t>전라북도 남원시 대산면 월계길 11</t>
        </is>
      </c>
      <c r="F288" s="112" t="n">
        <v>18</v>
      </c>
      <c r="G288" s="112">
        <f>F288*4</f>
        <v/>
      </c>
      <c r="H288" s="117" t="n">
        <v>1157.2</v>
      </c>
      <c r="I288" s="118" t="inlineStr">
        <is>
          <t>공무원연금공단</t>
        </is>
      </c>
      <c r="J288" s="108" t="n"/>
      <c r="K288" s="108" t="n"/>
      <c r="L288" s="108" t="n"/>
      <c r="M288" s="108" t="n"/>
      <c r="N288" s="108" t="n"/>
      <c r="O288" s="108" t="n"/>
      <c r="P288" s="112" t="n"/>
      <c r="Q288" s="119" t="n"/>
      <c r="R288" s="108" t="n"/>
      <c r="S288" s="110" t="inlineStr">
        <is>
          <t>🔲 데이터수집예정</t>
        </is>
      </c>
      <c r="T288" s="126" t="n"/>
      <c r="W288" s="121" t="n"/>
    </row>
    <row r="289" ht="18" customHeight="1" s="97">
      <c r="A289" s="101" t="n">
        <v>287</v>
      </c>
      <c r="B289" s="102" t="inlineStr">
        <is>
          <t>전북</t>
        </is>
      </c>
      <c r="C289" s="123" t="inlineStr">
        <is>
          <t>내장산골프&amp;리조트</t>
        </is>
      </c>
      <c r="D289" s="104" t="inlineStr">
        <is>
          <t>대중제</t>
        </is>
      </c>
      <c r="E289" s="105" t="inlineStr">
        <is>
          <t>전라북도 정읍시 첨단과학로 476</t>
        </is>
      </c>
      <c r="F289" s="101" t="n">
        <v>18</v>
      </c>
      <c r="G289" s="101">
        <f>F289*4</f>
        <v/>
      </c>
      <c r="H289" s="106" t="n">
        <v>913884.4</v>
      </c>
      <c r="I289" s="107" t="inlineStr">
        <is>
          <t>㈜대일내장산 컨트리클럽         (김호석, 김은정)</t>
        </is>
      </c>
      <c r="J289" s="108" t="n"/>
      <c r="K289" s="108" t="n"/>
      <c r="L289" s="108" t="n"/>
      <c r="M289" s="108" t="n"/>
      <c r="N289" s="108" t="n"/>
      <c r="O289" s="108" t="n"/>
      <c r="P289" s="101" t="n"/>
      <c r="Q289" s="109" t="n"/>
      <c r="R289" s="108" t="n"/>
      <c r="S289" s="110" t="inlineStr">
        <is>
          <t>🔲 데이터수집예정</t>
        </is>
      </c>
      <c r="T289" s="136" t="n"/>
      <c r="W289" s="111" t="n"/>
    </row>
    <row r="290" ht="18" customHeight="1" s="97">
      <c r="A290" s="112" t="n">
        <v>288</v>
      </c>
      <c r="B290" s="113" t="inlineStr">
        <is>
          <t>전북</t>
        </is>
      </c>
      <c r="C290" s="122" t="inlineStr">
        <is>
          <t>더나인골프클럽</t>
        </is>
      </c>
      <c r="D290" s="104" t="inlineStr">
        <is>
          <t>대중제</t>
        </is>
      </c>
      <c r="E290" s="116" t="inlineStr">
        <is>
          <t>전라북도 김제시 금구면 대화1길 8-75</t>
        </is>
      </c>
      <c r="F290" s="112" t="n">
        <v>9</v>
      </c>
      <c r="G290" s="112">
        <f>F290*4</f>
        <v/>
      </c>
      <c r="H290" s="117" t="n">
        <v>446586</v>
      </c>
      <c r="I290" s="118" t="inlineStr">
        <is>
          <t>부흥산업개발㈜(김병철)</t>
        </is>
      </c>
      <c r="J290" s="108" t="n"/>
      <c r="K290" s="108" t="n"/>
      <c r="L290" s="108" t="n"/>
      <c r="M290" s="108" t="n"/>
      <c r="N290" s="108" t="n"/>
      <c r="O290" s="108" t="n"/>
      <c r="P290" s="112" t="n"/>
      <c r="Q290" s="119" t="n"/>
      <c r="R290" s="108" t="n"/>
      <c r="S290" s="110" t="inlineStr">
        <is>
          <t>🔲 데이터수집예정</t>
        </is>
      </c>
      <c r="T290" s="126" t="n"/>
      <c r="W290" s="121" t="n"/>
    </row>
    <row r="291" ht="18" customHeight="1" s="97">
      <c r="A291" s="101" t="n">
        <v>289</v>
      </c>
      <c r="B291" s="102" t="inlineStr">
        <is>
          <t>전북</t>
        </is>
      </c>
      <c r="C291" s="123" t="inlineStr">
        <is>
          <t>디케이레저</t>
        </is>
      </c>
      <c r="D291" s="104" t="inlineStr">
        <is>
          <t>대중제</t>
        </is>
      </c>
      <c r="E291" s="105" t="inlineStr">
        <is>
          <t>전라북도 순창군 순창읍 금산로 152</t>
        </is>
      </c>
      <c r="F291" s="101" t="n">
        <v>9</v>
      </c>
      <c r="G291" s="101">
        <f>F291*4</f>
        <v/>
      </c>
      <c r="H291" s="106" t="n">
        <v>203636</v>
      </c>
      <c r="I291" s="107" t="inlineStr">
        <is>
          <t>㈜순창씨씨(CC)(김대식)</t>
        </is>
      </c>
      <c r="J291" s="108" t="n"/>
      <c r="K291" s="108" t="n"/>
      <c r="L291" s="108" t="n"/>
      <c r="M291" s="108" t="n"/>
      <c r="N291" s="108" t="n"/>
      <c r="O291" s="108" t="n"/>
      <c r="P291" s="101" t="n"/>
      <c r="Q291" s="109" t="n"/>
      <c r="R291" s="108" t="n"/>
      <c r="S291" s="110" t="inlineStr">
        <is>
          <t>🔲 데이터수집예정</t>
        </is>
      </c>
      <c r="T291" s="136" t="n"/>
      <c r="W291" s="111" t="n"/>
    </row>
    <row r="292" ht="18" customHeight="1" s="97">
      <c r="A292" s="112" t="n">
        <v>290</v>
      </c>
      <c r="B292" s="113" t="inlineStr">
        <is>
          <t>전북</t>
        </is>
      </c>
      <c r="C292" s="122" t="inlineStr">
        <is>
          <t>무주덕유산CC</t>
        </is>
      </c>
      <c r="D292" s="115" t="inlineStr">
        <is>
          <t>회원제</t>
        </is>
      </c>
      <c r="E292" s="116" t="inlineStr">
        <is>
          <t>전라북도 무주군 설천면 만선로 185</t>
        </is>
      </c>
      <c r="F292" s="112" t="n">
        <v>18</v>
      </c>
      <c r="G292" s="112">
        <f>F292*4</f>
        <v/>
      </c>
      <c r="H292" s="117" t="n">
        <v>848000</v>
      </c>
      <c r="I292" s="118" t="inlineStr">
        <is>
          <t>㈜무주덕유산리조트(이중근, 이종혁)</t>
        </is>
      </c>
      <c r="J292" s="108" t="n"/>
      <c r="K292" s="108" t="n"/>
      <c r="L292" s="108" t="n"/>
      <c r="M292" s="108" t="n"/>
      <c r="N292" s="108" t="n"/>
      <c r="O292" s="108" t="n"/>
      <c r="P292" s="112" t="n"/>
      <c r="Q292" s="119" t="n"/>
      <c r="R292" s="108" t="n"/>
      <c r="S292" s="110" t="inlineStr">
        <is>
          <t>🔲 데이터수집예정</t>
        </is>
      </c>
      <c r="T292" s="126" t="inlineStr">
        <is>
          <t>https://www.golfzoncounty.com/</t>
        </is>
      </c>
      <c r="U292" s="96" t="n">
        <v>1993</v>
      </c>
      <c r="V292" s="96" t="inlineStr">
        <is>
          <t>063-322-9000</t>
        </is>
      </c>
      <c r="W292" s="121" t="n"/>
    </row>
    <row r="293" ht="18" customHeight="1" s="97">
      <c r="A293" s="101" t="n">
        <v>291</v>
      </c>
      <c r="B293" s="102" t="inlineStr">
        <is>
          <t>전북</t>
        </is>
      </c>
      <c r="C293" s="123" t="inlineStr">
        <is>
          <t>석정힐CC</t>
        </is>
      </c>
      <c r="D293" s="104" t="inlineStr">
        <is>
          <t>대중제</t>
        </is>
      </c>
      <c r="E293" s="105" t="inlineStr">
        <is>
          <t>전라북도 고창군 고창읍 석정2로 192</t>
        </is>
      </c>
      <c r="F293" s="101" t="n">
        <v>18</v>
      </c>
      <c r="G293" s="101">
        <f>F293*4</f>
        <v/>
      </c>
      <c r="H293" s="106" t="n">
        <v>610249.5</v>
      </c>
      <c r="I293" s="107" t="inlineStr">
        <is>
          <t>석정레저㈜(김혜성)</t>
        </is>
      </c>
      <c r="J293" s="108" t="n"/>
      <c r="K293" s="108" t="n"/>
      <c r="L293" s="108" t="n"/>
      <c r="M293" s="108" t="n"/>
      <c r="N293" s="108" t="n"/>
      <c r="O293" s="108" t="n"/>
      <c r="P293" s="101" t="n"/>
      <c r="Q293" s="109" t="n"/>
      <c r="R293" s="108" t="n"/>
      <c r="S293" s="110" t="inlineStr">
        <is>
          <t>🔲 데이터수집예정</t>
        </is>
      </c>
      <c r="T293" s="136" t="n"/>
      <c r="W293" s="111" t="n"/>
    </row>
    <row r="294" ht="18" customHeight="1" s="97">
      <c r="A294" s="112" t="n">
        <v>292</v>
      </c>
      <c r="B294" s="113" t="inlineStr">
        <is>
          <t>전북</t>
        </is>
      </c>
      <c r="C294" s="122" t="inlineStr">
        <is>
          <t>써미트CC</t>
        </is>
      </c>
      <c r="D294" s="104" t="inlineStr">
        <is>
          <t>대중제</t>
        </is>
      </c>
      <c r="E294" s="116" t="inlineStr">
        <is>
          <t>전라북도 진안군 부귀면 부귀로 72-161</t>
        </is>
      </c>
      <c r="F294" s="112" t="n">
        <v>27</v>
      </c>
      <c r="G294" s="112">
        <f>F294*4</f>
        <v/>
      </c>
      <c r="H294" s="117" t="n">
        <v>1405820</v>
      </c>
      <c r="I294" s="118" t="inlineStr">
        <is>
          <t>㈜써미트(정순례)</t>
        </is>
      </c>
      <c r="J294" s="108" t="n"/>
      <c r="K294" s="108" t="n"/>
      <c r="L294" s="108" t="n"/>
      <c r="M294" s="108" t="n"/>
      <c r="N294" s="108" t="n"/>
      <c r="O294" s="108" t="n"/>
      <c r="P294" s="112" t="n"/>
      <c r="Q294" s="119" t="n"/>
      <c r="R294" s="108" t="n"/>
      <c r="S294" s="110" t="inlineStr">
        <is>
          <t>🔲 데이터수집예정</t>
        </is>
      </c>
      <c r="T294" s="126" t="n"/>
      <c r="W294" s="121" t="n"/>
    </row>
    <row r="295" ht="18" customHeight="1" s="97">
      <c r="A295" s="101" t="n">
        <v>293</v>
      </c>
      <c r="B295" s="102" t="inlineStr">
        <is>
          <t>전북</t>
        </is>
      </c>
      <c r="C295" s="123" t="inlineStr">
        <is>
          <t>아네스빌CC</t>
        </is>
      </c>
      <c r="D295" s="104" t="inlineStr">
        <is>
          <t>대중제</t>
        </is>
      </c>
      <c r="E295" s="105" t="inlineStr">
        <is>
          <t>전라북도 김제시 황산면 높은메길 160-39</t>
        </is>
      </c>
      <c r="F295" s="101" t="n">
        <v>9</v>
      </c>
      <c r="G295" s="101">
        <f>F295*4</f>
        <v/>
      </c>
      <c r="H295" s="106" t="n">
        <v>299986</v>
      </c>
      <c r="I295" s="107" t="inlineStr">
        <is>
          <t>유한책인회사벽원레저개발(이우복)</t>
        </is>
      </c>
      <c r="J295" s="108" t="n"/>
      <c r="K295" s="108" t="n"/>
      <c r="L295" s="108" t="n"/>
      <c r="M295" s="108" t="n"/>
      <c r="N295" s="108" t="n"/>
      <c r="O295" s="108" t="n"/>
      <c r="P295" s="101" t="n"/>
      <c r="Q295" s="109" t="n"/>
      <c r="R295" s="108" t="n"/>
      <c r="S295" s="110" t="inlineStr">
        <is>
          <t>🔲 데이터수집예정</t>
        </is>
      </c>
      <c r="T295" s="136" t="n"/>
      <c r="W295" s="111" t="n"/>
    </row>
    <row r="296" ht="18" customHeight="1" s="97">
      <c r="A296" s="112" t="n">
        <v>294</v>
      </c>
      <c r="B296" s="113" t="inlineStr">
        <is>
          <t>전북</t>
        </is>
      </c>
      <c r="C296" s="122" t="inlineStr">
        <is>
          <t>에스페란사GC</t>
        </is>
      </c>
      <c r="D296" s="104" t="inlineStr">
        <is>
          <t>대중제</t>
        </is>
      </c>
      <c r="E296" s="116" t="inlineStr">
        <is>
          <t>전라북도 김제시 금구면 낙산로 120</t>
        </is>
      </c>
      <c r="F296" s="112" t="n">
        <v>10</v>
      </c>
      <c r="G296" s="112">
        <f>F296*4</f>
        <v/>
      </c>
      <c r="H296" s="117" t="n">
        <v>147181</v>
      </c>
      <c r="I296" s="118" t="inlineStr">
        <is>
          <t>에스페란사GC(정양기외2)</t>
        </is>
      </c>
      <c r="J296" s="108" t="n"/>
      <c r="K296" s="108" t="n"/>
      <c r="L296" s="108" t="n"/>
      <c r="M296" s="108" t="n"/>
      <c r="N296" s="108" t="n"/>
      <c r="O296" s="108" t="n"/>
      <c r="P296" s="112" t="n"/>
      <c r="Q296" s="119" t="n"/>
      <c r="R296" s="108" t="n"/>
      <c r="S296" s="110" t="inlineStr">
        <is>
          <t>🔲 데이터수집예정</t>
        </is>
      </c>
      <c r="T296" s="126" t="n"/>
      <c r="W296" s="121" t="n"/>
    </row>
    <row r="297" ht="18" customHeight="1" s="97">
      <c r="A297" s="101" t="n">
        <v>295</v>
      </c>
      <c r="B297" s="102" t="inlineStr">
        <is>
          <t>전북</t>
        </is>
      </c>
      <c r="C297" s="123" t="inlineStr">
        <is>
          <t>웅포컨트리클럽</t>
        </is>
      </c>
      <c r="D297" s="104" t="inlineStr">
        <is>
          <t>대중제</t>
        </is>
      </c>
      <c r="E297" s="105" t="inlineStr">
        <is>
          <t>전라북도 익산시 웅포면 강변로 130</t>
        </is>
      </c>
      <c r="F297" s="101" t="n">
        <v>18</v>
      </c>
      <c r="G297" s="101">
        <f>F297*4</f>
        <v/>
      </c>
      <c r="H297" s="106" t="n">
        <v>917246.11</v>
      </c>
      <c r="I297" s="107" t="inlineStr">
        <is>
          <t>㈜베어포트리조트(박재형)</t>
        </is>
      </c>
      <c r="J297" s="108" t="n"/>
      <c r="K297" s="108" t="n"/>
      <c r="L297" s="108" t="n"/>
      <c r="M297" s="108" t="n"/>
      <c r="N297" s="108" t="n"/>
      <c r="O297" s="108" t="n"/>
      <c r="P297" s="101" t="n"/>
      <c r="Q297" s="109" t="n"/>
      <c r="R297" s="108" t="n"/>
      <c r="S297" s="110" t="inlineStr">
        <is>
          <t>🔲 데이터수집예정</t>
        </is>
      </c>
      <c r="T297" s="136" t="n"/>
      <c r="W297" s="111" t="n"/>
    </row>
    <row r="298" ht="18" customHeight="1" s="97">
      <c r="A298" s="112" t="n">
        <v>296</v>
      </c>
      <c r="B298" s="113" t="inlineStr">
        <is>
          <t>전북</t>
        </is>
      </c>
      <c r="C298" s="122" t="inlineStr">
        <is>
          <t>익산컨트리클럽</t>
        </is>
      </c>
      <c r="D298" s="104" t="inlineStr">
        <is>
          <t>대중제</t>
        </is>
      </c>
      <c r="E298" s="116" t="inlineStr">
        <is>
          <t>전라북도 익산시 무왕로38길 111</t>
        </is>
      </c>
      <c r="F298" s="112" t="n">
        <v>18</v>
      </c>
      <c r="G298" s="112">
        <f>F298*4</f>
        <v/>
      </c>
      <c r="H298" s="117" t="n">
        <v>797168</v>
      </c>
      <c r="I298" s="118" t="inlineStr">
        <is>
          <t>익산관광개발㈜(안정현)</t>
        </is>
      </c>
      <c r="J298" s="108" t="n"/>
      <c r="K298" s="108" t="n"/>
      <c r="L298" s="108" t="n"/>
      <c r="M298" s="108" t="n"/>
      <c r="N298" s="108" t="n"/>
      <c r="O298" s="108" t="n"/>
      <c r="P298" s="112" t="n"/>
      <c r="Q298" s="119" t="n"/>
      <c r="R298" s="108" t="n"/>
      <c r="S298" s="110" t="inlineStr">
        <is>
          <t>🔲 데이터수집예정</t>
        </is>
      </c>
      <c r="T298" s="126" t="n"/>
      <c r="W298" s="121" t="n"/>
    </row>
    <row r="299" ht="18" customHeight="1" s="97">
      <c r="A299" s="101" t="n">
        <v>297</v>
      </c>
      <c r="B299" s="102" t="inlineStr">
        <is>
          <t>전북</t>
        </is>
      </c>
      <c r="C299" s="123" t="inlineStr">
        <is>
          <t>장수골프리조트</t>
        </is>
      </c>
      <c r="D299" s="104" t="inlineStr">
        <is>
          <t>대중제</t>
        </is>
      </c>
      <c r="E299" s="105" t="inlineStr">
        <is>
          <t>전라북도 장수군 계남면 장안산로 303</t>
        </is>
      </c>
      <c r="F299" s="101" t="n">
        <v>18</v>
      </c>
      <c r="G299" s="101">
        <f>F299*4</f>
        <v/>
      </c>
      <c r="H299" s="106" t="n">
        <v>11700330.9</v>
      </c>
      <c r="I299" s="107" t="inlineStr">
        <is>
          <t>장수레저㈜(박평섭)</t>
        </is>
      </c>
      <c r="J299" s="108" t="n"/>
      <c r="K299" s="108" t="n"/>
      <c r="L299" s="108" t="n"/>
      <c r="M299" s="108" t="n"/>
      <c r="N299" s="108" t="n"/>
      <c r="O299" s="108" t="n"/>
      <c r="P299" s="101" t="n"/>
      <c r="Q299" s="109" t="n"/>
      <c r="R299" s="108" t="n"/>
      <c r="S299" s="110" t="inlineStr">
        <is>
          <t>🔲 데이터수집예정</t>
        </is>
      </c>
      <c r="T299" s="136" t="n"/>
      <c r="W299" s="111" t="n"/>
    </row>
    <row r="300" ht="18" customHeight="1" s="97">
      <c r="A300" s="112" t="n">
        <v>298</v>
      </c>
      <c r="B300" s="113" t="inlineStr">
        <is>
          <t>전북</t>
        </is>
      </c>
      <c r="C300" s="122" t="inlineStr">
        <is>
          <t>전주샹그릴라CC</t>
        </is>
      </c>
      <c r="D300" s="115" t="inlineStr">
        <is>
          <t>회원제</t>
        </is>
      </c>
      <c r="E300" s="116" t="inlineStr">
        <is>
          <t>전라북도 임실군 신덕면 수지로 559-90</t>
        </is>
      </c>
      <c r="F300" s="112" t="n">
        <v>27</v>
      </c>
      <c r="G300" s="112">
        <f>F300*4</f>
        <v/>
      </c>
      <c r="H300" s="117" t="n">
        <v>1221618</v>
      </c>
      <c r="I300" s="118" t="inlineStr">
        <is>
          <t>광산관광개발㈜(최영범)</t>
        </is>
      </c>
      <c r="J300" s="108" t="n"/>
      <c r="K300" s="108" t="n"/>
      <c r="L300" s="108" t="n"/>
      <c r="M300" s="108" t="n"/>
      <c r="N300" s="108" t="n"/>
      <c r="O300" s="108" t="n"/>
      <c r="P300" s="112" t="n"/>
      <c r="Q300" s="119" t="n"/>
      <c r="R300" s="108" t="n"/>
      <c r="S300" s="110" t="inlineStr">
        <is>
          <t>🔲 데이터수집예정</t>
        </is>
      </c>
      <c r="T300" s="126" t="n"/>
      <c r="W300" s="121" t="n"/>
    </row>
    <row r="301" ht="18" customHeight="1" s="97">
      <c r="A301" s="101" t="n">
        <v>299</v>
      </c>
      <c r="B301" s="102" t="inlineStr">
        <is>
          <t>전북</t>
        </is>
      </c>
      <c r="C301" s="123" t="inlineStr">
        <is>
          <t>전주월드컵골프장</t>
        </is>
      </c>
      <c r="D301" s="104" t="inlineStr">
        <is>
          <t>대중제</t>
        </is>
      </c>
      <c r="E301" s="105" t="inlineStr">
        <is>
          <t>전라북도 전주시 덕진구 온고을로 672</t>
        </is>
      </c>
      <c r="F301" s="101" t="n">
        <v>9</v>
      </c>
      <c r="G301" s="101">
        <f>F301*4</f>
        <v/>
      </c>
      <c r="H301" s="106" t="n">
        <v>156851</v>
      </c>
      <c r="I301" s="107" t="inlineStr">
        <is>
          <t>전주시장(전주시설공단)</t>
        </is>
      </c>
      <c r="J301" s="108" t="n"/>
      <c r="K301" s="108" t="n"/>
      <c r="L301" s="108" t="n"/>
      <c r="M301" s="108" t="n"/>
      <c r="N301" s="108" t="n"/>
      <c r="O301" s="108" t="n"/>
      <c r="P301" s="101" t="n"/>
      <c r="Q301" s="109" t="n"/>
      <c r="R301" s="108" t="n"/>
      <c r="S301" s="110" t="inlineStr">
        <is>
          <t>🔲 데이터수집예정</t>
        </is>
      </c>
      <c r="T301" s="136" t="n"/>
      <c r="W301" s="111" t="n"/>
    </row>
    <row r="302" ht="18" customHeight="1" s="97">
      <c r="A302" s="112" t="n">
        <v>300</v>
      </c>
      <c r="B302" s="113" t="inlineStr">
        <is>
          <t>전북</t>
        </is>
      </c>
      <c r="C302" s="122" t="inlineStr">
        <is>
          <t>케이밸리컨트리클럽</t>
        </is>
      </c>
      <c r="D302" s="104" t="inlineStr">
        <is>
          <t>대중제</t>
        </is>
      </c>
      <c r="E302" s="116" t="inlineStr">
        <is>
          <t>전라북도 완주군 운주면 산북리 65-4</t>
        </is>
      </c>
      <c r="F302" s="112" t="n">
        <v>9</v>
      </c>
      <c r="G302" s="112">
        <f>F302*4</f>
        <v/>
      </c>
      <c r="H302" s="117" t="n">
        <v>125496</v>
      </c>
      <c r="I302" s="118" t="inlineStr">
        <is>
          <t>스마트시티(유)(김한주)(유)미래로골프(송호범)</t>
        </is>
      </c>
      <c r="J302" s="108" t="n"/>
      <c r="K302" s="108" t="n"/>
      <c r="L302" s="108" t="n"/>
      <c r="M302" s="108" t="n"/>
      <c r="N302" s="108" t="n"/>
      <c r="O302" s="108" t="n"/>
      <c r="P302" s="112" t="n"/>
      <c r="Q302" s="119" t="n"/>
      <c r="R302" s="108" t="n"/>
      <c r="S302" s="110" t="inlineStr">
        <is>
          <t>🔲 데이터수집예정</t>
        </is>
      </c>
      <c r="T302" s="126" t="n"/>
      <c r="W302" s="121" t="n"/>
    </row>
    <row r="303" ht="18" customHeight="1" s="97">
      <c r="A303" s="101" t="n">
        <v>301</v>
      </c>
      <c r="B303" s="102" t="inlineStr">
        <is>
          <t>전북</t>
        </is>
      </c>
      <c r="C303" s="123" t="inlineStr">
        <is>
          <t>태인CC</t>
        </is>
      </c>
      <c r="D303" s="104" t="inlineStr">
        <is>
          <t>대중제</t>
        </is>
      </c>
      <c r="E303" s="105" t="inlineStr">
        <is>
          <t>전라북도 정읍시 태인면 상증길 28</t>
        </is>
      </c>
      <c r="F303" s="101" t="n">
        <v>18</v>
      </c>
      <c r="G303" s="101">
        <f>F303*4</f>
        <v/>
      </c>
      <c r="H303" s="106" t="n">
        <v>854121</v>
      </c>
      <c r="I303" s="107" t="inlineStr">
        <is>
          <t>우진관광개발㈜(고환승)</t>
        </is>
      </c>
      <c r="J303" s="108" t="n"/>
      <c r="K303" s="108" t="n"/>
      <c r="L303" s="108" t="n"/>
      <c r="M303" s="108" t="n"/>
      <c r="N303" s="108" t="n"/>
      <c r="O303" s="108" t="n"/>
      <c r="P303" s="101" t="n"/>
      <c r="Q303" s="109" t="n"/>
      <c r="R303" s="108" t="n"/>
      <c r="S303" s="110" t="inlineStr">
        <is>
          <t>🔲 데이터수집예정</t>
        </is>
      </c>
      <c r="T303" s="136" t="n"/>
      <c r="W303" s="111" t="n"/>
    </row>
    <row r="304" ht="18" customHeight="1" s="97">
      <c r="A304" s="141" t="n">
        <v>302</v>
      </c>
      <c r="B304" s="142" t="inlineStr">
        <is>
          <t>전남</t>
        </is>
      </c>
      <c r="C304" s="160" t="inlineStr">
        <is>
          <t>JNJ골프리조트</t>
        </is>
      </c>
      <c r="D304" s="144" t="inlineStr">
        <is>
          <t>대중제</t>
        </is>
      </c>
      <c r="E304" s="145" t="inlineStr">
        <is>
          <t>장흥군 장평면 제산기동로 326</t>
        </is>
      </c>
      <c r="F304" s="141" t="n">
        <v>27</v>
      </c>
      <c r="G304" s="141">
        <f>F304*4</f>
        <v/>
      </c>
      <c r="H304" s="146" t="n">
        <v>1450502</v>
      </c>
      <c r="I304" s="147" t="inlineStr">
        <is>
          <t>정남진골프리조트㈜(고동현)</t>
        </is>
      </c>
      <c r="J304" s="148" t="n"/>
      <c r="K304" s="148" t="n"/>
      <c r="L304" s="148" t="n"/>
      <c r="M304" s="148" t="n"/>
      <c r="N304" s="148" t="n"/>
      <c r="O304" s="148" t="n"/>
      <c r="P304" s="141" t="n"/>
      <c r="Q304" s="149" t="n"/>
      <c r="R304" s="148" t="n"/>
      <c r="S304" s="150" t="inlineStr">
        <is>
          <t>🔲 데이터수집예정</t>
        </is>
      </c>
      <c r="T304" s="147" t="n"/>
      <c r="W304" s="151" t="n"/>
    </row>
    <row r="305" ht="18" customHeight="1" s="97">
      <c r="A305" s="101" t="n">
        <v>303</v>
      </c>
      <c r="B305" s="102" t="inlineStr">
        <is>
          <t>전남</t>
        </is>
      </c>
      <c r="C305" s="123" t="inlineStr">
        <is>
          <t>골드레이크CC</t>
        </is>
      </c>
      <c r="D305" s="104" t="inlineStr">
        <is>
          <t>대중제</t>
        </is>
      </c>
      <c r="E305" s="105" t="inlineStr">
        <is>
          <t>나주시 남평읍 나주호로 442-129</t>
        </is>
      </c>
      <c r="F305" s="101" t="n">
        <v>18</v>
      </c>
      <c r="G305" s="101">
        <f>F305*4</f>
        <v/>
      </c>
      <c r="H305" s="106" t="n">
        <v>955301</v>
      </c>
      <c r="I305" s="107" t="inlineStr">
        <is>
          <t>나주관광개발㈜(임대형)</t>
        </is>
      </c>
      <c r="J305" s="108" t="n"/>
      <c r="K305" s="108" t="n"/>
      <c r="L305" s="108" t="n"/>
      <c r="M305" s="108" t="n"/>
      <c r="N305" s="108" t="n"/>
      <c r="O305" s="108" t="n"/>
      <c r="P305" s="101" t="n"/>
      <c r="Q305" s="109" t="n"/>
      <c r="R305" s="108" t="n"/>
      <c r="S305" s="110" t="inlineStr">
        <is>
          <t>🔲 데이터수집예정</t>
        </is>
      </c>
      <c r="T305" s="136" t="inlineStr">
        <is>
          <t>https://www.goldlake.co.kr/</t>
        </is>
      </c>
      <c r="U305" s="96" t="n">
        <v>2008</v>
      </c>
      <c r="V305" s="96" t="inlineStr">
        <is>
          <t>031-333-3001</t>
        </is>
      </c>
      <c r="W305" s="125" t="n"/>
    </row>
    <row r="306" ht="18" customHeight="1" s="97">
      <c r="A306" s="112" t="n">
        <v>304</v>
      </c>
      <c r="B306" s="113" t="inlineStr">
        <is>
          <t>전남</t>
        </is>
      </c>
      <c r="C306" s="122" t="inlineStr">
        <is>
          <t>골프존카운티 순천</t>
        </is>
      </c>
      <c r="D306" s="104" t="inlineStr">
        <is>
          <t>대중제</t>
        </is>
      </c>
      <c r="E306" s="116" t="inlineStr">
        <is>
          <t>순천시 주암면 행정1길 77</t>
        </is>
      </c>
      <c r="F306" s="112" t="n">
        <v>36</v>
      </c>
      <c r="G306" s="112">
        <f>F306*4</f>
        <v/>
      </c>
      <c r="H306" s="117" t="n">
        <v>1627955</v>
      </c>
      <c r="I306" s="118" t="inlineStr">
        <is>
          <t>㈜레이크힐스순천(서상현)</t>
        </is>
      </c>
      <c r="J306" s="108" t="n"/>
      <c r="K306" s="108" t="n"/>
      <c r="L306" s="108" t="n"/>
      <c r="M306" s="108" t="n"/>
      <c r="N306" s="108" t="n"/>
      <c r="O306" s="108" t="n"/>
      <c r="P306" s="112" t="n"/>
      <c r="Q306" s="119" t="n"/>
      <c r="R306" s="108" t="n"/>
      <c r="S306" s="110" t="inlineStr">
        <is>
          <t>🔲 데이터수집예정</t>
        </is>
      </c>
      <c r="T306" s="126" t="n"/>
      <c r="W306" s="121" t="n"/>
    </row>
    <row r="307" ht="18" customHeight="1" s="97">
      <c r="A307" s="101" t="n">
        <v>305</v>
      </c>
      <c r="B307" s="102" t="inlineStr">
        <is>
          <t>전남</t>
        </is>
      </c>
      <c r="C307" s="123" t="inlineStr">
        <is>
          <t>광주CC</t>
        </is>
      </c>
      <c r="D307" s="115" t="inlineStr">
        <is>
          <t>회원제</t>
        </is>
      </c>
      <c r="E307" s="105" t="inlineStr">
        <is>
          <t>곡성군 옥과면 입면로 455</t>
        </is>
      </c>
      <c r="F307" s="101" t="n">
        <v>27</v>
      </c>
      <c r="G307" s="101">
        <f>F307*4</f>
        <v/>
      </c>
      <c r="H307" s="106" t="n">
        <v>1165945</v>
      </c>
      <c r="I307" s="107" t="inlineStr">
        <is>
          <t>광주관광개발㈜(고혁주, 류연진)</t>
        </is>
      </c>
      <c r="J307" s="108" t="n"/>
      <c r="K307" s="108" t="n"/>
      <c r="L307" s="108" t="n"/>
      <c r="M307" s="108" t="n"/>
      <c r="N307" s="108" t="n"/>
      <c r="O307" s="108" t="n"/>
      <c r="P307" s="101" t="n"/>
      <c r="Q307" s="109" t="n"/>
      <c r="R307" s="108" t="n"/>
      <c r="S307" s="110" t="inlineStr">
        <is>
          <t>🔲 데이터수집예정</t>
        </is>
      </c>
      <c r="T307" s="136" t="n"/>
      <c r="W307" s="111" t="n"/>
    </row>
    <row r="308" ht="18" customHeight="1" s="97">
      <c r="A308" s="112" t="n">
        <v>306</v>
      </c>
      <c r="B308" s="113" t="inlineStr">
        <is>
          <t>전남</t>
        </is>
      </c>
      <c r="C308" s="122" t="inlineStr">
        <is>
          <t>나주CC</t>
        </is>
      </c>
      <c r="D308" s="104" t="inlineStr">
        <is>
          <t>대중제</t>
        </is>
      </c>
      <c r="E308" s="116" t="inlineStr">
        <is>
          <t>나주시 공산면 상방신포길 154-32</t>
        </is>
      </c>
      <c r="F308" s="112" t="n">
        <v>9</v>
      </c>
      <c r="G308" s="112">
        <f>F308*4</f>
        <v/>
      </c>
      <c r="H308" s="117" t="n">
        <v>247058</v>
      </c>
      <c r="I308" s="118" t="inlineStr">
        <is>
          <t>㈜나주컨트리클럽(김천종)</t>
        </is>
      </c>
      <c r="J308" s="108" t="n"/>
      <c r="K308" s="108" t="n"/>
      <c r="L308" s="108" t="n"/>
      <c r="M308" s="108" t="n"/>
      <c r="N308" s="108" t="n"/>
      <c r="O308" s="108" t="n"/>
      <c r="P308" s="112" t="n"/>
      <c r="Q308" s="119" t="n"/>
      <c r="R308" s="108" t="n"/>
      <c r="S308" s="110" t="inlineStr">
        <is>
          <t>🔲 데이터수집예정</t>
        </is>
      </c>
      <c r="T308" s="126" t="n"/>
      <c r="W308" s="121" t="n"/>
    </row>
    <row r="309" ht="18" customHeight="1" s="97">
      <c r="A309" s="101" t="n">
        <v>307</v>
      </c>
      <c r="B309" s="102" t="inlineStr">
        <is>
          <t>전남</t>
        </is>
      </c>
      <c r="C309" s="123" t="inlineStr">
        <is>
          <t>나주힐스CC</t>
        </is>
      </c>
      <c r="D309" s="104" t="inlineStr">
        <is>
          <t>대중제</t>
        </is>
      </c>
      <c r="E309" s="105" t="inlineStr">
        <is>
          <t>나주시 공산면 삼방신포길 160-27</t>
        </is>
      </c>
      <c r="F309" s="101" t="n">
        <v>9</v>
      </c>
      <c r="G309" s="101">
        <f>F309*4</f>
        <v/>
      </c>
      <c r="H309" s="106" t="n">
        <v>242878</v>
      </c>
      <c r="I309" s="107" t="inlineStr">
        <is>
          <t>나주수목원㈜(김태식)</t>
        </is>
      </c>
      <c r="J309" s="108" t="n"/>
      <c r="K309" s="108" t="n"/>
      <c r="L309" s="108" t="n"/>
      <c r="M309" s="108" t="n"/>
      <c r="N309" s="108" t="n"/>
      <c r="O309" s="108" t="n"/>
      <c r="P309" s="101" t="n"/>
      <c r="Q309" s="109" t="n"/>
      <c r="R309" s="108" t="n"/>
      <c r="S309" s="110" t="inlineStr">
        <is>
          <t>🔲 데이터수집예정</t>
        </is>
      </c>
      <c r="T309" s="136" t="n"/>
      <c r="W309" s="111" t="n"/>
    </row>
    <row r="310" ht="18" customHeight="1" s="97">
      <c r="A310" s="112" t="n">
        <v>308</v>
      </c>
      <c r="B310" s="113" t="inlineStr">
        <is>
          <t>전남</t>
        </is>
      </c>
      <c r="C310" s="122" t="inlineStr">
        <is>
          <t>다산베아채 골프앤리조트</t>
        </is>
      </c>
      <c r="D310" s="104" t="inlineStr">
        <is>
          <t>대중제</t>
        </is>
      </c>
      <c r="E310" s="116" t="inlineStr">
        <is>
          <t>강진군 도암면 학장리 87-1</t>
        </is>
      </c>
      <c r="F310" s="112" t="n">
        <v>27</v>
      </c>
      <c r="G310" s="112">
        <f>F310*4</f>
        <v/>
      </c>
      <c r="H310" s="117" t="n">
        <v>1420762</v>
      </c>
      <c r="I310" s="118" t="inlineStr">
        <is>
          <t>다산배아채컨트리클럽㈜(이애자)</t>
        </is>
      </c>
      <c r="J310" s="108" t="n"/>
      <c r="K310" s="108" t="n"/>
      <c r="L310" s="108" t="n"/>
      <c r="M310" s="108" t="n"/>
      <c r="N310" s="108" t="n"/>
      <c r="O310" s="108" t="n"/>
      <c r="P310" s="112" t="n"/>
      <c r="Q310" s="119" t="n"/>
      <c r="R310" s="108" t="n"/>
      <c r="S310" s="110" t="inlineStr">
        <is>
          <t>🔲 데이터수집예정</t>
        </is>
      </c>
      <c r="T310" s="126" t="n"/>
      <c r="W310" s="121" t="n"/>
    </row>
    <row r="311" ht="18" customHeight="1" s="97">
      <c r="A311" s="101" t="n">
        <v>309</v>
      </c>
      <c r="B311" s="102" t="inlineStr">
        <is>
          <t>전남</t>
        </is>
      </c>
      <c r="C311" s="123" t="inlineStr">
        <is>
          <t>담양레이나CC</t>
        </is>
      </c>
      <c r="D311" s="104" t="inlineStr">
        <is>
          <t>대중제</t>
        </is>
      </c>
      <c r="E311" s="105" t="inlineStr">
        <is>
          <t>담양군 금성면 깊은실길 169</t>
        </is>
      </c>
      <c r="F311" s="101" t="n">
        <v>18</v>
      </c>
      <c r="G311" s="101">
        <f>F311*4</f>
        <v/>
      </c>
      <c r="H311" s="106" t="n">
        <v>785210</v>
      </c>
      <c r="I311" s="107" t="inlineStr">
        <is>
          <t>에이취에이취레저㈜(차성만)</t>
        </is>
      </c>
      <c r="J311" s="108" t="n"/>
      <c r="K311" s="108" t="n"/>
      <c r="L311" s="108" t="n"/>
      <c r="M311" s="108" t="n"/>
      <c r="N311" s="108" t="n"/>
      <c r="O311" s="108" t="n"/>
      <c r="P311" s="101" t="n"/>
      <c r="Q311" s="109" t="n"/>
      <c r="R311" s="108" t="n"/>
      <c r="S311" s="110" t="inlineStr">
        <is>
          <t>🔲 데이터수집예정</t>
        </is>
      </c>
      <c r="T311" s="136" t="n"/>
      <c r="W311" s="111" t="n"/>
    </row>
    <row r="312" ht="18" customHeight="1" s="97">
      <c r="A312" s="112" t="n">
        <v>310</v>
      </c>
      <c r="B312" s="113" t="inlineStr">
        <is>
          <t>전남</t>
        </is>
      </c>
      <c r="C312" s="122" t="inlineStr">
        <is>
          <t>디오션CC</t>
        </is>
      </c>
      <c r="D312" s="104" t="inlineStr">
        <is>
          <t>대중제</t>
        </is>
      </c>
      <c r="E312" s="116" t="inlineStr">
        <is>
          <t>여수시 화양면 장수 암포로 142</t>
        </is>
      </c>
      <c r="F312" s="112" t="n">
        <v>18</v>
      </c>
      <c r="G312" s="112">
        <f>F312*4</f>
        <v/>
      </c>
      <c r="H312" s="117" t="n">
        <v>1103049</v>
      </c>
      <c r="I312" s="118" t="inlineStr">
        <is>
          <t>일상해양산업㈜(김종관)</t>
        </is>
      </c>
      <c r="J312" s="108" t="n"/>
      <c r="K312" s="108" t="n"/>
      <c r="L312" s="108" t="n"/>
      <c r="M312" s="108" t="n"/>
      <c r="N312" s="108" t="n"/>
      <c r="O312" s="108" t="n"/>
      <c r="P312" s="112" t="n"/>
      <c r="Q312" s="119" t="n"/>
      <c r="R312" s="108" t="n"/>
      <c r="S312" s="110" t="inlineStr">
        <is>
          <t>🔲 데이터수집예정</t>
        </is>
      </c>
      <c r="T312" s="126" t="n"/>
      <c r="W312" s="121" t="n"/>
    </row>
    <row r="313" ht="18" customHeight="1" s="97">
      <c r="A313" s="101" t="n">
        <v>311</v>
      </c>
      <c r="B313" s="102" t="inlineStr">
        <is>
          <t>전남</t>
        </is>
      </c>
      <c r="C313" s="123" t="inlineStr">
        <is>
          <t>무등산CC</t>
        </is>
      </c>
      <c r="D313" s="104" t="inlineStr">
        <is>
          <t>대중제</t>
        </is>
      </c>
      <c r="E313" s="105" t="inlineStr">
        <is>
          <t>화순군 화순읍 오성로 292-90</t>
        </is>
      </c>
      <c r="F313" s="101" t="n">
        <v>27</v>
      </c>
      <c r="G313" s="101">
        <f>F313*4</f>
        <v/>
      </c>
      <c r="H313" s="106" t="n">
        <v>1575772</v>
      </c>
      <c r="I313" s="107" t="inlineStr">
        <is>
          <t>동광레저개발㈜(박만주)</t>
        </is>
      </c>
      <c r="J313" s="108" t="n"/>
      <c r="K313" s="108" t="n"/>
      <c r="L313" s="108" t="n"/>
      <c r="M313" s="108" t="n"/>
      <c r="N313" s="108" t="n"/>
      <c r="O313" s="108" t="n"/>
      <c r="P313" s="101" t="n"/>
      <c r="Q313" s="109" t="n"/>
      <c r="R313" s="108" t="n"/>
      <c r="S313" s="110" t="inlineStr">
        <is>
          <t>🔲 데이터수집예정</t>
        </is>
      </c>
      <c r="T313" s="136" t="n"/>
      <c r="W313" s="111" t="n"/>
    </row>
    <row r="314" ht="18" customHeight="1" s="97">
      <c r="A314" s="112" t="n">
        <v>312</v>
      </c>
      <c r="B314" s="113" t="inlineStr">
        <is>
          <t>전남</t>
        </is>
      </c>
      <c r="C314" s="122" t="inlineStr">
        <is>
          <t>무안CC</t>
        </is>
      </c>
      <c r="D314" s="104" t="inlineStr">
        <is>
          <t>대중제</t>
        </is>
      </c>
      <c r="E314" s="116" t="inlineStr">
        <is>
          <t>무안군 청계면 서호로 162</t>
        </is>
      </c>
      <c r="F314" s="112" t="n">
        <v>54</v>
      </c>
      <c r="G314" s="112">
        <f>F314*4</f>
        <v/>
      </c>
      <c r="H314" s="117" t="n">
        <v>1969760</v>
      </c>
      <c r="I314" s="118" t="inlineStr">
        <is>
          <t>남화산업㈜(최재훈, 최영곤)</t>
        </is>
      </c>
      <c r="J314" s="108" t="n"/>
      <c r="K314" s="108" t="n"/>
      <c r="L314" s="108" t="n"/>
      <c r="M314" s="108" t="n"/>
      <c r="N314" s="108" t="n"/>
      <c r="O314" s="108" t="n"/>
      <c r="P314" s="112" t="n"/>
      <c r="Q314" s="119" t="n"/>
      <c r="R314" s="108" t="n"/>
      <c r="S314" s="110" t="inlineStr">
        <is>
          <t>🔲 데이터수집예정</t>
        </is>
      </c>
      <c r="T314" s="126" t="n"/>
      <c r="W314" s="121" t="n"/>
    </row>
    <row r="315" ht="18" customHeight="1" s="97">
      <c r="A315" s="101" t="n">
        <v>313</v>
      </c>
      <c r="B315" s="102" t="inlineStr">
        <is>
          <t>전남</t>
        </is>
      </c>
      <c r="C315" s="123" t="inlineStr">
        <is>
          <t>백양우리CC</t>
        </is>
      </c>
      <c r="D315" s="104" t="inlineStr">
        <is>
          <t>대중제</t>
        </is>
      </c>
      <c r="E315" s="105" t="inlineStr">
        <is>
          <t>장성군 북이면 봉암로 1574</t>
        </is>
      </c>
      <c r="F315" s="101" t="n">
        <v>9</v>
      </c>
      <c r="G315" s="101">
        <f>F315*4</f>
        <v/>
      </c>
      <c r="H315" s="106" t="n">
        <v>297540</v>
      </c>
      <c r="I315" s="107" t="inlineStr">
        <is>
          <t>덕승개발㈜(김승룡)</t>
        </is>
      </c>
      <c r="J315" s="108" t="n"/>
      <c r="K315" s="108" t="n"/>
      <c r="L315" s="108" t="n"/>
      <c r="M315" s="108" t="n"/>
      <c r="N315" s="108" t="n"/>
      <c r="O315" s="108" t="n"/>
      <c r="P315" s="101" t="n"/>
      <c r="Q315" s="109" t="n"/>
      <c r="R315" s="108" t="n"/>
      <c r="S315" s="110" t="inlineStr">
        <is>
          <t>🔲 데이터수집예정</t>
        </is>
      </c>
      <c r="T315" s="136" t="n"/>
      <c r="W315" s="111" t="n"/>
    </row>
    <row r="316" ht="18" customHeight="1" s="97">
      <c r="A316" s="112" t="n">
        <v>314</v>
      </c>
      <c r="B316" s="113" t="inlineStr">
        <is>
          <t>전남</t>
        </is>
      </c>
      <c r="C316" s="122" t="inlineStr">
        <is>
          <t>보성CC</t>
        </is>
      </c>
      <c r="D316" s="104" t="inlineStr">
        <is>
          <t>대중제</t>
        </is>
      </c>
      <c r="E316" s="116" t="inlineStr">
        <is>
          <t>보성군 조성면 조성3길 338</t>
        </is>
      </c>
      <c r="F316" s="112" t="n">
        <v>18</v>
      </c>
      <c r="G316" s="112">
        <f>F316*4</f>
        <v/>
      </c>
      <c r="H316" s="117" t="n">
        <v>911572</v>
      </c>
      <c r="I316" s="118" t="inlineStr">
        <is>
          <t>㈜와이엔텍(김태영)</t>
        </is>
      </c>
      <c r="J316" s="108" t="n"/>
      <c r="K316" s="108" t="n"/>
      <c r="L316" s="108" t="n"/>
      <c r="M316" s="108" t="n"/>
      <c r="N316" s="108" t="n"/>
      <c r="O316" s="108" t="n"/>
      <c r="P316" s="112" t="n"/>
      <c r="Q316" s="119" t="n"/>
      <c r="R316" s="108" t="n"/>
      <c r="S316" s="110" t="inlineStr">
        <is>
          <t>🔲 데이터수집예정</t>
        </is>
      </c>
      <c r="T316" s="126" t="n"/>
      <c r="W316" s="121" t="n"/>
    </row>
    <row r="317" ht="18" customHeight="1" s="97">
      <c r="A317" s="101" t="n">
        <v>315</v>
      </c>
      <c r="B317" s="102" t="inlineStr">
        <is>
          <t>전남</t>
        </is>
      </c>
      <c r="C317" s="123" t="inlineStr">
        <is>
          <t>보성에덴CC</t>
        </is>
      </c>
      <c r="D317" s="104" t="inlineStr">
        <is>
          <t>대중제</t>
        </is>
      </c>
      <c r="E317" s="105" t="inlineStr">
        <is>
          <t>보성군 보성읍 원봉리 498</t>
        </is>
      </c>
      <c r="F317" s="101" t="n">
        <v>9</v>
      </c>
      <c r="G317" s="101">
        <f>F317*4</f>
        <v/>
      </c>
      <c r="H317" s="106" t="n">
        <v>295701</v>
      </c>
      <c r="I317" s="107" t="inlineStr">
        <is>
          <t>안형상 외 2</t>
        </is>
      </c>
      <c r="J317" s="108" t="n"/>
      <c r="K317" s="108" t="n"/>
      <c r="L317" s="108" t="n"/>
      <c r="M317" s="108" t="n"/>
      <c r="N317" s="108" t="n"/>
      <c r="O317" s="108" t="n"/>
      <c r="P317" s="101" t="n"/>
      <c r="Q317" s="109" t="n"/>
      <c r="R317" s="108" t="n"/>
      <c r="S317" s="110" t="inlineStr">
        <is>
          <t>🔲 데이터수집예정</t>
        </is>
      </c>
      <c r="T317" s="136" t="n"/>
      <c r="W317" s="111" t="n"/>
    </row>
    <row r="318" ht="18" customHeight="1" s="97">
      <c r="A318" s="112" t="n">
        <v>316</v>
      </c>
      <c r="B318" s="113" t="inlineStr">
        <is>
          <t>전남</t>
        </is>
      </c>
      <c r="C318" s="122" t="inlineStr">
        <is>
          <t>사우스링스영암cc</t>
        </is>
      </c>
      <c r="D318" s="104" t="inlineStr">
        <is>
          <t>대중제</t>
        </is>
      </c>
      <c r="E318" s="116" t="inlineStr">
        <is>
          <t>영암군 삼호읍 에프원로 121-1</t>
        </is>
      </c>
      <c r="F318" s="112" t="n">
        <v>45</v>
      </c>
      <c r="G318" s="112">
        <f>F318*4</f>
        <v/>
      </c>
      <c r="H318" s="117" t="n">
        <v>1804843</v>
      </c>
      <c r="I318" s="118" t="inlineStr">
        <is>
          <t>썬카운티㈜(한길수)</t>
        </is>
      </c>
      <c r="J318" s="108" t="n"/>
      <c r="K318" s="108" t="n"/>
      <c r="L318" s="108" t="n"/>
      <c r="M318" s="108" t="n"/>
      <c r="N318" s="108" t="n"/>
      <c r="O318" s="108" t="n"/>
      <c r="P318" s="112" t="n"/>
      <c r="Q318" s="119" t="n"/>
      <c r="R318" s="108" t="n"/>
      <c r="S318" s="110" t="inlineStr">
        <is>
          <t>🔲 데이터수집예정</t>
        </is>
      </c>
      <c r="T318" s="126" t="n"/>
      <c r="W318" s="121" t="n"/>
    </row>
    <row r="319" ht="18" customHeight="1" s="97">
      <c r="A319" s="101" t="n">
        <v>317</v>
      </c>
      <c r="B319" s="102" t="inlineStr">
        <is>
          <t>전남</t>
        </is>
      </c>
      <c r="C319" s="123" t="inlineStr">
        <is>
          <t>세이지우드여수경도</t>
        </is>
      </c>
      <c r="D319" s="104" t="inlineStr">
        <is>
          <t>대중제</t>
        </is>
      </c>
      <c r="E319" s="105" t="inlineStr">
        <is>
          <t>여수시 대경도길 33</t>
        </is>
      </c>
      <c r="F319" s="101" t="n">
        <v>27</v>
      </c>
      <c r="G319" s="101">
        <f>F319*4</f>
        <v/>
      </c>
      <c r="H319" s="106" t="n">
        <v>1640629</v>
      </c>
      <c r="I319" s="107" t="inlineStr">
        <is>
          <t>와이케이디벨롭먼트㈜(김승건)</t>
        </is>
      </c>
      <c r="J319" s="108" t="n"/>
      <c r="K319" s="108" t="n"/>
      <c r="L319" s="108" t="n"/>
      <c r="M319" s="108" t="n"/>
      <c r="N319" s="108" t="n"/>
      <c r="O319" s="108" t="n"/>
      <c r="P319" s="101" t="n"/>
      <c r="Q319" s="109" t="n"/>
      <c r="R319" s="108" t="n"/>
      <c r="S319" s="110" t="inlineStr">
        <is>
          <t>🔲 데이터수집예정</t>
        </is>
      </c>
      <c r="T319" s="136" t="n"/>
      <c r="W319" s="111" t="n"/>
    </row>
    <row r="320" ht="18" customHeight="1" s="97">
      <c r="A320" s="112" t="n">
        <v>318</v>
      </c>
      <c r="B320" s="113" t="inlineStr">
        <is>
          <t>전남</t>
        </is>
      </c>
      <c r="C320" s="122" t="inlineStr">
        <is>
          <t>솔라시도CC</t>
        </is>
      </c>
      <c r="D320" s="104" t="inlineStr">
        <is>
          <t>대중제</t>
        </is>
      </c>
      <c r="E320" s="116" t="inlineStr">
        <is>
          <t>해남군 산이면 산이로 2247</t>
        </is>
      </c>
      <c r="F320" s="112" t="n">
        <v>18</v>
      </c>
      <c r="G320" s="112">
        <f>F320*4</f>
        <v/>
      </c>
      <c r="H320" s="117" t="n">
        <v>774903</v>
      </c>
      <c r="I320" s="118" t="inlineStr">
        <is>
          <t>피앤지에이개발㈜(이양규)</t>
        </is>
      </c>
      <c r="J320" s="108" t="n"/>
      <c r="K320" s="108" t="n"/>
      <c r="L320" s="108" t="n"/>
      <c r="M320" s="108" t="n"/>
      <c r="N320" s="108" t="n"/>
      <c r="O320" s="108" t="n"/>
      <c r="P320" s="112" t="n"/>
      <c r="Q320" s="119" t="n"/>
      <c r="R320" s="108" t="n"/>
      <c r="S320" s="110" t="inlineStr">
        <is>
          <t>🔲 데이터수집예정</t>
        </is>
      </c>
      <c r="T320" s="126" t="n"/>
      <c r="W320" s="121" t="n"/>
    </row>
    <row r="321" ht="18" customHeight="1" s="97">
      <c r="A321" s="101" t="n">
        <v>319</v>
      </c>
      <c r="B321" s="102" t="inlineStr">
        <is>
          <t>전남</t>
        </is>
      </c>
      <c r="C321" s="123" t="inlineStr">
        <is>
          <t>순천CC</t>
        </is>
      </c>
      <c r="D321" s="104" t="inlineStr">
        <is>
          <t>대중제</t>
        </is>
      </c>
      <c r="E321" s="105" t="inlineStr">
        <is>
          <t>순천시 별량면 동화사길 85</t>
        </is>
      </c>
      <c r="F321" s="101" t="n">
        <v>9</v>
      </c>
      <c r="G321" s="101">
        <f>F321*4</f>
        <v/>
      </c>
      <c r="H321" s="106" t="n">
        <v>342120</v>
      </c>
      <c r="I321" s="107" t="inlineStr">
        <is>
          <t>죽산기업㈜(임종욱)</t>
        </is>
      </c>
      <c r="J321" s="108" t="n"/>
      <c r="K321" s="108" t="n"/>
      <c r="L321" s="108" t="n"/>
      <c r="M321" s="108" t="n"/>
      <c r="N321" s="108" t="n"/>
      <c r="O321" s="108" t="n"/>
      <c r="P321" s="101" t="n"/>
      <c r="Q321" s="109" t="n"/>
      <c r="R321" s="108" t="n"/>
      <c r="S321" s="110" t="inlineStr">
        <is>
          <t>🔲 데이터수집예정</t>
        </is>
      </c>
      <c r="T321" s="136" t="inlineStr">
        <is>
          <t>https://www.lakehills.co.kr/</t>
        </is>
      </c>
      <c r="U321" s="96" t="n">
        <v>2007</v>
      </c>
      <c r="V321" s="96" t="inlineStr">
        <is>
          <t>061-749-5000</t>
        </is>
      </c>
      <c r="W321" s="125" t="n"/>
    </row>
    <row r="322" ht="18" customHeight="1" s="97">
      <c r="A322" s="112" t="n">
        <v>320</v>
      </c>
      <c r="B322" s="113" t="inlineStr">
        <is>
          <t>전남</t>
        </is>
      </c>
      <c r="C322" s="122" t="inlineStr">
        <is>
          <t>순천부영CC</t>
        </is>
      </c>
      <c r="D322" s="104" t="inlineStr">
        <is>
          <t>대중제</t>
        </is>
      </c>
      <c r="E322" s="116" t="inlineStr">
        <is>
          <t>순천시 해룡면 신대로 188</t>
        </is>
      </c>
      <c r="F322" s="112" t="n">
        <v>18</v>
      </c>
      <c r="G322" s="112">
        <f>F322*4</f>
        <v/>
      </c>
      <c r="H322" s="117" t="n">
        <v>842238</v>
      </c>
      <c r="I322" s="118" t="inlineStr">
        <is>
          <t>㈜부영주택(최양환)</t>
        </is>
      </c>
      <c r="J322" s="108" t="n"/>
      <c r="K322" s="108" t="n"/>
      <c r="L322" s="108" t="n"/>
      <c r="M322" s="108" t="n"/>
      <c r="N322" s="108" t="n"/>
      <c r="O322" s="108" t="n"/>
      <c r="P322" s="112" t="n"/>
      <c r="Q322" s="119" t="n"/>
      <c r="R322" s="108" t="n"/>
      <c r="S322" s="110" t="inlineStr">
        <is>
          <t>🔲 데이터수집예정</t>
        </is>
      </c>
      <c r="T322" s="126" t="n"/>
      <c r="W322" s="121" t="n"/>
    </row>
    <row r="323" ht="18" customHeight="1" s="97">
      <c r="A323" s="101" t="n">
        <v>321</v>
      </c>
      <c r="B323" s="102" t="inlineStr">
        <is>
          <t>전남</t>
        </is>
      </c>
      <c r="C323" s="123" t="inlineStr">
        <is>
          <t>승주CC</t>
        </is>
      </c>
      <c r="D323" s="115" t="inlineStr">
        <is>
          <t>회원제</t>
        </is>
      </c>
      <c r="E323" s="105" t="inlineStr">
        <is>
          <t>순천시 상사면 오실길 333</t>
        </is>
      </c>
      <c r="F323" s="101" t="n">
        <v>27</v>
      </c>
      <c r="G323" s="101">
        <f>F323*4</f>
        <v/>
      </c>
      <c r="H323" s="106" t="n">
        <v>1791833</v>
      </c>
      <c r="I323" s="107" t="inlineStr">
        <is>
          <t>㈜포스코오앤엠(김정수)</t>
        </is>
      </c>
      <c r="J323" s="108" t="n"/>
      <c r="K323" s="108" t="n"/>
      <c r="L323" s="108" t="n"/>
      <c r="M323" s="108" t="n"/>
      <c r="N323" s="108" t="n"/>
      <c r="O323" s="108" t="n"/>
      <c r="P323" s="101" t="n"/>
      <c r="Q323" s="109" t="n"/>
      <c r="R323" s="108" t="n"/>
      <c r="S323" s="110" t="inlineStr">
        <is>
          <t>🔲 데이터수집예정</t>
        </is>
      </c>
      <c r="T323" s="136" t="n"/>
      <c r="W323" s="111" t="n"/>
    </row>
    <row r="324" ht="18" customHeight="1" s="97">
      <c r="A324" s="112" t="n">
        <v>322</v>
      </c>
      <c r="B324" s="113" t="inlineStr">
        <is>
          <t>전남</t>
        </is>
      </c>
      <c r="C324" s="122" t="inlineStr">
        <is>
          <t>아크로CC</t>
        </is>
      </c>
      <c r="D324" s="104" t="inlineStr">
        <is>
          <t>대중제</t>
        </is>
      </c>
      <c r="E324" s="116" t="inlineStr">
        <is>
          <t>영암군 금정면 안적동길 403</t>
        </is>
      </c>
      <c r="F324" s="112" t="n">
        <v>27</v>
      </c>
      <c r="G324" s="112">
        <f>F324*4</f>
        <v/>
      </c>
      <c r="H324" s="117" t="n">
        <v>1462477</v>
      </c>
      <c r="I324" s="118" t="inlineStr">
        <is>
          <t>영암관광개발㈜(박현재)</t>
        </is>
      </c>
      <c r="J324" s="108" t="n"/>
      <c r="K324" s="108" t="n"/>
      <c r="L324" s="108" t="n"/>
      <c r="M324" s="108" t="n"/>
      <c r="N324" s="108" t="n"/>
      <c r="O324" s="108" t="n"/>
      <c r="P324" s="112" t="n"/>
      <c r="Q324" s="119" t="n"/>
      <c r="R324" s="108" t="n"/>
      <c r="S324" s="110" t="inlineStr">
        <is>
          <t>🔲 데이터수집예정</t>
        </is>
      </c>
      <c r="T324" s="126" t="n"/>
      <c r="W324" s="121" t="n"/>
    </row>
    <row r="325" ht="18" customHeight="1" s="97">
      <c r="A325" s="101" t="n">
        <v>323</v>
      </c>
      <c r="B325" s="102" t="inlineStr">
        <is>
          <t>전남</t>
        </is>
      </c>
      <c r="C325" s="123" t="inlineStr">
        <is>
          <t>에콜리안영광골프장</t>
        </is>
      </c>
      <c r="D325" s="104" t="inlineStr">
        <is>
          <t>대중제</t>
        </is>
      </c>
      <c r="E325" s="105" t="inlineStr">
        <is>
          <t>영광군 영광읍 월현로 1길 40</t>
        </is>
      </c>
      <c r="F325" s="101" t="n">
        <v>9</v>
      </c>
      <c r="G325" s="101">
        <f>F325*4</f>
        <v/>
      </c>
      <c r="H325" s="106" t="n">
        <v>421962</v>
      </c>
      <c r="I325" s="107" t="inlineStr">
        <is>
          <t>영광군수(국민체육진흥공단)</t>
        </is>
      </c>
      <c r="J325" s="108" t="n"/>
      <c r="K325" s="108" t="n"/>
      <c r="L325" s="108" t="n"/>
      <c r="M325" s="108" t="n"/>
      <c r="N325" s="108" t="n"/>
      <c r="O325" s="108" t="n"/>
      <c r="P325" s="101" t="n"/>
      <c r="Q325" s="109" t="n"/>
      <c r="R325" s="108" t="n"/>
      <c r="S325" s="110" t="inlineStr">
        <is>
          <t>🔲 데이터수집예정</t>
        </is>
      </c>
      <c r="T325" s="136" t="n"/>
      <c r="W325" s="111" t="n"/>
    </row>
    <row r="326" ht="18" customHeight="1" s="97">
      <c r="A326" s="112" t="n">
        <v>324</v>
      </c>
      <c r="B326" s="113" t="inlineStr">
        <is>
          <t>전남</t>
        </is>
      </c>
      <c r="C326" s="122" t="inlineStr">
        <is>
          <t>여수시티파크골프&amp;호텔</t>
        </is>
      </c>
      <c r="D326" s="104" t="inlineStr">
        <is>
          <t>대중제</t>
        </is>
      </c>
      <c r="E326" s="116" t="inlineStr">
        <is>
          <t>여수시 좌수영로 641</t>
        </is>
      </c>
      <c r="F326" s="112" t="n">
        <v>18</v>
      </c>
      <c r="G326" s="112">
        <f>F326*4</f>
        <v/>
      </c>
      <c r="H326" s="117" t="n">
        <v>1035509</v>
      </c>
      <c r="I326" s="118" t="inlineStr">
        <is>
          <t>여수관광레저㈜(김영한)</t>
        </is>
      </c>
      <c r="J326" s="108" t="n"/>
      <c r="K326" s="108" t="n"/>
      <c r="L326" s="108" t="n"/>
      <c r="M326" s="108" t="n"/>
      <c r="N326" s="108" t="n"/>
      <c r="O326" s="108" t="n"/>
      <c r="P326" s="112" t="n"/>
      <c r="Q326" s="119" t="n"/>
      <c r="R326" s="108" t="n"/>
      <c r="S326" s="110" t="inlineStr">
        <is>
          <t>🔲 데이터수집예정</t>
        </is>
      </c>
      <c r="T326" s="126" t="n"/>
      <c r="W326" s="121" t="n"/>
    </row>
    <row r="327" ht="18" customHeight="1" s="97">
      <c r="A327" s="101" t="n">
        <v>325</v>
      </c>
      <c r="B327" s="102" t="inlineStr">
        <is>
          <t>전남</t>
        </is>
      </c>
      <c r="C327" s="123" t="inlineStr">
        <is>
          <t>오시아노골프클럽</t>
        </is>
      </c>
      <c r="D327" s="104" t="inlineStr">
        <is>
          <t>대중제</t>
        </is>
      </c>
      <c r="E327" s="105" t="inlineStr">
        <is>
          <t>해남군 화원면 시아로 224</t>
        </is>
      </c>
      <c r="F327" s="101" t="n">
        <v>9</v>
      </c>
      <c r="G327" s="101">
        <f>F327*4</f>
        <v/>
      </c>
      <c r="H327" s="106" t="n">
        <v>538288</v>
      </c>
      <c r="I327" s="107" t="inlineStr">
        <is>
          <t>한국관광공사(안영배)</t>
        </is>
      </c>
      <c r="J327" s="108" t="n"/>
      <c r="K327" s="108" t="n"/>
      <c r="L327" s="108" t="n"/>
      <c r="M327" s="108" t="n"/>
      <c r="N327" s="108" t="n"/>
      <c r="O327" s="108" t="n"/>
      <c r="P327" s="101" t="n"/>
      <c r="Q327" s="109" t="n"/>
      <c r="R327" s="108" t="n"/>
      <c r="S327" s="110" t="inlineStr">
        <is>
          <t>🔲 데이터수집예정</t>
        </is>
      </c>
      <c r="T327" s="136" t="n"/>
      <c r="W327" s="111" t="n"/>
    </row>
    <row r="328" ht="18" customHeight="1" s="97">
      <c r="A328" s="112" t="n">
        <v>326</v>
      </c>
      <c r="B328" s="113" t="inlineStr">
        <is>
          <t>전남</t>
        </is>
      </c>
      <c r="C328" s="122" t="inlineStr">
        <is>
          <t>옥과기안CC</t>
        </is>
      </c>
      <c r="D328" s="104" t="inlineStr">
        <is>
          <t>대중제</t>
        </is>
      </c>
      <c r="E328" s="116" t="inlineStr">
        <is>
          <t>곡성군 옥과면 입면로 197</t>
        </is>
      </c>
      <c r="F328" s="112" t="n">
        <v>9</v>
      </c>
      <c r="G328" s="112">
        <f>F328*4</f>
        <v/>
      </c>
      <c r="H328" s="117" t="n">
        <v>242563</v>
      </c>
      <c r="I328" s="118" t="inlineStr">
        <is>
          <t>경주김씨성균생원공파(기안레저㈜위탁운영)</t>
        </is>
      </c>
      <c r="J328" s="108" t="n"/>
      <c r="K328" s="108" t="n"/>
      <c r="L328" s="108" t="n"/>
      <c r="M328" s="108" t="n"/>
      <c r="N328" s="108" t="n"/>
      <c r="O328" s="108" t="n"/>
      <c r="P328" s="112" t="n"/>
      <c r="Q328" s="119" t="n"/>
      <c r="R328" s="108" t="n"/>
      <c r="S328" s="110" t="inlineStr">
        <is>
          <t>🔲 데이터수집예정</t>
        </is>
      </c>
      <c r="T328" s="126" t="n"/>
      <c r="W328" s="121" t="n"/>
    </row>
    <row r="329" ht="18" customHeight="1" s="97">
      <c r="A329" s="101" t="n">
        <v>327</v>
      </c>
      <c r="B329" s="102" t="inlineStr">
        <is>
          <t>전남</t>
        </is>
      </c>
      <c r="C329" s="123" t="inlineStr">
        <is>
          <t>웨스트오션CC</t>
        </is>
      </c>
      <c r="D329" s="104" t="inlineStr">
        <is>
          <t>대중제</t>
        </is>
      </c>
      <c r="E329" s="105" t="inlineStr">
        <is>
          <t>영광군 백수읍 해안로 1362-70</t>
        </is>
      </c>
      <c r="F329" s="101" t="n">
        <v>18</v>
      </c>
      <c r="G329" s="101">
        <f>F329*4</f>
        <v/>
      </c>
      <c r="H329" s="106" t="n">
        <v>951318</v>
      </c>
      <c r="I329" s="107" t="inlineStr">
        <is>
          <t>대호관광개발㈜(윤오중)</t>
        </is>
      </c>
      <c r="J329" s="108" t="n"/>
      <c r="K329" s="108" t="n"/>
      <c r="L329" s="108" t="n"/>
      <c r="M329" s="108" t="n"/>
      <c r="N329" s="108" t="n"/>
      <c r="O329" s="108" t="n"/>
      <c r="P329" s="101" t="n"/>
      <c r="Q329" s="109" t="n"/>
      <c r="R329" s="108" t="n"/>
      <c r="S329" s="110" t="inlineStr">
        <is>
          <t>🔲 데이터수집예정</t>
        </is>
      </c>
      <c r="T329" s="136" t="n"/>
      <c r="W329" s="111" t="n"/>
    </row>
    <row r="330" ht="18" customHeight="1" s="97">
      <c r="A330" s="112" t="n">
        <v>328</v>
      </c>
      <c r="B330" s="113" t="inlineStr">
        <is>
          <t>전남</t>
        </is>
      </c>
      <c r="C330" s="122" t="inlineStr">
        <is>
          <t>조아밸리CC</t>
        </is>
      </c>
      <c r="D330" s="104" t="inlineStr">
        <is>
          <t>대중제</t>
        </is>
      </c>
      <c r="E330" s="116" t="inlineStr">
        <is>
          <t>화순군 도곡면 고인돌2로 450</t>
        </is>
      </c>
      <c r="F330" s="112" t="n">
        <v>9</v>
      </c>
      <c r="G330" s="112">
        <f>F330*4</f>
        <v/>
      </c>
      <c r="H330" s="117" t="n">
        <v>429088</v>
      </c>
      <c r="I330" s="118" t="inlineStr">
        <is>
          <t>조아개발㈜(조우석)</t>
        </is>
      </c>
      <c r="J330" s="108" t="n"/>
      <c r="K330" s="108" t="n"/>
      <c r="L330" s="108" t="n"/>
      <c r="M330" s="108" t="n"/>
      <c r="N330" s="108" t="n"/>
      <c r="O330" s="108" t="n"/>
      <c r="P330" s="112" t="n"/>
      <c r="Q330" s="119" t="n"/>
      <c r="R330" s="108" t="n"/>
      <c r="S330" s="110" t="inlineStr">
        <is>
          <t>🔲 데이터수집예정</t>
        </is>
      </c>
      <c r="T330" s="126" t="n"/>
      <c r="W330" s="121" t="n"/>
    </row>
    <row r="331" ht="18" customHeight="1" s="97">
      <c r="A331" s="101" t="n">
        <v>329</v>
      </c>
      <c r="B331" s="102" t="inlineStr">
        <is>
          <t>전남</t>
        </is>
      </c>
      <c r="C331" s="123" t="inlineStr">
        <is>
          <t>죽향CC</t>
        </is>
      </c>
      <c r="D331" s="104" t="inlineStr">
        <is>
          <t>대중제</t>
        </is>
      </c>
      <c r="E331" s="105" t="inlineStr">
        <is>
          <t>담양군 창평면 창평로 159</t>
        </is>
      </c>
      <c r="F331" s="101" t="n">
        <v>9</v>
      </c>
      <c r="G331" s="101">
        <f>F331*4</f>
        <v/>
      </c>
      <c r="H331" s="106" t="n">
        <v>396682</v>
      </c>
      <c r="I331" s="107" t="inlineStr">
        <is>
          <t>㈜죽향산업(한정수)</t>
        </is>
      </c>
      <c r="J331" s="108" t="n"/>
      <c r="K331" s="108" t="n"/>
      <c r="L331" s="108" t="n"/>
      <c r="M331" s="108" t="n"/>
      <c r="N331" s="108" t="n"/>
      <c r="O331" s="108" t="n"/>
      <c r="P331" s="101" t="n"/>
      <c r="Q331" s="109" t="n"/>
      <c r="R331" s="108" t="n"/>
      <c r="S331" s="110" t="inlineStr">
        <is>
          <t>🔲 데이터수집예정</t>
        </is>
      </c>
      <c r="T331" s="136" t="n"/>
      <c r="W331" s="111" t="n"/>
    </row>
    <row r="332" ht="18" customHeight="1" s="97">
      <c r="A332" s="112" t="n">
        <v>330</v>
      </c>
      <c r="B332" s="113" t="inlineStr">
        <is>
          <t>전남</t>
        </is>
      </c>
      <c r="C332" s="122" t="inlineStr">
        <is>
          <t>창평CC</t>
        </is>
      </c>
      <c r="D332" s="104" t="inlineStr">
        <is>
          <t>대중제</t>
        </is>
      </c>
      <c r="E332" s="116" t="inlineStr">
        <is>
          <t>담양군 창평면 오산길 100</t>
        </is>
      </c>
      <c r="F332" s="112" t="n">
        <v>9</v>
      </c>
      <c r="G332" s="112">
        <f>F332*4</f>
        <v/>
      </c>
      <c r="H332" s="117" t="n">
        <v>263053</v>
      </c>
      <c r="I332" s="118" t="inlineStr">
        <is>
          <t>㈜담양골프랜드(김형준)</t>
        </is>
      </c>
      <c r="J332" s="108" t="n"/>
      <c r="K332" s="108" t="n"/>
      <c r="L332" s="108" t="n"/>
      <c r="M332" s="108" t="n"/>
      <c r="N332" s="108" t="n"/>
      <c r="O332" s="108" t="n"/>
      <c r="P332" s="112" t="n"/>
      <c r="Q332" s="119" t="n"/>
      <c r="R332" s="108" t="n"/>
      <c r="S332" s="110" t="inlineStr">
        <is>
          <t>🔲 데이터수집예정</t>
        </is>
      </c>
      <c r="T332" s="126" t="n"/>
      <c r="W332" s="121" t="n"/>
    </row>
    <row r="333" ht="18" customHeight="1" s="97">
      <c r="A333" s="101" t="n">
        <v>331</v>
      </c>
      <c r="B333" s="102" t="inlineStr">
        <is>
          <t>전남</t>
        </is>
      </c>
      <c r="C333" s="123" t="inlineStr">
        <is>
          <t>클린밸리CC</t>
        </is>
      </c>
      <c r="D333" s="104" t="inlineStr">
        <is>
          <t>대중제</t>
        </is>
      </c>
      <c r="E333" s="105" t="inlineStr">
        <is>
          <t>무안군 청계면 동암길 2-200</t>
        </is>
      </c>
      <c r="F333" s="101" t="n">
        <v>18</v>
      </c>
      <c r="G333" s="101">
        <f>F333*4</f>
        <v/>
      </c>
      <c r="H333" s="106" t="n">
        <v>839686</v>
      </c>
      <c r="I333" s="107" t="inlineStr">
        <is>
          <t>㈜영산(조영희)</t>
        </is>
      </c>
      <c r="J333" s="108" t="n"/>
      <c r="K333" s="108" t="n"/>
      <c r="L333" s="108" t="n"/>
      <c r="M333" s="108" t="n"/>
      <c r="N333" s="108" t="n"/>
      <c r="O333" s="108" t="n"/>
      <c r="P333" s="101" t="n"/>
      <c r="Q333" s="109" t="n"/>
      <c r="R333" s="108" t="n"/>
      <c r="S333" s="110" t="inlineStr">
        <is>
          <t>🔲 데이터수집예정</t>
        </is>
      </c>
      <c r="T333" s="136" t="n"/>
      <c r="W333" s="111" t="n"/>
    </row>
    <row r="334" ht="18" customHeight="1" s="97">
      <c r="A334" s="112" t="n">
        <v>332</v>
      </c>
      <c r="B334" s="113" t="inlineStr">
        <is>
          <t>전남</t>
        </is>
      </c>
      <c r="C334" s="122" t="inlineStr">
        <is>
          <t>파인비치골프링크스</t>
        </is>
      </c>
      <c r="D334" s="104" t="inlineStr">
        <is>
          <t>대중제</t>
        </is>
      </c>
      <c r="E334" s="116" t="inlineStr">
        <is>
          <t>해남군 화원면 시아로 224</t>
        </is>
      </c>
      <c r="F334" s="112" t="n">
        <v>18</v>
      </c>
      <c r="G334" s="112">
        <f>F334*4</f>
        <v/>
      </c>
      <c r="H334" s="117" t="n">
        <v>834771</v>
      </c>
      <c r="I334" s="118" t="inlineStr">
        <is>
          <t>파인비치㈜(이화영)</t>
        </is>
      </c>
      <c r="J334" s="108" t="n"/>
      <c r="K334" s="108" t="n"/>
      <c r="L334" s="108" t="n"/>
      <c r="M334" s="108" t="n"/>
      <c r="N334" s="108" t="n"/>
      <c r="O334" s="108" t="n"/>
      <c r="P334" s="112" t="n"/>
      <c r="Q334" s="119" t="n"/>
      <c r="R334" s="108" t="n"/>
      <c r="S334" s="110" t="inlineStr">
        <is>
          <t>🔲 데이터수집예정</t>
        </is>
      </c>
      <c r="T334" s="126" t="inlineStr">
        <is>
          <t>https://www.pinebeachcc.co.kr/</t>
        </is>
      </c>
      <c r="U334" s="96" t="n">
        <v>2008</v>
      </c>
      <c r="V334" s="96" t="inlineStr">
        <is>
          <t>061-530-5200</t>
        </is>
      </c>
      <c r="W334" s="121" t="n"/>
    </row>
    <row r="335" ht="18" customHeight="1" s="97">
      <c r="A335" s="101" t="n">
        <v>333</v>
      </c>
      <c r="B335" s="102" t="inlineStr">
        <is>
          <t>전남</t>
        </is>
      </c>
      <c r="C335" s="123" t="inlineStr">
        <is>
          <t>파인힐스CC</t>
        </is>
      </c>
      <c r="D335" s="104" t="inlineStr">
        <is>
          <t>대중제</t>
        </is>
      </c>
      <c r="E335" s="105" t="inlineStr">
        <is>
          <t>순천시 주암면 송광사길 99</t>
        </is>
      </c>
      <c r="F335" s="101" t="n">
        <v>27</v>
      </c>
      <c r="G335" s="101">
        <f>F335*4</f>
        <v/>
      </c>
      <c r="H335" s="106" t="n">
        <v>1505472</v>
      </c>
      <c r="I335" s="107" t="inlineStr">
        <is>
          <t>㈜파인힐스(이화영)</t>
        </is>
      </c>
      <c r="J335" s="108" t="n"/>
      <c r="K335" s="108" t="n"/>
      <c r="L335" s="108" t="n"/>
      <c r="M335" s="108" t="n"/>
      <c r="N335" s="108" t="n"/>
      <c r="O335" s="108" t="n"/>
      <c r="P335" s="101" t="n"/>
      <c r="Q335" s="109" t="n"/>
      <c r="R335" s="108" t="n"/>
      <c r="S335" s="110" t="inlineStr">
        <is>
          <t>🔲 데이터수집예정</t>
        </is>
      </c>
      <c r="T335" s="136" t="n"/>
      <c r="W335" s="111" t="n"/>
    </row>
    <row r="336" ht="18" customHeight="1" s="97">
      <c r="A336" s="112" t="n">
        <v>334</v>
      </c>
      <c r="B336" s="113" t="inlineStr">
        <is>
          <t>전남</t>
        </is>
      </c>
      <c r="C336" s="122" t="inlineStr">
        <is>
          <t>푸른솔골프클럽</t>
        </is>
      </c>
      <c r="D336" s="104" t="inlineStr">
        <is>
          <t>대중제</t>
        </is>
      </c>
      <c r="E336" s="116" t="inlineStr">
        <is>
          <t>장성군 동화면 임정로 155</t>
        </is>
      </c>
      <c r="F336" s="112" t="n">
        <v>27</v>
      </c>
      <c r="G336" s="112">
        <f>F336*4</f>
        <v/>
      </c>
      <c r="H336" s="117" t="n">
        <v>1312986</v>
      </c>
      <c r="I336" s="118" t="inlineStr">
        <is>
          <t>동화기업㈜(유순태)</t>
        </is>
      </c>
      <c r="J336" s="108" t="n"/>
      <c r="K336" s="108" t="n"/>
      <c r="L336" s="108" t="n"/>
      <c r="M336" s="108" t="n"/>
      <c r="N336" s="108" t="n"/>
      <c r="O336" s="108" t="n"/>
      <c r="P336" s="112" t="n"/>
      <c r="Q336" s="119" t="n"/>
      <c r="R336" s="108" t="n"/>
      <c r="S336" s="110" t="inlineStr">
        <is>
          <t>🔲 데이터수집예정</t>
        </is>
      </c>
      <c r="T336" s="126" t="n"/>
      <c r="W336" s="121" t="n"/>
    </row>
    <row r="337" ht="18" customHeight="1" s="97">
      <c r="A337" s="101" t="n">
        <v>335</v>
      </c>
      <c r="B337" s="102" t="inlineStr">
        <is>
          <t>전남</t>
        </is>
      </c>
      <c r="C337" s="123" t="inlineStr">
        <is>
          <t>함평엘리체CC</t>
        </is>
      </c>
      <c r="D337" s="104" t="inlineStr">
        <is>
          <t>대중제</t>
        </is>
      </c>
      <c r="E337" s="105" t="inlineStr">
        <is>
          <t>함평군 학교면 서당매길 242</t>
        </is>
      </c>
      <c r="F337" s="101" t="n">
        <v>27</v>
      </c>
      <c r="G337" s="101">
        <f>F337*4</f>
        <v/>
      </c>
      <c r="H337" s="106" t="n">
        <v>1347715</v>
      </c>
      <c r="I337" s="107" t="inlineStr">
        <is>
          <t>함평엘리체컨트리클럽㈜(류채봉)</t>
        </is>
      </c>
      <c r="J337" s="108" t="n"/>
      <c r="K337" s="108" t="n"/>
      <c r="L337" s="108" t="n"/>
      <c r="M337" s="108" t="n"/>
      <c r="N337" s="108" t="n"/>
      <c r="O337" s="108" t="n"/>
      <c r="P337" s="101" t="n"/>
      <c r="Q337" s="109" t="n"/>
      <c r="R337" s="108" t="n"/>
      <c r="S337" s="110" t="inlineStr">
        <is>
          <t>🔲 데이터수집예정</t>
        </is>
      </c>
      <c r="T337" s="136" t="n"/>
      <c r="W337" s="111" t="n"/>
    </row>
    <row r="338" ht="18" customHeight="1" s="97">
      <c r="A338" s="112" t="n">
        <v>336</v>
      </c>
      <c r="B338" s="113" t="inlineStr">
        <is>
          <t>전남</t>
        </is>
      </c>
      <c r="C338" s="122" t="inlineStr">
        <is>
          <t>함평천지CC</t>
        </is>
      </c>
      <c r="D338" s="104" t="inlineStr">
        <is>
          <t>대중제</t>
        </is>
      </c>
      <c r="E338" s="116" t="inlineStr">
        <is>
          <t>함평군 함평읍 함장로 889-11</t>
        </is>
      </c>
      <c r="F338" s="112" t="n">
        <v>9</v>
      </c>
      <c r="G338" s="112">
        <f>F338*4</f>
        <v/>
      </c>
      <c r="H338" s="117" t="n">
        <v>234544</v>
      </c>
      <c r="I338" s="118" t="inlineStr">
        <is>
          <t>㈜지민산업(정유신, 김유)</t>
        </is>
      </c>
      <c r="J338" s="108" t="n"/>
      <c r="K338" s="108" t="n"/>
      <c r="L338" s="108" t="n"/>
      <c r="M338" s="108" t="n"/>
      <c r="N338" s="108" t="n"/>
      <c r="O338" s="108" t="n"/>
      <c r="P338" s="112" t="n"/>
      <c r="Q338" s="119" t="n"/>
      <c r="R338" s="108" t="n"/>
      <c r="S338" s="110" t="inlineStr">
        <is>
          <t>🔲 데이터수집예정</t>
        </is>
      </c>
      <c r="T338" s="126" t="n"/>
      <c r="W338" s="121" t="n"/>
    </row>
    <row r="339" ht="18" customHeight="1" s="97">
      <c r="A339" s="101" t="n">
        <v>337</v>
      </c>
      <c r="B339" s="102" t="inlineStr">
        <is>
          <t>전남</t>
        </is>
      </c>
      <c r="C339" s="123" t="inlineStr">
        <is>
          <t>해피니스CC</t>
        </is>
      </c>
      <c r="D339" s="104" t="inlineStr">
        <is>
          <t>대중제</t>
        </is>
      </c>
      <c r="E339" s="105" t="inlineStr">
        <is>
          <t>나주시 다도면 다도로 171-60</t>
        </is>
      </c>
      <c r="F339" s="101" t="n">
        <v>18</v>
      </c>
      <c r="G339" s="101">
        <f>F339*4</f>
        <v/>
      </c>
      <c r="H339" s="106" t="n">
        <v>1381092</v>
      </c>
      <c r="I339" s="107" t="inlineStr">
        <is>
          <t>해피니스컨트리클럽㈜(차재진)</t>
        </is>
      </c>
      <c r="J339" s="108" t="n"/>
      <c r="K339" s="108" t="n"/>
      <c r="L339" s="108" t="n"/>
      <c r="M339" s="108" t="n"/>
      <c r="N339" s="108" t="n"/>
      <c r="O339" s="108" t="n"/>
      <c r="P339" s="101" t="n"/>
      <c r="Q339" s="109" t="n"/>
      <c r="R339" s="108" t="n"/>
      <c r="S339" s="110" t="inlineStr">
        <is>
          <t>🔲 데이터수집예정</t>
        </is>
      </c>
      <c r="T339" s="136" t="n"/>
      <c r="W339" s="111" t="n"/>
    </row>
    <row r="340" ht="18" customHeight="1" s="97">
      <c r="A340" s="112" t="n">
        <v>338</v>
      </c>
      <c r="B340" s="113" t="inlineStr">
        <is>
          <t>전남</t>
        </is>
      </c>
      <c r="C340" s="122" t="inlineStr">
        <is>
          <t>화순CC</t>
        </is>
      </c>
      <c r="D340" s="115" t="inlineStr">
        <is>
          <t>회원제</t>
        </is>
      </c>
      <c r="E340" s="116" t="inlineStr">
        <is>
          <t>화순군 도곡면 천태로 1000-151</t>
        </is>
      </c>
      <c r="F340" s="112" t="n">
        <v>27</v>
      </c>
      <c r="G340" s="112">
        <f>F340*4</f>
        <v/>
      </c>
      <c r="H340" s="117" t="n">
        <v>1545440</v>
      </c>
      <c r="I340" s="118" t="inlineStr">
        <is>
          <t>㈜화순CC(최창식)</t>
        </is>
      </c>
      <c r="J340" s="108" t="n"/>
      <c r="K340" s="108" t="n"/>
      <c r="L340" s="108" t="n"/>
      <c r="M340" s="108" t="n"/>
      <c r="N340" s="108" t="n"/>
      <c r="O340" s="108" t="n"/>
      <c r="P340" s="112" t="n"/>
      <c r="Q340" s="119" t="n"/>
      <c r="R340" s="108" t="n"/>
      <c r="S340" s="110" t="inlineStr">
        <is>
          <t>🔲 데이터수집예정</t>
        </is>
      </c>
      <c r="T340" s="126" t="n"/>
      <c r="W340" s="121" t="n"/>
    </row>
    <row r="341" ht="18" customHeight="1" s="97">
      <c r="A341" s="101" t="n">
        <v>339</v>
      </c>
      <c r="B341" s="102" t="inlineStr">
        <is>
          <t>전남</t>
        </is>
      </c>
      <c r="C341" s="123" t="inlineStr">
        <is>
          <t>화순엘리체CC</t>
        </is>
      </c>
      <c r="D341" s="115" t="inlineStr">
        <is>
          <t>회원제</t>
        </is>
      </c>
      <c r="E341" s="105" t="inlineStr">
        <is>
          <t>화순군 춘양면 장곡길 55</t>
        </is>
      </c>
      <c r="F341" s="101" t="n">
        <v>18</v>
      </c>
      <c r="G341" s="101">
        <f>F341*4</f>
        <v/>
      </c>
      <c r="H341" s="106" t="n">
        <v>1067821</v>
      </c>
      <c r="I341" s="107" t="inlineStr">
        <is>
          <t>엘리체레저(유)(류채봉)</t>
        </is>
      </c>
      <c r="J341" s="108" t="n"/>
      <c r="K341" s="108" t="n"/>
      <c r="L341" s="108" t="n"/>
      <c r="M341" s="108" t="n"/>
      <c r="N341" s="108" t="n"/>
      <c r="O341" s="108" t="n"/>
      <c r="P341" s="101" t="n"/>
      <c r="Q341" s="109" t="n"/>
      <c r="R341" s="108" t="n"/>
      <c r="S341" s="110" t="inlineStr">
        <is>
          <t>🔲 데이터수집예정</t>
        </is>
      </c>
      <c r="T341" s="136" t="n"/>
      <c r="W341" s="111" t="n"/>
    </row>
    <row r="342" ht="18" customHeight="1" s="97">
      <c r="A342" s="141" t="n">
        <v>340</v>
      </c>
      <c r="B342" s="142" t="inlineStr">
        <is>
          <t>광주</t>
        </is>
      </c>
      <c r="C342" s="143" t="inlineStr">
        <is>
          <t>빛고을컨트리클럽</t>
        </is>
      </c>
      <c r="D342" s="144" t="inlineStr">
        <is>
          <t>대중제</t>
        </is>
      </c>
      <c r="E342" s="145" t="inlineStr">
        <is>
          <t>광주광역시 남구 효우로 153(노대동)</t>
        </is>
      </c>
      <c r="F342" s="141" t="n">
        <v>9</v>
      </c>
      <c r="G342" s="141">
        <f>F342*4</f>
        <v/>
      </c>
      <c r="H342" s="146" t="n">
        <v>201055</v>
      </c>
      <c r="I342" s="147" t="inlineStr">
        <is>
          <t>광주광역시도시공사사장</t>
        </is>
      </c>
      <c r="J342" s="148" t="n"/>
      <c r="K342" s="148" t="n"/>
      <c r="L342" s="148" t="n"/>
      <c r="M342" s="148" t="n"/>
      <c r="N342" s="148" t="n"/>
      <c r="O342" s="148" t="n"/>
      <c r="P342" s="141" t="n"/>
      <c r="Q342" s="149" t="n"/>
      <c r="R342" s="148" t="n"/>
      <c r="S342" s="150" t="inlineStr">
        <is>
          <t>🔲 데이터수집예정</t>
        </is>
      </c>
      <c r="T342" s="147" t="n"/>
      <c r="W342" s="151" t="n"/>
    </row>
    <row r="343" ht="18" customHeight="1" s="97">
      <c r="A343" s="101" t="n">
        <v>341</v>
      </c>
      <c r="B343" s="102" t="inlineStr">
        <is>
          <t>광주</t>
        </is>
      </c>
      <c r="C343" s="123" t="inlineStr">
        <is>
          <t>어등산컨트리클럽</t>
        </is>
      </c>
      <c r="D343" s="104" t="inlineStr">
        <is>
          <t>대중제</t>
        </is>
      </c>
      <c r="E343" s="105" t="inlineStr">
        <is>
          <t>광주광역시 광산구 무진대로 31(운수동)</t>
        </is>
      </c>
      <c r="F343" s="101" t="n">
        <v>27</v>
      </c>
      <c r="G343" s="101">
        <f>F343*4</f>
        <v/>
      </c>
      <c r="H343" s="106" t="n">
        <v>1567463</v>
      </c>
      <c r="I343" s="136" t="inlineStr">
        <is>
          <t>(주)어등산리조트대표이사 고재철</t>
        </is>
      </c>
      <c r="J343" s="108" t="n"/>
      <c r="K343" s="108" t="n"/>
      <c r="L343" s="108" t="n"/>
      <c r="M343" s="108" t="n"/>
      <c r="N343" s="108" t="n"/>
      <c r="O343" s="108" t="n"/>
      <c r="P343" s="101" t="n"/>
      <c r="Q343" s="109" t="n"/>
      <c r="R343" s="108" t="n"/>
      <c r="S343" s="110" t="inlineStr">
        <is>
          <t>🔲 데이터수집예정</t>
        </is>
      </c>
      <c r="T343" s="136" t="n"/>
      <c r="W343" s="111" t="n"/>
    </row>
    <row r="344" ht="18" customHeight="1" s="97">
      <c r="A344" s="112" t="n">
        <v>342</v>
      </c>
      <c r="B344" s="113" t="inlineStr">
        <is>
          <t>광주</t>
        </is>
      </c>
      <c r="C344" s="122" t="inlineStr">
        <is>
          <t>에콜리안광산골프장</t>
        </is>
      </c>
      <c r="D344" s="104" t="inlineStr">
        <is>
          <t>대중제</t>
        </is>
      </c>
      <c r="E344" s="116" t="inlineStr">
        <is>
          <t>광주광역시 광산구 오목내길 26(연산동)</t>
        </is>
      </c>
      <c r="F344" s="112" t="n">
        <v>9</v>
      </c>
      <c r="G344" s="112">
        <f>F344*4</f>
        <v/>
      </c>
      <c r="H344" s="117" t="n">
        <v>326823</v>
      </c>
      <c r="I344" s="118" t="inlineStr">
        <is>
          <t>국민체육진흥공단이사장</t>
        </is>
      </c>
      <c r="J344" s="108" t="n"/>
      <c r="K344" s="108" t="n"/>
      <c r="L344" s="108" t="n"/>
      <c r="M344" s="108" t="n"/>
      <c r="N344" s="108" t="n"/>
      <c r="O344" s="108" t="n"/>
      <c r="P344" s="112" t="n"/>
      <c r="Q344" s="119" t="n"/>
      <c r="R344" s="108" t="n"/>
      <c r="S344" s="110" t="inlineStr">
        <is>
          <t>🔲 데이터수집예정</t>
        </is>
      </c>
      <c r="T344" s="126" t="inlineStr">
        <is>
          <t>https://www.ecolian.or.kr/</t>
        </is>
      </c>
      <c r="U344" s="96" t="n">
        <v>2010</v>
      </c>
      <c r="V344" s="96" t="inlineStr">
        <is>
          <t>062-430-0800</t>
        </is>
      </c>
      <c r="W344" s="121" t="n"/>
    </row>
    <row r="345" ht="18" customHeight="1" s="97">
      <c r="A345" s="152" t="n">
        <v>343</v>
      </c>
      <c r="B345" s="153" t="inlineStr">
        <is>
          <t>경북</t>
        </is>
      </c>
      <c r="C345" s="154" t="n"/>
      <c r="D345" s="144" t="inlineStr">
        <is>
          <t>대중제</t>
        </is>
      </c>
      <c r="E345" s="155" t="inlineStr">
        <is>
          <t>의성군 봉양면 농공마전길 125-78</t>
        </is>
      </c>
      <c r="F345" s="152" t="n">
        <v>9</v>
      </c>
      <c r="G345" s="152">
        <f>F345*4</f>
        <v/>
      </c>
      <c r="H345" s="156" t="n">
        <v>496811</v>
      </c>
      <c r="I345" s="157" t="inlineStr">
        <is>
          <t>대지개발㈜ 문병동</t>
        </is>
      </c>
      <c r="J345" s="148" t="n"/>
      <c r="K345" s="148" t="n"/>
      <c r="L345" s="148" t="n"/>
      <c r="M345" s="148" t="n"/>
      <c r="N345" s="148" t="n"/>
      <c r="O345" s="148" t="n"/>
      <c r="P345" s="152" t="n"/>
      <c r="Q345" s="158" t="n"/>
      <c r="R345" s="148" t="n"/>
      <c r="S345" s="150" t="inlineStr">
        <is>
          <t>🔲 데이터수집예정</t>
        </is>
      </c>
      <c r="T345" s="157" t="n"/>
      <c r="W345" s="159" t="n"/>
    </row>
    <row r="346" ht="18" customHeight="1" s="97">
      <c r="A346" s="112" t="n">
        <v>344</v>
      </c>
      <c r="B346" s="113" t="inlineStr">
        <is>
          <t>경북</t>
        </is>
      </c>
      <c r="C346" s="122" t="inlineStr">
        <is>
          <t>가든골프클럽</t>
        </is>
      </c>
      <c r="D346" s="104" t="inlineStr">
        <is>
          <t>대중제</t>
        </is>
      </c>
      <c r="E346" s="116" t="inlineStr">
        <is>
          <t>경주시 불국로 289-17(마동)</t>
        </is>
      </c>
      <c r="F346" s="112" t="n">
        <v>9</v>
      </c>
      <c r="G346" s="112">
        <f>F346*4</f>
        <v/>
      </c>
      <c r="H346" s="117" t="n">
        <v>175806</v>
      </c>
      <c r="I346" s="118" t="inlineStr">
        <is>
          <t>㈜코오롱글로텍 김영범</t>
        </is>
      </c>
      <c r="J346" s="108" t="n"/>
      <c r="K346" s="108" t="n"/>
      <c r="L346" s="108" t="n"/>
      <c r="M346" s="108" t="n"/>
      <c r="N346" s="108" t="n"/>
      <c r="O346" s="108" t="n"/>
      <c r="P346" s="112" t="n"/>
      <c r="Q346" s="119" t="n"/>
      <c r="R346" s="108" t="n"/>
      <c r="S346" s="110" t="inlineStr">
        <is>
          <t>🔲 데이터수집예정</t>
        </is>
      </c>
      <c r="T346" s="126" t="n"/>
      <c r="W346" s="121" t="n"/>
    </row>
    <row r="347" ht="18" customHeight="1" s="97">
      <c r="A347" s="101" t="n">
        <v>345</v>
      </c>
      <c r="B347" s="102" t="inlineStr">
        <is>
          <t>경북</t>
        </is>
      </c>
      <c r="C347" s="123" t="inlineStr">
        <is>
          <t>경주C.C</t>
        </is>
      </c>
      <c r="D347" s="104" t="inlineStr">
        <is>
          <t>대중제</t>
        </is>
      </c>
      <c r="E347" s="105" t="inlineStr">
        <is>
          <t>경주시 보문로 182-98</t>
        </is>
      </c>
      <c r="F347" s="101" t="n">
        <v>27</v>
      </c>
      <c r="G347" s="101">
        <f>F347*4</f>
        <v/>
      </c>
      <c r="H347" s="106" t="n">
        <v>1461103</v>
      </c>
      <c r="I347" s="107" t="inlineStr">
        <is>
          <t>보문개발㈜ 박흥국</t>
        </is>
      </c>
      <c r="J347" s="108" t="n"/>
      <c r="K347" s="108" t="n"/>
      <c r="L347" s="108" t="n"/>
      <c r="M347" s="108" t="n"/>
      <c r="N347" s="108" t="n"/>
      <c r="O347" s="108" t="n"/>
      <c r="P347" s="101" t="n"/>
      <c r="Q347" s="109" t="n"/>
      <c r="R347" s="108" t="n"/>
      <c r="S347" s="110" t="inlineStr">
        <is>
          <t>🔲 데이터수집예정</t>
        </is>
      </c>
      <c r="T347" s="136" t="n"/>
      <c r="W347" s="111" t="n"/>
    </row>
    <row r="348" ht="18" customHeight="1" s="97">
      <c r="A348" s="112" t="n">
        <v>346</v>
      </c>
      <c r="B348" s="113" t="inlineStr">
        <is>
          <t>경북</t>
        </is>
      </c>
      <c r="C348" s="122" t="inlineStr">
        <is>
          <t>경주신라C.C</t>
        </is>
      </c>
      <c r="D348" s="115" t="inlineStr">
        <is>
          <t>회원제</t>
        </is>
      </c>
      <c r="E348" s="116" t="inlineStr">
        <is>
          <t>경주시 보문로 319</t>
        </is>
      </c>
      <c r="F348" s="112" t="n">
        <v>36</v>
      </c>
      <c r="G348" s="112">
        <f>F348*4</f>
        <v/>
      </c>
      <c r="H348" s="117" t="n">
        <v>1876682</v>
      </c>
      <c r="I348" s="118" t="inlineStr">
        <is>
          <t>㈜경주신라CC 김철년</t>
        </is>
      </c>
      <c r="J348" s="108" t="n"/>
      <c r="K348" s="108" t="n"/>
      <c r="L348" s="108" t="n"/>
      <c r="M348" s="108" t="n"/>
      <c r="N348" s="108" t="n"/>
      <c r="O348" s="108" t="n"/>
      <c r="P348" s="112" t="n"/>
      <c r="Q348" s="119" t="n"/>
      <c r="R348" s="108" t="n"/>
      <c r="S348" s="110" t="inlineStr">
        <is>
          <t>🔲 데이터수집예정</t>
        </is>
      </c>
      <c r="T348" s="126" t="inlineStr">
        <is>
          <t>https://www.gyeongjushilla.co.kr/</t>
        </is>
      </c>
      <c r="U348" s="96" t="n">
        <v>1978</v>
      </c>
      <c r="V348" s="96" t="inlineStr">
        <is>
          <t>054-745-7000</t>
        </is>
      </c>
      <c r="W348" s="121" t="n"/>
    </row>
    <row r="349" ht="18" customHeight="1" s="97">
      <c r="A349" s="101" t="n">
        <v>347</v>
      </c>
      <c r="B349" s="102" t="inlineStr">
        <is>
          <t>경북</t>
        </is>
      </c>
      <c r="C349" s="123" t="inlineStr">
        <is>
          <t>골프존카운티 감포</t>
        </is>
      </c>
      <c r="D349" s="104" t="inlineStr">
        <is>
          <t>대중제</t>
        </is>
      </c>
      <c r="E349" s="105" t="inlineStr">
        <is>
          <t>경주시 감포읍 동해안로 1819-59</t>
        </is>
      </c>
      <c r="F349" s="101" t="n">
        <v>18</v>
      </c>
      <c r="G349" s="101">
        <f>F349*4</f>
        <v/>
      </c>
      <c r="H349" s="106" t="n">
        <v>983849</v>
      </c>
      <c r="I349" s="107" t="inlineStr">
        <is>
          <t>㈜지씨감포 서상현</t>
        </is>
      </c>
      <c r="J349" s="108" t="n"/>
      <c r="K349" s="108" t="n"/>
      <c r="L349" s="108" t="n"/>
      <c r="M349" s="108" t="n"/>
      <c r="N349" s="108" t="n"/>
      <c r="O349" s="108" t="n"/>
      <c r="P349" s="101" t="n"/>
      <c r="Q349" s="109" t="n"/>
      <c r="R349" s="108" t="n"/>
      <c r="S349" s="110" t="inlineStr">
        <is>
          <t>🔲 데이터수집예정</t>
        </is>
      </c>
      <c r="T349" s="136" t="n"/>
      <c r="W349" s="111" t="n"/>
    </row>
    <row r="350" ht="18" customHeight="1" s="97">
      <c r="A350" s="112" t="n">
        <v>348</v>
      </c>
      <c r="B350" s="113" t="inlineStr">
        <is>
          <t>경북</t>
        </is>
      </c>
      <c r="C350" s="122" t="inlineStr">
        <is>
          <t>골프존카운티 구미</t>
        </is>
      </c>
      <c r="D350" s="104" t="inlineStr">
        <is>
          <t>대중제</t>
        </is>
      </c>
      <c r="E350" s="116" t="inlineStr">
        <is>
          <t>구미시 산동면 강동로 953-74</t>
        </is>
      </c>
      <c r="F350" s="112" t="n">
        <v>18</v>
      </c>
      <c r="G350" s="112">
        <f>F350*4</f>
        <v/>
      </c>
      <c r="H350" s="117" t="n">
        <v>541702</v>
      </c>
      <c r="I350" s="118" t="inlineStr">
        <is>
          <t>㈜지씨구미 서상현</t>
        </is>
      </c>
      <c r="J350" s="108" t="n"/>
      <c r="K350" s="108" t="n"/>
      <c r="L350" s="108" t="n"/>
      <c r="M350" s="108" t="n"/>
      <c r="N350" s="108" t="n"/>
      <c r="O350" s="108" t="n"/>
      <c r="P350" s="112" t="n"/>
      <c r="Q350" s="119" t="n"/>
      <c r="R350" s="108" t="n"/>
      <c r="S350" s="110" t="inlineStr">
        <is>
          <t>🔲 데이터수집예정</t>
        </is>
      </c>
      <c r="T350" s="126" t="n"/>
      <c r="W350" s="121" t="n"/>
    </row>
    <row r="351" ht="18" customHeight="1" s="97">
      <c r="A351" s="101" t="n">
        <v>349</v>
      </c>
      <c r="B351" s="102" t="inlineStr">
        <is>
          <t>경북</t>
        </is>
      </c>
      <c r="C351" s="123" t="inlineStr">
        <is>
          <t>골프존카운티 선산</t>
        </is>
      </c>
      <c r="D351" s="115" t="inlineStr">
        <is>
          <t>회원제</t>
        </is>
      </c>
      <c r="E351" s="105" t="inlineStr">
        <is>
          <t>구미시 산동면 강동로 953-73</t>
        </is>
      </c>
      <c r="F351" s="101" t="n">
        <v>18</v>
      </c>
      <c r="G351" s="101">
        <f>F351*4</f>
        <v/>
      </c>
      <c r="H351" s="106" t="n">
        <v>977678</v>
      </c>
      <c r="I351" s="107" t="inlineStr">
        <is>
          <t>㈜지씨선산 서상현</t>
        </is>
      </c>
      <c r="J351" s="108" t="n"/>
      <c r="K351" s="108" t="n"/>
      <c r="L351" s="108" t="n"/>
      <c r="M351" s="108" t="n"/>
      <c r="N351" s="108" t="n"/>
      <c r="O351" s="108" t="n"/>
      <c r="P351" s="101" t="n"/>
      <c r="Q351" s="109" t="n"/>
      <c r="R351" s="108" t="n"/>
      <c r="S351" s="110" t="inlineStr">
        <is>
          <t>🔲 데이터수집예정</t>
        </is>
      </c>
      <c r="T351" s="136" t="n"/>
      <c r="W351" s="111" t="n"/>
    </row>
    <row r="352" ht="18" customHeight="1" s="97">
      <c r="A352" s="112" t="n">
        <v>350</v>
      </c>
      <c r="B352" s="113" t="inlineStr">
        <is>
          <t>경북</t>
        </is>
      </c>
      <c r="C352" s="122" t="inlineStr">
        <is>
          <t>구니C.C</t>
        </is>
      </c>
      <c r="D352" s="104" t="inlineStr">
        <is>
          <t>대중제</t>
        </is>
      </c>
      <c r="E352" s="116" t="inlineStr">
        <is>
          <t>군위군 군위읍 도군로 2450</t>
        </is>
      </c>
      <c r="F352" s="112" t="n">
        <v>18</v>
      </c>
      <c r="G352" s="112">
        <f>F352*4</f>
        <v/>
      </c>
      <c r="H352" s="117" t="n">
        <v>841556</v>
      </c>
      <c r="I352" s="118" t="inlineStr">
        <is>
          <t>케이알스포츠㈜ 유재봉</t>
        </is>
      </c>
      <c r="J352" s="108" t="n"/>
      <c r="K352" s="108" t="n"/>
      <c r="L352" s="108" t="n"/>
      <c r="M352" s="108" t="n"/>
      <c r="N352" s="108" t="n"/>
      <c r="O352" s="108" t="n"/>
      <c r="P352" s="112" t="n"/>
      <c r="Q352" s="119" t="n"/>
      <c r="R352" s="108" t="n"/>
      <c r="S352" s="110" t="inlineStr">
        <is>
          <t>🔲 데이터수집예정</t>
        </is>
      </c>
      <c r="T352" s="126" t="n"/>
      <c r="W352" s="121" t="n"/>
    </row>
    <row r="353" ht="18" customHeight="1" s="97">
      <c r="A353" s="101" t="n">
        <v>351</v>
      </c>
      <c r="B353" s="102" t="inlineStr">
        <is>
          <t>경북</t>
        </is>
      </c>
      <c r="C353" s="123" t="inlineStr">
        <is>
          <t>구미C.C</t>
        </is>
      </c>
      <c r="D353" s="104" t="inlineStr">
        <is>
          <t>대중제</t>
        </is>
      </c>
      <c r="E353" s="105" t="inlineStr">
        <is>
          <t>구미시 장천면 송백로 229</t>
        </is>
      </c>
      <c r="F353" s="101" t="n">
        <v>27</v>
      </c>
      <c r="G353" s="101">
        <f>F353*4</f>
        <v/>
      </c>
      <c r="H353" s="106" t="n">
        <v>1205829</v>
      </c>
      <c r="I353" s="107" t="inlineStr">
        <is>
          <t>신구미개발㈜ 박병웅</t>
        </is>
      </c>
      <c r="J353" s="108" t="n"/>
      <c r="K353" s="108" t="n"/>
      <c r="L353" s="108" t="n"/>
      <c r="M353" s="108" t="n"/>
      <c r="N353" s="108" t="n"/>
      <c r="O353" s="108" t="n"/>
      <c r="P353" s="101" t="n"/>
      <c r="Q353" s="109" t="n"/>
      <c r="R353" s="108" t="n"/>
      <c r="S353" s="110" t="inlineStr">
        <is>
          <t>🔲 데이터수집예정</t>
        </is>
      </c>
      <c r="T353" s="136" t="n"/>
      <c r="W353" s="111" t="n"/>
    </row>
    <row r="354" ht="18" customHeight="1" s="97">
      <c r="A354" s="112" t="n">
        <v>352</v>
      </c>
      <c r="B354" s="113" t="inlineStr">
        <is>
          <t>경북</t>
        </is>
      </c>
      <c r="C354" s="122" t="inlineStr">
        <is>
          <t>군위오펠G.C</t>
        </is>
      </c>
      <c r="D354" s="104" t="inlineStr">
        <is>
          <t>대중제</t>
        </is>
      </c>
      <c r="E354" s="116" t="inlineStr">
        <is>
          <t>군위군 산성면 부흥로 227</t>
        </is>
      </c>
      <c r="F354" s="112" t="n">
        <v>18</v>
      </c>
      <c r="G354" s="112">
        <f>F354*4</f>
        <v/>
      </c>
      <c r="H354" s="117" t="n">
        <v>999080</v>
      </c>
      <c r="I354" s="118" t="inlineStr">
        <is>
          <t>신우개발㈜ 이정익</t>
        </is>
      </c>
      <c r="J354" s="108" t="n"/>
      <c r="K354" s="108" t="n"/>
      <c r="L354" s="108" t="n"/>
      <c r="M354" s="108" t="n"/>
      <c r="N354" s="108" t="n"/>
      <c r="O354" s="108" t="n"/>
      <c r="P354" s="112" t="n"/>
      <c r="Q354" s="119" t="n"/>
      <c r="R354" s="108" t="n"/>
      <c r="S354" s="110" t="inlineStr">
        <is>
          <t>🔲 데이터수집예정</t>
        </is>
      </c>
      <c r="T354" s="126" t="n"/>
      <c r="W354" s="121" t="n"/>
    </row>
    <row r="355" ht="18" customHeight="1" s="97">
      <c r="A355" s="101" t="n">
        <v>353</v>
      </c>
      <c r="B355" s="102" t="inlineStr">
        <is>
          <t>경북</t>
        </is>
      </c>
      <c r="C355" s="123" t="inlineStr">
        <is>
          <t>그레이스C.C</t>
        </is>
      </c>
      <c r="D355" s="104" t="inlineStr">
        <is>
          <t>대중제</t>
        </is>
      </c>
      <c r="E355" s="105" t="inlineStr">
        <is>
          <t>청도군 이서면 서녁길 91</t>
        </is>
      </c>
      <c r="F355" s="101" t="n">
        <v>27</v>
      </c>
      <c r="G355" s="101">
        <f>F355*4</f>
        <v/>
      </c>
      <c r="H355" s="106" t="n">
        <v>1465851</v>
      </c>
      <c r="I355" s="107" t="inlineStr">
        <is>
          <t>㈜태왕아너스 이명숙</t>
        </is>
      </c>
      <c r="J355" s="108" t="n"/>
      <c r="K355" s="108" t="n"/>
      <c r="L355" s="108" t="n"/>
      <c r="M355" s="108" t="n"/>
      <c r="N355" s="108" t="n"/>
      <c r="O355" s="108" t="n"/>
      <c r="P355" s="101" t="n"/>
      <c r="Q355" s="109" t="n"/>
      <c r="R355" s="108" t="n"/>
      <c r="S355" s="110" t="inlineStr">
        <is>
          <t>🔲 데이터수집예정</t>
        </is>
      </c>
      <c r="T355" s="136" t="n"/>
      <c r="W355" s="111" t="n"/>
    </row>
    <row r="356" ht="18" customHeight="1" s="97">
      <c r="A356" s="112" t="n">
        <v>354</v>
      </c>
      <c r="B356" s="113" t="inlineStr">
        <is>
          <t>경북</t>
        </is>
      </c>
      <c r="C356" s="122" t="inlineStr">
        <is>
          <t>남안동C.C</t>
        </is>
      </c>
      <c r="D356" s="115" t="inlineStr">
        <is>
          <t>회원제</t>
        </is>
      </c>
      <c r="E356" s="116" t="inlineStr">
        <is>
          <t>안동시 일직면 풍일로 1887</t>
        </is>
      </c>
      <c r="F356" s="112" t="n">
        <v>18</v>
      </c>
      <c r="G356" s="112">
        <f>F356*4</f>
        <v/>
      </c>
      <c r="H356" s="117" t="n">
        <v>1046500</v>
      </c>
      <c r="I356" s="118" t="inlineStr">
        <is>
          <t>디아이개발㈜ 박춘영</t>
        </is>
      </c>
      <c r="J356" s="108" t="n"/>
      <c r="K356" s="108" t="n"/>
      <c r="L356" s="108" t="n"/>
      <c r="M356" s="108" t="n"/>
      <c r="N356" s="108" t="n"/>
      <c r="O356" s="108" t="n"/>
      <c r="P356" s="112" t="n"/>
      <c r="Q356" s="119" t="n"/>
      <c r="R356" s="108" t="n"/>
      <c r="S356" s="110" t="inlineStr">
        <is>
          <t>🔲 데이터수집예정</t>
        </is>
      </c>
      <c r="T356" s="126" t="n"/>
      <c r="W356" s="121" t="n"/>
    </row>
    <row r="357" ht="18" customHeight="1" s="97">
      <c r="A357" s="101" t="n">
        <v>355</v>
      </c>
      <c r="B357" s="102" t="inlineStr">
        <is>
          <t>경북</t>
        </is>
      </c>
      <c r="C357" s="123" t="inlineStr">
        <is>
          <t>뉴스프링빌Ⅱ</t>
        </is>
      </c>
      <c r="D357" s="104" t="inlineStr">
        <is>
          <t>대중제</t>
        </is>
      </c>
      <c r="E357" s="105" t="inlineStr">
        <is>
          <t>상주시 모서면 백화로 40</t>
        </is>
      </c>
      <c r="F357" s="101" t="n">
        <v>18</v>
      </c>
      <c r="G357" s="101">
        <f>F357*4</f>
        <v/>
      </c>
      <c r="H357" s="106" t="n">
        <v>1081418</v>
      </c>
      <c r="I357" s="107" t="inlineStr">
        <is>
          <t>㈜동승레저 박용민</t>
        </is>
      </c>
      <c r="J357" s="108" t="n"/>
      <c r="K357" s="108" t="n"/>
      <c r="L357" s="108" t="n"/>
      <c r="M357" s="108" t="n"/>
      <c r="N357" s="108" t="n"/>
      <c r="O357" s="108" t="n"/>
      <c r="P357" s="101" t="n"/>
      <c r="Q357" s="109" t="n"/>
      <c r="R357" s="108" t="n"/>
      <c r="S357" s="110" t="inlineStr">
        <is>
          <t>🔲 데이터수집예정</t>
        </is>
      </c>
      <c r="T357" s="136" t="n"/>
      <c r="W357" s="111" t="n"/>
    </row>
    <row r="358" ht="18" customHeight="1" s="97">
      <c r="A358" s="112" t="n">
        <v>356</v>
      </c>
      <c r="B358" s="113" t="inlineStr">
        <is>
          <t>경북</t>
        </is>
      </c>
      <c r="C358" s="122" t="inlineStr">
        <is>
          <t>다산 샤인힐CC</t>
        </is>
      </c>
      <c r="D358" s="104" t="inlineStr">
        <is>
          <t>대중제</t>
        </is>
      </c>
      <c r="E358" s="116" t="inlineStr">
        <is>
          <t>고령군 다산면 벌지로 175-115</t>
        </is>
      </c>
      <c r="F358" s="112" t="n">
        <v>18</v>
      </c>
      <c r="G358" s="112">
        <f>F358*4</f>
        <v/>
      </c>
      <c r="H358" s="117" t="n">
        <v>1031280</v>
      </c>
      <c r="I358" s="118" t="inlineStr">
        <is>
          <t>두강건설㈜ 이정익</t>
        </is>
      </c>
      <c r="J358" s="108" t="n"/>
      <c r="K358" s="108" t="n"/>
      <c r="L358" s="108" t="n"/>
      <c r="M358" s="108" t="n"/>
      <c r="N358" s="108" t="n"/>
      <c r="O358" s="108" t="n"/>
      <c r="P358" s="112" t="n"/>
      <c r="Q358" s="119" t="n"/>
      <c r="R358" s="108" t="n"/>
      <c r="S358" s="110" t="inlineStr">
        <is>
          <t>🔲 데이터수집예정</t>
        </is>
      </c>
      <c r="T358" s="126" t="n"/>
      <c r="W358" s="121" t="n"/>
    </row>
    <row r="359" ht="18" customHeight="1" s="97">
      <c r="A359" s="101" t="n">
        <v>357</v>
      </c>
      <c r="B359" s="102" t="inlineStr">
        <is>
          <t>경북</t>
        </is>
      </c>
      <c r="C359" s="123" t="inlineStr">
        <is>
          <t>대가야CC</t>
        </is>
      </c>
      <c r="D359" s="104" t="inlineStr">
        <is>
          <t>대중제</t>
        </is>
      </c>
      <c r="E359" s="105" t="inlineStr">
        <is>
          <t>고령군 대가야읍 대가야로 1103</t>
        </is>
      </c>
      <c r="F359" s="101" t="n">
        <v>9</v>
      </c>
      <c r="G359" s="101">
        <f>F359*4</f>
        <v/>
      </c>
      <c r="H359" s="106" t="n">
        <v>469311</v>
      </c>
      <c r="I359" s="107" t="inlineStr">
        <is>
          <t>㈜흥진레저 심병재</t>
        </is>
      </c>
      <c r="J359" s="108" t="n"/>
      <c r="K359" s="108" t="n"/>
      <c r="L359" s="108" t="n"/>
      <c r="M359" s="108" t="n"/>
      <c r="N359" s="108" t="n"/>
      <c r="O359" s="108" t="n"/>
      <c r="P359" s="101" t="n"/>
      <c r="Q359" s="109" t="n"/>
      <c r="R359" s="108" t="n"/>
      <c r="S359" s="110" t="inlineStr">
        <is>
          <t>🔲 데이터수집예정</t>
        </is>
      </c>
      <c r="T359" s="136" t="n"/>
      <c r="W359" s="111" t="n"/>
    </row>
    <row r="360" ht="18" customHeight="1" s="97">
      <c r="A360" s="112" t="n">
        <v>358</v>
      </c>
      <c r="B360" s="113" t="inlineStr">
        <is>
          <t>경북</t>
        </is>
      </c>
      <c r="C360" s="122" t="inlineStr">
        <is>
          <t>대구C.C</t>
        </is>
      </c>
      <c r="D360" s="115" t="inlineStr">
        <is>
          <t>회원제</t>
        </is>
      </c>
      <c r="E360" s="116" t="inlineStr">
        <is>
          <t>경산시 진량읍 일연로 718-42</t>
        </is>
      </c>
      <c r="F360" s="112" t="n">
        <v>27</v>
      </c>
      <c r="G360" s="112">
        <f>F360*4</f>
        <v/>
      </c>
      <c r="H360" s="117" t="n">
        <v>1080303</v>
      </c>
      <c r="I360" s="118" t="inlineStr">
        <is>
          <t>경산개발㈜ 우승백, 우승수</t>
        </is>
      </c>
      <c r="J360" s="108" t="n"/>
      <c r="K360" s="108" t="n"/>
      <c r="L360" s="108" t="n"/>
      <c r="M360" s="108" t="n"/>
      <c r="N360" s="108" t="n"/>
      <c r="O360" s="108" t="n"/>
      <c r="P360" s="112" t="n"/>
      <c r="Q360" s="119" t="n"/>
      <c r="R360" s="108" t="n"/>
      <c r="S360" s="110" t="inlineStr">
        <is>
          <t>🔲 데이터수집예정</t>
        </is>
      </c>
      <c r="T360" s="126" t="n"/>
      <c r="W360" s="121" t="n"/>
    </row>
    <row r="361" ht="18" customHeight="1" s="97">
      <c r="A361" s="101" t="n">
        <v>359</v>
      </c>
      <c r="B361" s="102" t="inlineStr">
        <is>
          <t>경북</t>
        </is>
      </c>
      <c r="C361" s="123" t="inlineStr">
        <is>
          <t>디아너스C.C</t>
        </is>
      </c>
      <c r="D361" s="115" t="inlineStr">
        <is>
          <t>회원제</t>
        </is>
      </c>
      <c r="E361" s="105" t="inlineStr">
        <is>
          <t>경주시 보불로 391(천군동)</t>
        </is>
      </c>
      <c r="F361" s="101" t="n">
        <v>27</v>
      </c>
      <c r="G361" s="101">
        <f>F361*4</f>
        <v/>
      </c>
      <c r="H361" s="106" t="n">
        <v>1258239</v>
      </c>
      <c r="I361" s="107" t="inlineStr">
        <is>
          <t>㈜블루원 윤재연</t>
        </is>
      </c>
      <c r="J361" s="108" t="n"/>
      <c r="K361" s="108" t="n"/>
      <c r="L361" s="108" t="n"/>
      <c r="M361" s="108" t="n"/>
      <c r="N361" s="108" t="n"/>
      <c r="O361" s="108" t="n"/>
      <c r="P361" s="101" t="n"/>
      <c r="Q361" s="109" t="n"/>
      <c r="R361" s="108" t="n"/>
      <c r="S361" s="110" t="inlineStr">
        <is>
          <t>🔲 데이터수집예정</t>
        </is>
      </c>
      <c r="T361" s="136" t="n"/>
      <c r="W361" s="111" t="n"/>
    </row>
    <row r="362" ht="18" customHeight="1" s="97">
      <c r="A362" s="112" t="n">
        <v>360</v>
      </c>
      <c r="B362" s="113" t="inlineStr">
        <is>
          <t>경북</t>
        </is>
      </c>
      <c r="C362" s="122" t="inlineStr">
        <is>
          <t>루나엑스C.C</t>
        </is>
      </c>
      <c r="D362" s="104" t="inlineStr">
        <is>
          <t>대중제</t>
        </is>
      </c>
      <c r="E362" s="116" t="inlineStr">
        <is>
          <t>경주시 천북면 천강로 412-299</t>
        </is>
      </c>
      <c r="F362" s="112" t="n">
        <v>24</v>
      </c>
      <c r="G362" s="112">
        <f>F362*4</f>
        <v/>
      </c>
      <c r="H362" s="117" t="n">
        <v>1816593</v>
      </c>
      <c r="I362" s="118" t="inlineStr">
        <is>
          <t>㈜블루원 윤재연</t>
        </is>
      </c>
      <c r="J362" s="108" t="n"/>
      <c r="K362" s="108" t="n"/>
      <c r="L362" s="108" t="n"/>
      <c r="M362" s="108" t="n"/>
      <c r="N362" s="108" t="n"/>
      <c r="O362" s="108" t="n"/>
      <c r="P362" s="112" t="n"/>
      <c r="Q362" s="119" t="n"/>
      <c r="R362" s="108" t="n"/>
      <c r="S362" s="110" t="inlineStr">
        <is>
          <t>🔲 데이터수집예정</t>
        </is>
      </c>
      <c r="T362" s="126" t="n"/>
      <c r="W362" s="121" t="n"/>
    </row>
    <row r="363" ht="18" customHeight="1" s="97">
      <c r="A363" s="101" t="n">
        <v>361</v>
      </c>
      <c r="B363" s="102" t="inlineStr">
        <is>
          <t>경북</t>
        </is>
      </c>
      <c r="C363" s="123" t="inlineStr">
        <is>
          <t>마스터피스CC</t>
        </is>
      </c>
      <c r="D363" s="104" t="inlineStr">
        <is>
          <t>대중제</t>
        </is>
      </c>
      <c r="E363" s="105" t="inlineStr">
        <is>
          <t>고령군 쌍림면 산막길 47-80</t>
        </is>
      </c>
      <c r="F363" s="101" t="n">
        <v>18</v>
      </c>
      <c r="G363" s="101">
        <f>F363*4</f>
        <v/>
      </c>
      <c r="H363" s="106" t="n">
        <v>1034362</v>
      </c>
      <c r="I363" s="107" t="inlineStr">
        <is>
          <t>㈜누가개발 김인자</t>
        </is>
      </c>
      <c r="J363" s="108" t="n"/>
      <c r="K363" s="108" t="n"/>
      <c r="L363" s="108" t="n"/>
      <c r="M363" s="108" t="n"/>
      <c r="N363" s="108" t="n"/>
      <c r="O363" s="108" t="n"/>
      <c r="P363" s="101" t="n"/>
      <c r="Q363" s="109" t="n"/>
      <c r="R363" s="108" t="n"/>
      <c r="S363" s="110" t="inlineStr">
        <is>
          <t>🔲 데이터수집예정</t>
        </is>
      </c>
      <c r="T363" s="136" t="n"/>
      <c r="W363" s="111" t="n"/>
    </row>
    <row r="364" ht="18" customHeight="1" s="97">
      <c r="A364" s="112" t="n">
        <v>362</v>
      </c>
      <c r="B364" s="113" t="inlineStr">
        <is>
          <t>경북</t>
        </is>
      </c>
      <c r="C364" s="122" t="inlineStr">
        <is>
          <t>마우나오션C.C</t>
        </is>
      </c>
      <c r="D364" s="115" t="inlineStr">
        <is>
          <t>회원제</t>
        </is>
      </c>
      <c r="E364" s="116" t="inlineStr">
        <is>
          <t>경주시 양남면 동남로 982</t>
        </is>
      </c>
      <c r="F364" s="112" t="n">
        <v>18</v>
      </c>
      <c r="G364" s="112">
        <f>F364*4</f>
        <v/>
      </c>
      <c r="H364" s="117" t="n">
        <v>786697</v>
      </c>
      <c r="I364" s="118" t="inlineStr">
        <is>
          <t>㈜엠오디 장재혁</t>
        </is>
      </c>
      <c r="J364" s="108" t="n"/>
      <c r="K364" s="108" t="n"/>
      <c r="L364" s="108" t="n"/>
      <c r="M364" s="108" t="n"/>
      <c r="N364" s="108" t="n"/>
      <c r="O364" s="108" t="n"/>
      <c r="P364" s="112" t="n"/>
      <c r="Q364" s="119" t="n"/>
      <c r="R364" s="108" t="n"/>
      <c r="S364" s="110" t="inlineStr">
        <is>
          <t>🔲 데이터수집예정</t>
        </is>
      </c>
      <c r="T364" s="126" t="n"/>
      <c r="W364" s="121" t="n"/>
    </row>
    <row r="365" ht="18" customHeight="1" s="97">
      <c r="A365" s="101" t="n">
        <v>363</v>
      </c>
      <c r="B365" s="102" t="inlineStr">
        <is>
          <t>경북</t>
        </is>
      </c>
      <c r="C365" s="123" t="inlineStr">
        <is>
          <t>마우나오션블루</t>
        </is>
      </c>
      <c r="D365" s="104" t="inlineStr">
        <is>
          <t>대중제</t>
        </is>
      </c>
      <c r="E365" s="105" t="inlineStr">
        <is>
          <t>경주시 양남면 동남로 982</t>
        </is>
      </c>
      <c r="F365" s="101" t="n">
        <v>9</v>
      </c>
      <c r="G365" s="101">
        <f>F365*4</f>
        <v/>
      </c>
      <c r="H365" s="106" t="n">
        <v>506975</v>
      </c>
      <c r="I365" s="107" t="inlineStr">
        <is>
          <t>㈜엠오디 장재혁</t>
        </is>
      </c>
      <c r="J365" s="108" t="n"/>
      <c r="K365" s="108" t="n"/>
      <c r="L365" s="108" t="n"/>
      <c r="M365" s="108" t="n"/>
      <c r="N365" s="108" t="n"/>
      <c r="O365" s="108" t="n"/>
      <c r="P365" s="101" t="n"/>
      <c r="Q365" s="109" t="n"/>
      <c r="R365" s="108" t="n"/>
      <c r="S365" s="110" t="inlineStr">
        <is>
          <t>🔲 데이터수집예정</t>
        </is>
      </c>
      <c r="T365" s="136" t="n"/>
      <c r="W365" s="111" t="n"/>
    </row>
    <row r="366" ht="18" customHeight="1" s="97">
      <c r="A366" s="112" t="n">
        <v>364</v>
      </c>
      <c r="B366" s="113" t="inlineStr">
        <is>
          <t>경북</t>
        </is>
      </c>
      <c r="C366" s="122" t="inlineStr">
        <is>
          <t>마이다스 구미 골프아카데미</t>
        </is>
      </c>
      <c r="D366" s="104" t="inlineStr">
        <is>
          <t>대중제</t>
        </is>
      </c>
      <c r="E366" s="116" t="inlineStr">
        <is>
          <t>칠곡군 가산면 학하2길 54-171</t>
        </is>
      </c>
      <c r="F366" s="112" t="n">
        <v>9</v>
      </c>
      <c r="G366" s="112">
        <f>F366*4</f>
        <v/>
      </c>
      <c r="H366" s="117" t="n">
        <v>428970</v>
      </c>
      <c r="I366" s="118" t="inlineStr">
        <is>
          <t>㈜대교디앤에스 최득희</t>
        </is>
      </c>
      <c r="J366" s="108" t="n"/>
      <c r="K366" s="108" t="n"/>
      <c r="L366" s="108" t="n"/>
      <c r="M366" s="108" t="n"/>
      <c r="N366" s="108" t="n"/>
      <c r="O366" s="108" t="n"/>
      <c r="P366" s="112" t="n"/>
      <c r="Q366" s="119" t="n"/>
      <c r="R366" s="108" t="n"/>
      <c r="S366" s="110" t="inlineStr">
        <is>
          <t>🔲 데이터수집예정</t>
        </is>
      </c>
      <c r="T366" s="126" t="n"/>
      <c r="W366" s="121" t="n"/>
    </row>
    <row r="367" ht="18" customHeight="1" s="97">
      <c r="A367" s="101" t="n">
        <v>365</v>
      </c>
      <c r="B367" s="102" t="inlineStr">
        <is>
          <t>경북</t>
        </is>
      </c>
      <c r="C367" s="123" t="inlineStr">
        <is>
          <t>문경레저타운골프장</t>
        </is>
      </c>
      <c r="D367" s="104" t="inlineStr">
        <is>
          <t>대중제</t>
        </is>
      </c>
      <c r="E367" s="105" t="inlineStr">
        <is>
          <t>문경시 마성면 문경골프장길 240</t>
        </is>
      </c>
      <c r="F367" s="101" t="n">
        <v>18</v>
      </c>
      <c r="G367" s="101">
        <f>F367*4</f>
        <v/>
      </c>
      <c r="H367" s="106" t="n">
        <v>1022039</v>
      </c>
      <c r="I367" s="107" t="inlineStr">
        <is>
          <t>㈜문경레저타운 정광호</t>
        </is>
      </c>
      <c r="J367" s="108" t="n"/>
      <c r="K367" s="108" t="n"/>
      <c r="L367" s="108" t="n"/>
      <c r="M367" s="108" t="n"/>
      <c r="N367" s="108" t="n"/>
      <c r="O367" s="108" t="n"/>
      <c r="P367" s="101" t="n"/>
      <c r="Q367" s="109" t="n"/>
      <c r="R367" s="108" t="n"/>
      <c r="S367" s="110" t="inlineStr">
        <is>
          <t>🔲 데이터수집예정</t>
        </is>
      </c>
      <c r="T367" s="136" t="n"/>
      <c r="W367" s="111" t="n"/>
    </row>
    <row r="368" ht="18" customHeight="1" s="97">
      <c r="A368" s="112" t="n">
        <v>366</v>
      </c>
      <c r="B368" s="113" t="inlineStr">
        <is>
          <t>경북</t>
        </is>
      </c>
      <c r="C368" s="122" t="inlineStr">
        <is>
          <t>보문G.C</t>
        </is>
      </c>
      <c r="D368" s="104" t="inlineStr">
        <is>
          <t>대중제</t>
        </is>
      </c>
      <c r="E368" s="116" t="inlineStr">
        <is>
          <t>경주시 보문로 182-14</t>
        </is>
      </c>
      <c r="F368" s="112" t="n">
        <v>18</v>
      </c>
      <c r="G368" s="112">
        <f>F368*4</f>
        <v/>
      </c>
      <c r="H368" s="117" t="n">
        <v>769499</v>
      </c>
      <c r="I368" s="118" t="inlineStr">
        <is>
          <t>경북문화관광공사 김성조</t>
        </is>
      </c>
      <c r="J368" s="108" t="n"/>
      <c r="K368" s="108" t="n"/>
      <c r="L368" s="108" t="n"/>
      <c r="M368" s="108" t="n"/>
      <c r="N368" s="108" t="n"/>
      <c r="O368" s="108" t="n"/>
      <c r="P368" s="112" t="n"/>
      <c r="Q368" s="119" t="n"/>
      <c r="R368" s="108" t="n"/>
      <c r="S368" s="110" t="inlineStr">
        <is>
          <t>🔲 데이터수집예정</t>
        </is>
      </c>
      <c r="T368" s="126" t="n"/>
      <c r="W368" s="121" t="n"/>
    </row>
    <row r="369" ht="18" customHeight="1" s="97">
      <c r="A369" s="101" t="n">
        <v>367</v>
      </c>
      <c r="B369" s="102" t="inlineStr">
        <is>
          <t>경북</t>
        </is>
      </c>
      <c r="C369" s="123" t="inlineStr">
        <is>
          <t>블루원상주골프리조트</t>
        </is>
      </c>
      <c r="D369" s="104" t="inlineStr">
        <is>
          <t>대중제</t>
        </is>
      </c>
      <c r="E369" s="105" t="inlineStr">
        <is>
          <t>상주시 모서면 화현3길 127</t>
        </is>
      </c>
      <c r="F369" s="101" t="n">
        <v>18</v>
      </c>
      <c r="G369" s="101">
        <f>F369*4</f>
        <v/>
      </c>
      <c r="H369" s="106" t="n">
        <v>1038679</v>
      </c>
      <c r="I369" s="107" t="inlineStr">
        <is>
          <t>㈜블루원 윤재연</t>
        </is>
      </c>
      <c r="J369" s="139" t="n">
        <v>3.8</v>
      </c>
      <c r="K369" s="139" t="n">
        <v>4</v>
      </c>
      <c r="L369" s="139" t="n">
        <v>3.9</v>
      </c>
      <c r="M369" s="128" t="n">
        <v>4.2</v>
      </c>
      <c r="N369" s="139" t="n">
        <v>4</v>
      </c>
      <c r="O369" s="140">
        <f>ROUND(AVERAGE(J369:N369),2)</f>
        <v/>
      </c>
      <c r="P369" s="101" t="n">
        <v>123</v>
      </c>
      <c r="Q369" s="109" t="n">
        <v>71.2</v>
      </c>
      <c r="R369" s="130" t="inlineStr">
        <is>
          <t>중급</t>
        </is>
      </c>
      <c r="S369" s="131" t="inlineStr">
        <is>
          <t>✅ 서비스중</t>
        </is>
      </c>
      <c r="T369" s="138" t="inlineStr">
        <is>
          <t>https://sj.blueone.com</t>
        </is>
      </c>
      <c r="W369" s="111" t="n"/>
    </row>
    <row r="370" ht="18" customHeight="1" s="97">
      <c r="A370" s="112" t="n">
        <v>368</v>
      </c>
      <c r="B370" s="113" t="inlineStr">
        <is>
          <t>경북</t>
        </is>
      </c>
      <c r="C370" s="122" t="inlineStr">
        <is>
          <t>서라벌G.C</t>
        </is>
      </c>
      <c r="D370" s="104" t="inlineStr">
        <is>
          <t>대중제</t>
        </is>
      </c>
      <c r="E370" s="116" t="inlineStr">
        <is>
          <t>경주시 외동읍 내외로 577-189</t>
        </is>
      </c>
      <c r="F370" s="112" t="n">
        <v>36</v>
      </c>
      <c r="G370" s="112">
        <f>F370*4</f>
        <v/>
      </c>
      <c r="H370" s="117" t="n">
        <v>1979892</v>
      </c>
      <c r="I370" s="118" t="inlineStr">
        <is>
          <t>㈜서라벌 김광세</t>
        </is>
      </c>
      <c r="J370" s="108" t="n"/>
      <c r="K370" s="108" t="n"/>
      <c r="L370" s="108" t="n"/>
      <c r="M370" s="108" t="n"/>
      <c r="N370" s="108" t="n"/>
      <c r="O370" s="108" t="n"/>
      <c r="P370" s="112" t="n"/>
      <c r="Q370" s="119" t="n"/>
      <c r="R370" s="108" t="n"/>
      <c r="S370" s="110" t="inlineStr">
        <is>
          <t>🔲 데이터수집예정</t>
        </is>
      </c>
      <c r="T370" s="126" t="n"/>
      <c r="W370" s="121" t="n"/>
    </row>
    <row r="371" ht="18" customHeight="1" s="97">
      <c r="A371" s="101" t="n">
        <v>369</v>
      </c>
      <c r="B371" s="102" t="inlineStr">
        <is>
          <t>경북</t>
        </is>
      </c>
      <c r="C371" s="123" t="inlineStr">
        <is>
          <t>선리치G.C</t>
        </is>
      </c>
      <c r="D371" s="104" t="inlineStr">
        <is>
          <t>대중제</t>
        </is>
      </c>
      <c r="E371" s="105" t="inlineStr">
        <is>
          <t>경주시 안강읍 검단장골길 181-17</t>
        </is>
      </c>
      <c r="F371" s="101" t="n">
        <v>9</v>
      </c>
      <c r="G371" s="101">
        <f>F371*4</f>
        <v/>
      </c>
      <c r="H371" s="106" t="n">
        <v>244372</v>
      </c>
      <c r="I371" s="107" t="inlineStr">
        <is>
          <t>㈜월성종합개발 이상걸</t>
        </is>
      </c>
      <c r="J371" s="108" t="n"/>
      <c r="K371" s="108" t="n"/>
      <c r="L371" s="108" t="n"/>
      <c r="M371" s="108" t="n"/>
      <c r="N371" s="108" t="n"/>
      <c r="O371" s="108" t="n"/>
      <c r="P371" s="101" t="n"/>
      <c r="Q371" s="109" t="n"/>
      <c r="R371" s="108" t="n"/>
      <c r="S371" s="110" t="inlineStr">
        <is>
          <t>🔲 데이터수집예정</t>
        </is>
      </c>
      <c r="T371" s="136" t="n"/>
      <c r="W371" s="111" t="n"/>
    </row>
    <row r="372" ht="18" customHeight="1" s="97">
      <c r="A372" s="112" t="n">
        <v>370</v>
      </c>
      <c r="B372" s="113" t="inlineStr">
        <is>
          <t>경북</t>
        </is>
      </c>
      <c r="C372" s="122" t="inlineStr">
        <is>
          <t>세븐밸리C.C</t>
        </is>
      </c>
      <c r="D372" s="104" t="inlineStr">
        <is>
          <t>대중제</t>
        </is>
      </c>
      <c r="E372" s="116" t="inlineStr">
        <is>
          <t>칠곡군 왜관읍 봉계3길 180</t>
        </is>
      </c>
      <c r="F372" s="112" t="n">
        <v>18</v>
      </c>
      <c r="G372" s="112">
        <f>F372*4</f>
        <v/>
      </c>
      <c r="H372" s="117" t="n">
        <v>941849</v>
      </c>
      <c r="I372" s="118" t="inlineStr">
        <is>
          <t>㈜세븐밸리제이씨 유진선</t>
        </is>
      </c>
      <c r="J372" s="108" t="n"/>
      <c r="K372" s="108" t="n"/>
      <c r="L372" s="108" t="n"/>
      <c r="M372" s="108" t="n"/>
      <c r="N372" s="108" t="n"/>
      <c r="O372" s="108" t="n"/>
      <c r="P372" s="112" t="n"/>
      <c r="Q372" s="119" t="n"/>
      <c r="R372" s="108" t="n"/>
      <c r="S372" s="110" t="inlineStr">
        <is>
          <t>🔲 데이터수집예정</t>
        </is>
      </c>
      <c r="T372" s="126" t="n"/>
      <c r="W372" s="121" t="n"/>
    </row>
    <row r="373" ht="18" customHeight="1" s="97">
      <c r="A373" s="101" t="n">
        <v>371</v>
      </c>
      <c r="B373" s="102" t="inlineStr">
        <is>
          <t>경북</t>
        </is>
      </c>
      <c r="C373" s="123" t="inlineStr">
        <is>
          <t>시엘G.C</t>
        </is>
      </c>
      <c r="D373" s="104" t="inlineStr">
        <is>
          <t>대중제</t>
        </is>
      </c>
      <c r="E373" s="105" t="inlineStr">
        <is>
          <t>영천시 청통면 청통로 334-41</t>
        </is>
      </c>
      <c r="F373" s="101" t="n">
        <v>9</v>
      </c>
      <c r="G373" s="101">
        <f>F373*4</f>
        <v/>
      </c>
      <c r="H373" s="106" t="n">
        <v>186373</v>
      </c>
      <c r="I373" s="107" t="inlineStr">
        <is>
          <t>㈜금호개발 김도윤</t>
        </is>
      </c>
      <c r="J373" s="108" t="n"/>
      <c r="K373" s="108" t="n"/>
      <c r="L373" s="108" t="n"/>
      <c r="M373" s="108" t="n"/>
      <c r="N373" s="108" t="n"/>
      <c r="O373" s="108" t="n"/>
      <c r="P373" s="101" t="n"/>
      <c r="Q373" s="109" t="n"/>
      <c r="R373" s="108" t="n"/>
      <c r="S373" s="110" t="inlineStr">
        <is>
          <t>🔲 데이터수집예정</t>
        </is>
      </c>
      <c r="T373" s="136" t="n"/>
      <c r="W373" s="111" t="n"/>
    </row>
    <row r="374" ht="18" customHeight="1" s="97">
      <c r="A374" s="112" t="n">
        <v>372</v>
      </c>
      <c r="B374" s="113" t="inlineStr">
        <is>
          <t>경북</t>
        </is>
      </c>
      <c r="C374" s="122" t="inlineStr">
        <is>
          <t>안강레전드G.C</t>
        </is>
      </c>
      <c r="D374" s="104" t="inlineStr">
        <is>
          <t>대중제</t>
        </is>
      </c>
      <c r="E374" s="116" t="inlineStr">
        <is>
          <t>경주시 안강읍 낙산길 85</t>
        </is>
      </c>
      <c r="F374" s="112" t="n">
        <v>9</v>
      </c>
      <c r="G374" s="112">
        <f>F374*4</f>
        <v/>
      </c>
      <c r="H374" s="117" t="n">
        <v>404646</v>
      </c>
      <c r="I374" s="118" t="inlineStr">
        <is>
          <t>옥산개발㈜ 허상호, 김태열</t>
        </is>
      </c>
      <c r="J374" s="108" t="n"/>
      <c r="K374" s="108" t="n"/>
      <c r="L374" s="108" t="n"/>
      <c r="M374" s="108" t="n"/>
      <c r="N374" s="108" t="n"/>
      <c r="O374" s="108" t="n"/>
      <c r="P374" s="112" t="n"/>
      <c r="Q374" s="119" t="n"/>
      <c r="R374" s="108" t="n"/>
      <c r="S374" s="110" t="inlineStr">
        <is>
          <t>🔲 데이터수집예정</t>
        </is>
      </c>
      <c r="T374" s="126" t="n"/>
      <c r="W374" s="121" t="n"/>
    </row>
    <row r="375" ht="18" customHeight="1" s="97">
      <c r="A375" s="101" t="n">
        <v>373</v>
      </c>
      <c r="B375" s="102" t="inlineStr">
        <is>
          <t>경북</t>
        </is>
      </c>
      <c r="C375" s="123" t="inlineStr">
        <is>
          <t>안동레이크골프클럽</t>
        </is>
      </c>
      <c r="D375" s="104" t="inlineStr">
        <is>
          <t>대중제</t>
        </is>
      </c>
      <c r="E375" s="105" t="inlineStr">
        <is>
          <t>안동시 관광단지로 316</t>
        </is>
      </c>
      <c r="F375" s="101" t="n">
        <v>18</v>
      </c>
      <c r="G375" s="101">
        <f>F375*4</f>
        <v/>
      </c>
      <c r="H375" s="106" t="n">
        <v>982527</v>
      </c>
      <c r="I375" s="107" t="inlineStr">
        <is>
          <t>경북문화관광공사 김성조</t>
        </is>
      </c>
      <c r="J375" s="108" t="n"/>
      <c r="K375" s="108" t="n"/>
      <c r="L375" s="108" t="n"/>
      <c r="M375" s="108" t="n"/>
      <c r="N375" s="108" t="n"/>
      <c r="O375" s="108" t="n"/>
      <c r="P375" s="101" t="n"/>
      <c r="Q375" s="109" t="n"/>
      <c r="R375" s="108" t="n"/>
      <c r="S375" s="110" t="inlineStr">
        <is>
          <t>🔲 데이터수집예정</t>
        </is>
      </c>
      <c r="T375" s="136" t="n"/>
      <c r="W375" s="111" t="n"/>
    </row>
    <row r="376" ht="18" customHeight="1" s="97">
      <c r="A376" s="112" t="n">
        <v>374</v>
      </c>
      <c r="B376" s="113" t="inlineStr">
        <is>
          <t>경북</t>
        </is>
      </c>
      <c r="C376" s="122" t="inlineStr">
        <is>
          <t>안동리버힐C.C</t>
        </is>
      </c>
      <c r="D376" s="115" t="inlineStr">
        <is>
          <t>회원제</t>
        </is>
      </c>
      <c r="E376" s="116" t="inlineStr">
        <is>
          <t>안동시 풍천면 풍일로 1572</t>
        </is>
      </c>
      <c r="F376" s="112" t="n">
        <v>18</v>
      </c>
      <c r="G376" s="112">
        <f>F376*4</f>
        <v/>
      </c>
      <c r="H376" s="117" t="n">
        <v>1017714</v>
      </c>
      <c r="I376" s="118" t="inlineStr">
        <is>
          <t>더리얼산업㈜ 이원상</t>
        </is>
      </c>
      <c r="J376" s="108" t="n"/>
      <c r="K376" s="108" t="n"/>
      <c r="L376" s="108" t="n"/>
      <c r="M376" s="108" t="n"/>
      <c r="N376" s="108" t="n"/>
      <c r="O376" s="108" t="n"/>
      <c r="P376" s="112" t="n"/>
      <c r="Q376" s="119" t="n"/>
      <c r="R376" s="108" t="n"/>
      <c r="S376" s="110" t="inlineStr">
        <is>
          <t>🔲 데이터수집예정</t>
        </is>
      </c>
      <c r="T376" s="126" t="n"/>
      <c r="W376" s="121" t="n"/>
    </row>
    <row r="377" ht="18" customHeight="1" s="97">
      <c r="A377" s="101" t="n">
        <v>375</v>
      </c>
      <c r="B377" s="102" t="inlineStr">
        <is>
          <t>경북</t>
        </is>
      </c>
      <c r="C377" s="123" t="inlineStr">
        <is>
          <t>애플밸리C.C</t>
        </is>
      </c>
      <c r="D377" s="104" t="inlineStr">
        <is>
          <t>대중제</t>
        </is>
      </c>
      <c r="E377" s="105" t="inlineStr">
        <is>
          <t>김천시 어모면 작점로 606</t>
        </is>
      </c>
      <c r="F377" s="101" t="n">
        <v>9</v>
      </c>
      <c r="G377" s="101">
        <f>F377*4</f>
        <v/>
      </c>
      <c r="H377" s="106" t="n">
        <v>486519</v>
      </c>
      <c r="I377" s="107" t="inlineStr">
        <is>
          <t>에스엠하이플러스㈜ 최승석</t>
        </is>
      </c>
      <c r="J377" s="108" t="n"/>
      <c r="K377" s="108" t="n"/>
      <c r="L377" s="108" t="n"/>
      <c r="M377" s="108" t="n"/>
      <c r="N377" s="108" t="n"/>
      <c r="O377" s="108" t="n"/>
      <c r="P377" s="101" t="n"/>
      <c r="Q377" s="109" t="n"/>
      <c r="R377" s="108" t="n"/>
      <c r="S377" s="110" t="inlineStr">
        <is>
          <t>🔲 데이터수집예정</t>
        </is>
      </c>
      <c r="T377" s="136" t="n"/>
      <c r="W377" s="111" t="n"/>
    </row>
    <row r="378" ht="18" customHeight="1" s="97">
      <c r="A378" s="112" t="n">
        <v>376</v>
      </c>
      <c r="B378" s="113" t="inlineStr">
        <is>
          <t>경북</t>
        </is>
      </c>
      <c r="C378" s="122" t="inlineStr">
        <is>
          <t>엠스클럽의성</t>
        </is>
      </c>
      <c r="D378" s="104" t="inlineStr">
        <is>
          <t>대중제</t>
        </is>
      </c>
      <c r="E378" s="116" t="inlineStr">
        <is>
          <t>의성군 봉양면 농공마전길 125-78</t>
        </is>
      </c>
      <c r="F378" s="112" t="n">
        <v>18</v>
      </c>
      <c r="G378" s="112">
        <f>F378*4</f>
        <v/>
      </c>
      <c r="H378" s="117" t="n">
        <v>957974</v>
      </c>
      <c r="I378" s="118" t="inlineStr">
        <is>
          <t>㈜바이오컨트리클럽 최영수</t>
        </is>
      </c>
      <c r="J378" s="108" t="n"/>
      <c r="K378" s="108" t="n"/>
      <c r="L378" s="108" t="n"/>
      <c r="M378" s="108" t="n"/>
      <c r="N378" s="108" t="n"/>
      <c r="O378" s="108" t="n"/>
      <c r="P378" s="112" t="n"/>
      <c r="Q378" s="119" t="n"/>
      <c r="R378" s="108" t="n"/>
      <c r="S378" s="110" t="inlineStr">
        <is>
          <t>🔲 데이터수집예정</t>
        </is>
      </c>
      <c r="T378" s="126" t="n"/>
      <c r="W378" s="121" t="n"/>
    </row>
    <row r="379" ht="18" customHeight="1" s="97">
      <c r="A379" s="101" t="n">
        <v>377</v>
      </c>
      <c r="B379" s="102" t="inlineStr">
        <is>
          <t>경북</t>
        </is>
      </c>
      <c r="C379" s="123" t="inlineStr">
        <is>
          <t>영천C.C</t>
        </is>
      </c>
      <c r="D379" s="115" t="inlineStr">
        <is>
          <t>회원제</t>
        </is>
      </c>
      <c r="E379" s="105" t="inlineStr">
        <is>
          <t>영천시 임고면 방목길 34-2</t>
        </is>
      </c>
      <c r="F379" s="101" t="n">
        <v>27</v>
      </c>
      <c r="G379" s="101">
        <f>F379*4</f>
        <v/>
      </c>
      <c r="H379" s="106" t="n">
        <v>1332592</v>
      </c>
      <c r="I379" s="107" t="inlineStr">
        <is>
          <t>임고개발㈜ 이승도</t>
        </is>
      </c>
      <c r="J379" s="108" t="n"/>
      <c r="K379" s="108" t="n"/>
      <c r="L379" s="108" t="n"/>
      <c r="M379" s="108" t="n"/>
      <c r="N379" s="108" t="n"/>
      <c r="O379" s="108" t="n"/>
      <c r="P379" s="101" t="n"/>
      <c r="Q379" s="109" t="n"/>
      <c r="R379" s="108" t="n"/>
      <c r="S379" s="110" t="inlineStr">
        <is>
          <t>🔲 데이터수집예정</t>
        </is>
      </c>
      <c r="T379" s="136" t="n"/>
      <c r="W379" s="111" t="n"/>
    </row>
    <row r="380" ht="18" customHeight="1" s="97">
      <c r="A380" s="112" t="n">
        <v>378</v>
      </c>
      <c r="B380" s="113" t="inlineStr">
        <is>
          <t>경북</t>
        </is>
      </c>
      <c r="C380" s="122" t="inlineStr">
        <is>
          <t>오션비치C.C</t>
        </is>
      </c>
      <c r="D380" s="104" t="inlineStr">
        <is>
          <t>대중제</t>
        </is>
      </c>
      <c r="E380" s="116" t="inlineStr">
        <is>
          <t>영덕군 강구면 동해대로 4265-43</t>
        </is>
      </c>
      <c r="F380" s="112" t="n">
        <v>27</v>
      </c>
      <c r="G380" s="112">
        <f>F380*4</f>
        <v/>
      </c>
      <c r="H380" s="117" t="n">
        <v>1410518</v>
      </c>
      <c r="I380" s="118" t="inlineStr">
        <is>
          <t>㈜오션비치 박재선</t>
        </is>
      </c>
      <c r="J380" s="108" t="n"/>
      <c r="K380" s="108" t="n"/>
      <c r="L380" s="108" t="n"/>
      <c r="M380" s="108" t="n"/>
      <c r="N380" s="108" t="n"/>
      <c r="O380" s="108" t="n"/>
      <c r="P380" s="112" t="n"/>
      <c r="Q380" s="119" t="n"/>
      <c r="R380" s="108" t="n"/>
      <c r="S380" s="110" t="inlineStr">
        <is>
          <t>🔲 데이터수집예정</t>
        </is>
      </c>
      <c r="T380" s="126" t="n"/>
      <c r="W380" s="121" t="n"/>
    </row>
    <row r="381" ht="18" customHeight="1" s="97">
      <c r="A381" s="101" t="n">
        <v>379</v>
      </c>
      <c r="B381" s="102" t="inlineStr">
        <is>
          <t>경북</t>
        </is>
      </c>
      <c r="C381" s="123" t="inlineStr">
        <is>
          <t>오션힐스청도G.C</t>
        </is>
      </c>
      <c r="D381" s="104" t="inlineStr">
        <is>
          <t>대중제</t>
        </is>
      </c>
      <c r="E381" s="105" t="inlineStr">
        <is>
          <t>청도군 매전면 곰티로 370-204</t>
        </is>
      </c>
      <c r="F381" s="101" t="n">
        <v>18</v>
      </c>
      <c r="G381" s="101">
        <f>F381*4</f>
        <v/>
      </c>
      <c r="H381" s="106" t="n">
        <v>804257</v>
      </c>
      <c r="I381" s="107" t="inlineStr">
        <is>
          <t>유창개발㈜ 이승도</t>
        </is>
      </c>
      <c r="J381" s="108" t="n"/>
      <c r="K381" s="108" t="n"/>
      <c r="L381" s="108" t="n"/>
      <c r="M381" s="108" t="n"/>
      <c r="N381" s="108" t="n"/>
      <c r="O381" s="108" t="n"/>
      <c r="P381" s="101" t="n"/>
      <c r="Q381" s="109" t="n"/>
      <c r="R381" s="108" t="n"/>
      <c r="S381" s="110" t="inlineStr">
        <is>
          <t>🔲 데이터수집예정</t>
        </is>
      </c>
      <c r="T381" s="136" t="n"/>
      <c r="W381" s="111" t="n"/>
    </row>
    <row r="382" ht="18" customHeight="1" s="97">
      <c r="A382" s="112" t="n">
        <v>380</v>
      </c>
      <c r="B382" s="113" t="inlineStr">
        <is>
          <t>경북</t>
        </is>
      </c>
      <c r="C382" s="122" t="inlineStr">
        <is>
          <t>오션힐스포항C.C(대)</t>
        </is>
      </c>
      <c r="D382" s="104" t="inlineStr">
        <is>
          <t>대중제</t>
        </is>
      </c>
      <c r="E382" s="116" t="inlineStr">
        <is>
          <t>포항시 북구 송라면 대전길 7</t>
        </is>
      </c>
      <c r="F382" s="112" t="n">
        <v>9</v>
      </c>
      <c r="G382" s="112">
        <f>F382*4</f>
        <v/>
      </c>
      <c r="H382" s="117" t="n">
        <v>400940</v>
      </c>
      <c r="I382" s="118" t="inlineStr">
        <is>
          <t>오션힐스골프앤리조트㈜ 이승도</t>
        </is>
      </c>
      <c r="J382" s="108" t="n"/>
      <c r="K382" s="108" t="n"/>
      <c r="L382" s="108" t="n"/>
      <c r="M382" s="108" t="n"/>
      <c r="N382" s="108" t="n"/>
      <c r="O382" s="108" t="n"/>
      <c r="P382" s="112" t="n"/>
      <c r="Q382" s="119" t="n"/>
      <c r="R382" s="108" t="n"/>
      <c r="S382" s="110" t="inlineStr">
        <is>
          <t>🔲 데이터수집예정</t>
        </is>
      </c>
      <c r="T382" s="126" t="n"/>
      <c r="W382" s="121" t="n"/>
    </row>
    <row r="383" ht="18" customHeight="1" s="97">
      <c r="A383" s="101" t="n">
        <v>381</v>
      </c>
      <c r="B383" s="102" t="inlineStr">
        <is>
          <t>경북</t>
        </is>
      </c>
      <c r="C383" s="123" t="inlineStr">
        <is>
          <t>오션힐스포항C.C(회)</t>
        </is>
      </c>
      <c r="D383" s="115" t="inlineStr">
        <is>
          <t>회원제</t>
        </is>
      </c>
      <c r="E383" s="105" t="inlineStr">
        <is>
          <t>포항시 북구 송라면 대전길 7</t>
        </is>
      </c>
      <c r="F383" s="101" t="n">
        <v>18</v>
      </c>
      <c r="G383" s="101">
        <f>F383*4</f>
        <v/>
      </c>
      <c r="H383" s="106" t="n">
        <v>918977</v>
      </c>
      <c r="I383" s="107" t="inlineStr">
        <is>
          <t>오션힐스골프앤리조트㈜ 이승도</t>
        </is>
      </c>
      <c r="J383" s="108" t="n"/>
      <c r="K383" s="108" t="n"/>
      <c r="L383" s="108" t="n"/>
      <c r="M383" s="108" t="n"/>
      <c r="N383" s="108" t="n"/>
      <c r="O383" s="108" t="n"/>
      <c r="P383" s="101" t="n"/>
      <c r="Q383" s="109" t="n"/>
      <c r="R383" s="108" t="n"/>
      <c r="S383" s="110" t="inlineStr">
        <is>
          <t>🔲 데이터수집예정</t>
        </is>
      </c>
      <c r="T383" s="136" t="n"/>
      <c r="W383" s="111" t="n"/>
    </row>
    <row r="384" ht="18" customHeight="1" s="97">
      <c r="A384" s="112" t="n">
        <v>382</v>
      </c>
      <c r="B384" s="113" t="inlineStr">
        <is>
          <t>경북</t>
        </is>
      </c>
      <c r="C384" s="122" t="inlineStr">
        <is>
          <t>오펠G.C</t>
        </is>
      </c>
      <c r="D384" s="115" t="inlineStr">
        <is>
          <t>회원제</t>
        </is>
      </c>
      <c r="E384" s="116" t="inlineStr">
        <is>
          <t>영천시 고경면 호국로 1221-24</t>
        </is>
      </c>
      <c r="F384" s="112" t="n">
        <v>27</v>
      </c>
      <c r="G384" s="112">
        <f>F384*4</f>
        <v/>
      </c>
      <c r="H384" s="117" t="n">
        <v>1311521</v>
      </c>
      <c r="I384" s="118" t="inlineStr">
        <is>
          <t>부성개발㈜ 구성식</t>
        </is>
      </c>
      <c r="J384" s="108" t="n"/>
      <c r="K384" s="108" t="n"/>
      <c r="L384" s="108" t="n"/>
      <c r="M384" s="108" t="n"/>
      <c r="N384" s="108" t="n"/>
      <c r="O384" s="108" t="n"/>
      <c r="P384" s="112" t="n"/>
      <c r="Q384" s="119" t="n"/>
      <c r="R384" s="108" t="n"/>
      <c r="S384" s="110" t="inlineStr">
        <is>
          <t>🔲 데이터수집예정</t>
        </is>
      </c>
      <c r="T384" s="126" t="n"/>
      <c r="W384" s="121" t="n"/>
    </row>
    <row r="385" ht="18" customHeight="1" s="97">
      <c r="A385" s="101" t="n">
        <v>383</v>
      </c>
      <c r="B385" s="102" t="inlineStr">
        <is>
          <t>경북</t>
        </is>
      </c>
      <c r="C385" s="123" t="inlineStr">
        <is>
          <t>우리G.C</t>
        </is>
      </c>
      <c r="D385" s="104" t="inlineStr">
        <is>
          <t>대중제</t>
        </is>
      </c>
      <c r="E385" s="105" t="inlineStr">
        <is>
          <t>경주시 양남면 동남로 972</t>
        </is>
      </c>
      <c r="F385" s="101" t="n">
        <v>9</v>
      </c>
      <c r="G385" s="101">
        <f>F385*4</f>
        <v/>
      </c>
      <c r="H385" s="106" t="n">
        <v>442362</v>
      </c>
      <c r="I385" s="107" t="inlineStr">
        <is>
          <t>㈜퍼블릭개발 임충희</t>
        </is>
      </c>
      <c r="J385" s="108" t="n"/>
      <c r="K385" s="108" t="n"/>
      <c r="L385" s="108" t="n"/>
      <c r="M385" s="108" t="n"/>
      <c r="N385" s="108" t="n"/>
      <c r="O385" s="108" t="n"/>
      <c r="P385" s="101" t="n"/>
      <c r="Q385" s="109" t="n"/>
      <c r="R385" s="108" t="n"/>
      <c r="S385" s="110" t="inlineStr">
        <is>
          <t>🔲 데이터수집예정</t>
        </is>
      </c>
      <c r="T385" s="136" t="n"/>
      <c r="W385" s="111" t="n"/>
    </row>
    <row r="386" ht="18" customHeight="1" s="97">
      <c r="A386" s="112" t="n">
        <v>384</v>
      </c>
      <c r="B386" s="113" t="inlineStr">
        <is>
          <t>경북</t>
        </is>
      </c>
      <c r="C386" s="122" t="inlineStr">
        <is>
          <t>원남골프장</t>
        </is>
      </c>
      <c r="D386" s="104" t="inlineStr">
        <is>
          <t>대중제</t>
        </is>
      </c>
      <c r="E386" s="116" t="inlineStr">
        <is>
          <t>울진군 매화면 오산리 산26</t>
        </is>
      </c>
      <c r="F386" s="112" t="n">
        <v>18</v>
      </c>
      <c r="G386" s="112">
        <f>F386*4</f>
        <v/>
      </c>
      <c r="H386" s="117" t="n">
        <v>1221145</v>
      </c>
      <c r="I386" s="118" t="inlineStr">
        <is>
          <t>울진군수</t>
        </is>
      </c>
      <c r="J386" s="108" t="n"/>
      <c r="K386" s="108" t="n"/>
      <c r="L386" s="108" t="n"/>
      <c r="M386" s="108" t="n"/>
      <c r="N386" s="108" t="n"/>
      <c r="O386" s="108" t="n"/>
      <c r="P386" s="112" t="n"/>
      <c r="Q386" s="119" t="n"/>
      <c r="R386" s="108" t="n"/>
      <c r="S386" s="110" t="inlineStr">
        <is>
          <t>🔲 데이터수집예정</t>
        </is>
      </c>
      <c r="T386" s="126" t="n"/>
      <c r="W386" s="121" t="n"/>
    </row>
    <row r="387" ht="18" customHeight="1" s="97">
      <c r="A387" s="101" t="n">
        <v>385</v>
      </c>
      <c r="B387" s="102" t="inlineStr">
        <is>
          <t>경북</t>
        </is>
      </c>
      <c r="C387" s="123" t="inlineStr">
        <is>
          <t>유니밸리C.C</t>
        </is>
      </c>
      <c r="D387" s="104" t="inlineStr">
        <is>
          <t>대중제</t>
        </is>
      </c>
      <c r="E387" s="105" t="inlineStr">
        <is>
          <t>고령군 고령읍 일량로 588</t>
        </is>
      </c>
      <c r="F387" s="101" t="n">
        <v>9</v>
      </c>
      <c r="G387" s="101">
        <f>F387*4</f>
        <v/>
      </c>
      <c r="H387" s="106" t="n">
        <v>385623</v>
      </c>
      <c r="I387" s="107" t="inlineStr">
        <is>
          <t>고령컨트리클럽㈜ 박선자</t>
        </is>
      </c>
      <c r="J387" s="108" t="n"/>
      <c r="K387" s="108" t="n"/>
      <c r="L387" s="108" t="n"/>
      <c r="M387" s="108" t="n"/>
      <c r="N387" s="108" t="n"/>
      <c r="O387" s="108" t="n"/>
      <c r="P387" s="101" t="n"/>
      <c r="Q387" s="109" t="n"/>
      <c r="R387" s="108" t="n"/>
      <c r="S387" s="110" t="inlineStr">
        <is>
          <t>🔲 데이터수집예정</t>
        </is>
      </c>
      <c r="T387" s="136" t="n"/>
      <c r="W387" s="111" t="n"/>
    </row>
    <row r="388" ht="18" customHeight="1" s="97">
      <c r="A388" s="112" t="n">
        <v>386</v>
      </c>
      <c r="B388" s="113" t="inlineStr">
        <is>
          <t>경북</t>
        </is>
      </c>
      <c r="C388" s="122" t="inlineStr">
        <is>
          <t>이스트힐C.C</t>
        </is>
      </c>
      <c r="D388" s="104" t="inlineStr">
        <is>
          <t>대중제</t>
        </is>
      </c>
      <c r="E388" s="116" t="inlineStr">
        <is>
          <t>경주시 양남면 외남로 1377</t>
        </is>
      </c>
      <c r="F388" s="112" t="n">
        <v>18</v>
      </c>
      <c r="G388" s="112">
        <f>F388*4</f>
        <v/>
      </c>
      <c r="H388" s="117" t="n">
        <v>1363308</v>
      </c>
      <c r="I388" s="118" t="inlineStr">
        <is>
          <t>㈜청학씨앤디 성세연</t>
        </is>
      </c>
      <c r="J388" s="108" t="n"/>
      <c r="K388" s="108" t="n"/>
      <c r="L388" s="108" t="n"/>
      <c r="M388" s="108" t="n"/>
      <c r="N388" s="108" t="n"/>
      <c r="O388" s="108" t="n"/>
      <c r="P388" s="112" t="n"/>
      <c r="Q388" s="119" t="n"/>
      <c r="R388" s="108" t="n"/>
      <c r="S388" s="110" t="inlineStr">
        <is>
          <t>🔲 데이터수집예정</t>
        </is>
      </c>
      <c r="T388" s="126" t="n"/>
      <c r="W388" s="121" t="n"/>
    </row>
    <row r="389" ht="18" customHeight="1" s="97">
      <c r="A389" s="101" t="n">
        <v>387</v>
      </c>
      <c r="B389" s="102" t="inlineStr">
        <is>
          <t>경북</t>
        </is>
      </c>
      <c r="C389" s="123" t="inlineStr">
        <is>
          <t>이지스카이CC</t>
        </is>
      </c>
      <c r="D389" s="104" t="inlineStr">
        <is>
          <t>대중제</t>
        </is>
      </c>
      <c r="E389" s="105" t="inlineStr">
        <is>
          <t>군위군 군위읍 대흥1길 48-148</t>
        </is>
      </c>
      <c r="F389" s="101" t="n">
        <v>18</v>
      </c>
      <c r="G389" s="101">
        <f>F389*4</f>
        <v/>
      </c>
      <c r="H389" s="106" t="n">
        <v>891436</v>
      </c>
      <c r="I389" s="107" t="inlineStr">
        <is>
          <t>㈜이지컨트리클럽 박현철</t>
        </is>
      </c>
      <c r="J389" s="108" t="n"/>
      <c r="K389" s="108" t="n"/>
      <c r="L389" s="108" t="n"/>
      <c r="M389" s="108" t="n"/>
      <c r="N389" s="108" t="n"/>
      <c r="O389" s="108" t="n"/>
      <c r="P389" s="101" t="n"/>
      <c r="Q389" s="109" t="n"/>
      <c r="R389" s="108" t="n"/>
      <c r="S389" s="110" t="inlineStr">
        <is>
          <t>🔲 데이터수집예정</t>
        </is>
      </c>
      <c r="T389" s="136" t="n"/>
      <c r="W389" s="111" t="n"/>
    </row>
    <row r="390" ht="18" customHeight="1" s="97">
      <c r="A390" s="112" t="n">
        <v>388</v>
      </c>
      <c r="B390" s="113" t="inlineStr">
        <is>
          <t>경북</t>
        </is>
      </c>
      <c r="C390" s="122" t="inlineStr">
        <is>
          <t>인터불고컨트리클럽</t>
        </is>
      </c>
      <c r="D390" s="115" t="inlineStr">
        <is>
          <t>회원제</t>
        </is>
      </c>
      <c r="E390" s="116" t="inlineStr">
        <is>
          <t>경산시 삼성현로 614-26</t>
        </is>
      </c>
      <c r="F390" s="112" t="n">
        <v>27</v>
      </c>
      <c r="G390" s="112">
        <f>F390*4</f>
        <v/>
      </c>
      <c r="H390" s="117" t="n">
        <v>1695525</v>
      </c>
      <c r="I390" s="118" t="inlineStr">
        <is>
          <t>인터불고컨트리클럽㈜ 최만수</t>
        </is>
      </c>
      <c r="J390" s="108" t="n"/>
      <c r="K390" s="108" t="n"/>
      <c r="L390" s="108" t="n"/>
      <c r="M390" s="108" t="n"/>
      <c r="N390" s="108" t="n"/>
      <c r="O390" s="108" t="n"/>
      <c r="P390" s="112" t="n"/>
      <c r="Q390" s="119" t="n"/>
      <c r="R390" s="108" t="n"/>
      <c r="S390" s="110" t="inlineStr">
        <is>
          <t>🔲 데이터수집예정</t>
        </is>
      </c>
      <c r="T390" s="126" t="n"/>
      <c r="W390" s="121" t="n"/>
    </row>
    <row r="391" ht="18" customHeight="1" s="97">
      <c r="A391" s="101" t="n">
        <v>389</v>
      </c>
      <c r="B391" s="102" t="inlineStr">
        <is>
          <t>경북</t>
        </is>
      </c>
      <c r="C391" s="123" t="inlineStr">
        <is>
          <t>청통골프장</t>
        </is>
      </c>
      <c r="D391" s="104" t="inlineStr">
        <is>
          <t>대중제</t>
        </is>
      </c>
      <c r="E391" s="105" t="inlineStr">
        <is>
          <t>영천시 청통면 청통로 733</t>
        </is>
      </c>
      <c r="F391" s="101" t="n">
        <v>18</v>
      </c>
      <c r="G391" s="101">
        <f>F391*4</f>
        <v/>
      </c>
      <c r="H391" s="106" t="n">
        <v>724398</v>
      </c>
      <c r="I391" s="107" t="inlineStr">
        <is>
          <t>㈜골프존카운티영천 서상현㈜골프존카운티 서상현</t>
        </is>
      </c>
      <c r="J391" s="108" t="n"/>
      <c r="K391" s="108" t="n"/>
      <c r="L391" s="108" t="n"/>
      <c r="M391" s="108" t="n"/>
      <c r="N391" s="108" t="n"/>
      <c r="O391" s="108" t="n"/>
      <c r="P391" s="101" t="n"/>
      <c r="Q391" s="109" t="n"/>
      <c r="R391" s="108" t="n"/>
      <c r="S391" s="110" t="inlineStr">
        <is>
          <t>🔲 데이터수집예정</t>
        </is>
      </c>
      <c r="T391" s="136" t="n"/>
      <c r="W391" s="111" t="n"/>
    </row>
    <row r="392" ht="18" customHeight="1" s="97">
      <c r="A392" s="112" t="n">
        <v>390</v>
      </c>
      <c r="B392" s="113" t="inlineStr">
        <is>
          <t>경북</t>
        </is>
      </c>
      <c r="C392" s="122" t="inlineStr">
        <is>
          <t>청하이스턴C.C</t>
        </is>
      </c>
      <c r="D392" s="104" t="inlineStr">
        <is>
          <t>대중제</t>
        </is>
      </c>
      <c r="E392" s="116" t="inlineStr">
        <is>
          <t>포항시 청하면 용산길 94</t>
        </is>
      </c>
      <c r="F392" s="112" t="n">
        <v>9</v>
      </c>
      <c r="G392" s="112">
        <f>F392*4</f>
        <v/>
      </c>
      <c r="H392" s="117" t="n">
        <v>238597</v>
      </c>
      <c r="I392" s="118" t="inlineStr">
        <is>
          <t>㈜이스턴 이일선</t>
        </is>
      </c>
      <c r="J392" s="108" t="n"/>
      <c r="K392" s="108" t="n"/>
      <c r="L392" s="108" t="n"/>
      <c r="M392" s="108" t="n"/>
      <c r="N392" s="108" t="n"/>
      <c r="O392" s="108" t="n"/>
      <c r="P392" s="112" t="n"/>
      <c r="Q392" s="119" t="n"/>
      <c r="R392" s="108" t="n"/>
      <c r="S392" s="110" t="inlineStr">
        <is>
          <t>🔲 데이터수집예정</t>
        </is>
      </c>
      <c r="T392" s="126" t="inlineStr">
        <is>
          <t>https://easterncc.co.kr/</t>
        </is>
      </c>
      <c r="U392" s="96" t="n">
        <v>2006</v>
      </c>
      <c r="V392" s="96" t="inlineStr">
        <is>
          <t>054-275-8000</t>
        </is>
      </c>
      <c r="W392" s="121" t="n"/>
    </row>
    <row r="393" ht="18" customHeight="1" s="97">
      <c r="A393" s="101" t="n">
        <v>391</v>
      </c>
      <c r="B393" s="102" t="inlineStr">
        <is>
          <t>경북</t>
        </is>
      </c>
      <c r="C393" s="123" t="inlineStr">
        <is>
          <t>칠곡아이위시C.C</t>
        </is>
      </c>
      <c r="D393" s="104" t="inlineStr">
        <is>
          <t>대중제</t>
        </is>
      </c>
      <c r="E393" s="105" t="inlineStr">
        <is>
          <t>칠곡군 기산면 노석1길 49-112</t>
        </is>
      </c>
      <c r="F393" s="101" t="n">
        <v>9</v>
      </c>
      <c r="G393" s="101">
        <f>F393*4</f>
        <v/>
      </c>
      <c r="H393" s="106" t="n">
        <v>375039</v>
      </c>
      <c r="I393" s="107" t="inlineStr">
        <is>
          <t>㈜동화레져 문종혁</t>
        </is>
      </c>
      <c r="J393" s="108" t="n"/>
      <c r="K393" s="108" t="n"/>
      <c r="L393" s="108" t="n"/>
      <c r="M393" s="108" t="n"/>
      <c r="N393" s="108" t="n"/>
      <c r="O393" s="108" t="n"/>
      <c r="P393" s="101" t="n"/>
      <c r="Q393" s="109" t="n"/>
      <c r="R393" s="108" t="n"/>
      <c r="S393" s="110" t="inlineStr">
        <is>
          <t>🔲 데이터수집예정</t>
        </is>
      </c>
      <c r="T393" s="136" t="n"/>
      <c r="W393" s="111" t="n"/>
    </row>
    <row r="394" ht="18" customHeight="1" s="97">
      <c r="A394" s="112" t="n">
        <v>392</v>
      </c>
      <c r="B394" s="113" t="inlineStr">
        <is>
          <t>경북</t>
        </is>
      </c>
      <c r="C394" s="122" t="inlineStr">
        <is>
          <t>파라지오C.C</t>
        </is>
      </c>
      <c r="D394" s="104" t="inlineStr">
        <is>
          <t>대중제</t>
        </is>
      </c>
      <c r="E394" s="116" t="inlineStr">
        <is>
          <t>의성군 봉양면 신평리 산50</t>
        </is>
      </c>
      <c r="F394" s="112" t="n">
        <v>18</v>
      </c>
      <c r="G394" s="112">
        <f>F394*4</f>
        <v/>
      </c>
      <c r="H394" s="117" t="n">
        <v>972560</v>
      </c>
      <c r="I394" s="118" t="inlineStr">
        <is>
          <t>㈜파라지오 최정헌, 정영권</t>
        </is>
      </c>
      <c r="J394" s="108" t="n"/>
      <c r="K394" s="108" t="n"/>
      <c r="L394" s="108" t="n"/>
      <c r="M394" s="108" t="n"/>
      <c r="N394" s="108" t="n"/>
      <c r="O394" s="108" t="n"/>
      <c r="P394" s="112" t="n"/>
      <c r="Q394" s="119" t="n"/>
      <c r="R394" s="108" t="n"/>
      <c r="S394" s="110" t="inlineStr">
        <is>
          <t>🔲 데이터수집예정</t>
        </is>
      </c>
      <c r="T394" s="126" t="n"/>
      <c r="W394" s="121" t="n"/>
    </row>
    <row r="395" ht="18" customHeight="1" s="97">
      <c r="A395" s="101" t="n">
        <v>393</v>
      </c>
      <c r="B395" s="102" t="inlineStr">
        <is>
          <t>경북</t>
        </is>
      </c>
      <c r="C395" s="123" t="inlineStr">
        <is>
          <t>파미힐스C.C</t>
        </is>
      </c>
      <c r="D395" s="115" t="inlineStr">
        <is>
          <t>회원제</t>
        </is>
      </c>
      <c r="E395" s="105" t="inlineStr">
        <is>
          <t>칠곡군 왜관읍 봉계로 263</t>
        </is>
      </c>
      <c r="F395" s="101" t="n">
        <v>36</v>
      </c>
      <c r="G395" s="101">
        <f>F395*4</f>
        <v/>
      </c>
      <c r="H395" s="106" t="n">
        <v>2094223</v>
      </c>
      <c r="I395" s="107" t="inlineStr">
        <is>
          <t>㈜한길 최성혁, 김종, 황만옥</t>
        </is>
      </c>
      <c r="J395" s="108" t="n"/>
      <c r="K395" s="108" t="n"/>
      <c r="L395" s="108" t="n"/>
      <c r="M395" s="108" t="n"/>
      <c r="N395" s="108" t="n"/>
      <c r="O395" s="108" t="n"/>
      <c r="P395" s="101" t="n"/>
      <c r="Q395" s="109" t="n"/>
      <c r="R395" s="108" t="n"/>
      <c r="S395" s="110" t="inlineStr">
        <is>
          <t>🔲 데이터수집예정</t>
        </is>
      </c>
      <c r="T395" s="136" t="n"/>
      <c r="W395" s="111" t="n"/>
    </row>
    <row r="396" ht="18" customHeight="1" s="97">
      <c r="A396" s="112" t="n">
        <v>394</v>
      </c>
      <c r="B396" s="113" t="inlineStr">
        <is>
          <t>경북</t>
        </is>
      </c>
      <c r="C396" s="122" t="inlineStr">
        <is>
          <t>펜타뷰골프클럽</t>
        </is>
      </c>
      <c r="D396" s="104" t="inlineStr">
        <is>
          <t>대중제</t>
        </is>
      </c>
      <c r="E396" s="116" t="inlineStr">
        <is>
          <t>청도군 금천면 금천로 709</t>
        </is>
      </c>
      <c r="F396" s="112" t="n">
        <v>9</v>
      </c>
      <c r="G396" s="112">
        <f>F396*4</f>
        <v/>
      </c>
      <c r="H396" s="117" t="n">
        <v>249315</v>
      </c>
      <c r="I396" s="118" t="inlineStr">
        <is>
          <t>아리유㈜ 이건순</t>
        </is>
      </c>
      <c r="J396" s="108" t="n"/>
      <c r="K396" s="108" t="n"/>
      <c r="L396" s="108" t="n"/>
      <c r="M396" s="108" t="n"/>
      <c r="N396" s="108" t="n"/>
      <c r="O396" s="108" t="n"/>
      <c r="P396" s="112" t="n"/>
      <c r="Q396" s="119" t="n"/>
      <c r="R396" s="108" t="n"/>
      <c r="S396" s="110" t="inlineStr">
        <is>
          <t>🔲 데이터수집예정</t>
        </is>
      </c>
      <c r="T396" s="126" t="n"/>
      <c r="W396" s="121" t="n"/>
    </row>
    <row r="397" ht="18" customHeight="1" s="97">
      <c r="A397" s="101" t="n">
        <v>395</v>
      </c>
      <c r="B397" s="102" t="inlineStr">
        <is>
          <t>경북</t>
        </is>
      </c>
      <c r="C397" s="123" t="inlineStr">
        <is>
          <t>포도C.C</t>
        </is>
      </c>
      <c r="D397" s="104" t="inlineStr">
        <is>
          <t>대중제</t>
        </is>
      </c>
      <c r="E397" s="105" t="inlineStr">
        <is>
          <t>김천시 구성면 남김천대로 2532</t>
        </is>
      </c>
      <c r="F397" s="101" t="n">
        <v>27</v>
      </c>
      <c r="G397" s="101">
        <f>F397*4</f>
        <v/>
      </c>
      <c r="H397" s="106" t="n">
        <v>774060</v>
      </c>
      <c r="I397" s="107" t="inlineStr">
        <is>
          <t>㈜다옴 이세홍</t>
        </is>
      </c>
      <c r="J397" s="108" t="n"/>
      <c r="K397" s="108" t="n"/>
      <c r="L397" s="108" t="n"/>
      <c r="M397" s="108" t="n"/>
      <c r="N397" s="108" t="n"/>
      <c r="O397" s="108" t="n"/>
      <c r="P397" s="101" t="n"/>
      <c r="Q397" s="109" t="n"/>
      <c r="R397" s="108" t="n"/>
      <c r="S397" s="110" t="inlineStr">
        <is>
          <t>🔲 데이터수집예정</t>
        </is>
      </c>
      <c r="T397" s="136" t="n"/>
      <c r="W397" s="111" t="n"/>
    </row>
    <row r="398" ht="18" customHeight="1" s="97">
      <c r="A398" s="112" t="n">
        <v>396</v>
      </c>
      <c r="B398" s="113" t="inlineStr">
        <is>
          <t>경북</t>
        </is>
      </c>
      <c r="C398" s="122" t="inlineStr">
        <is>
          <t>포항C.C</t>
        </is>
      </c>
      <c r="D398" s="104" t="inlineStr">
        <is>
          <t>대중제</t>
        </is>
      </c>
      <c r="E398" s="116" t="inlineStr">
        <is>
          <t>포항시 송라면 동해대로 2751번길 123</t>
        </is>
      </c>
      <c r="F398" s="112" t="n">
        <v>18</v>
      </c>
      <c r="G398" s="112">
        <f>F398*4</f>
        <v/>
      </c>
      <c r="H398" s="117" t="n">
        <v>986443</v>
      </c>
      <c r="I398" s="118" t="inlineStr">
        <is>
          <t>㈜홍익레저산업 이대형</t>
        </is>
      </c>
      <c r="J398" s="108" t="n"/>
      <c r="K398" s="108" t="n"/>
      <c r="L398" s="108" t="n"/>
      <c r="M398" s="108" t="n"/>
      <c r="N398" s="108" t="n"/>
      <c r="O398" s="108" t="n"/>
      <c r="P398" s="112" t="n"/>
      <c r="Q398" s="119" t="n"/>
      <c r="R398" s="108" t="n"/>
      <c r="S398" s="110" t="inlineStr">
        <is>
          <t>🔲 데이터수집예정</t>
        </is>
      </c>
      <c r="T398" s="126" t="n"/>
      <c r="W398" s="121" t="n"/>
    </row>
    <row r="399" ht="18" customHeight="1" s="97">
      <c r="A399" s="101" t="n">
        <v>397</v>
      </c>
      <c r="B399" s="102" t="inlineStr">
        <is>
          <t>경북</t>
        </is>
      </c>
      <c r="C399" s="123" t="inlineStr">
        <is>
          <t>한맥C.C&amp;노블리아</t>
        </is>
      </c>
      <c r="D399" s="104" t="inlineStr">
        <is>
          <t>대중제</t>
        </is>
      </c>
      <c r="E399" s="105" t="inlineStr">
        <is>
          <t>예천군 호명면 한맥 골프장길 72</t>
        </is>
      </c>
      <c r="F399" s="101" t="n">
        <v>18</v>
      </c>
      <c r="G399" s="101">
        <f>F399*4</f>
        <v/>
      </c>
      <c r="H399" s="106" t="n">
        <v>1000226</v>
      </c>
      <c r="I399" s="107" t="inlineStr">
        <is>
          <t>한맥개발㈜ 임기주</t>
        </is>
      </c>
      <c r="J399" s="108" t="n"/>
      <c r="K399" s="108" t="n"/>
      <c r="L399" s="108" t="n"/>
      <c r="M399" s="108" t="n"/>
      <c r="N399" s="108" t="n"/>
      <c r="O399" s="108" t="n"/>
      <c r="P399" s="101" t="n"/>
      <c r="Q399" s="109" t="n"/>
      <c r="R399" s="108" t="n"/>
      <c r="S399" s="110" t="inlineStr">
        <is>
          <t>🔲 데이터수집예정</t>
        </is>
      </c>
      <c r="T399" s="136" t="n"/>
      <c r="W399" s="111" t="n"/>
    </row>
    <row r="400" ht="18" customHeight="1" s="97">
      <c r="A400" s="141" t="n">
        <v>398</v>
      </c>
      <c r="B400" s="142" t="inlineStr">
        <is>
          <t>경남</t>
        </is>
      </c>
      <c r="C400" s="143" t="inlineStr">
        <is>
          <t>가야컨트리클럽</t>
        </is>
      </c>
      <c r="D400" s="161" t="inlineStr">
        <is>
          <t>회원제</t>
        </is>
      </c>
      <c r="E400" s="145" t="inlineStr">
        <is>
          <t>김해시 인제로 495</t>
        </is>
      </c>
      <c r="F400" s="141" t="n">
        <v>45</v>
      </c>
      <c r="G400" s="141">
        <f>F400*4</f>
        <v/>
      </c>
      <c r="H400" s="146" t="n">
        <v>2822471</v>
      </c>
      <c r="I400" s="147" t="inlineStr">
        <is>
          <t>가야개발㈜김영섭</t>
        </is>
      </c>
      <c r="J400" s="167" t="n">
        <v>3</v>
      </c>
      <c r="K400" s="167" t="n">
        <v>3.1</v>
      </c>
      <c r="L400" s="168" t="n">
        <v>3.8</v>
      </c>
      <c r="M400" s="167" t="n">
        <v>3.2</v>
      </c>
      <c r="N400" s="168" t="n">
        <v>3.5</v>
      </c>
      <c r="O400" s="169">
        <f>ROUND(AVERAGE(J400:N400),2)</f>
        <v/>
      </c>
      <c r="P400" s="141" t="n">
        <v>116</v>
      </c>
      <c r="Q400" s="149" t="n">
        <v>69.8</v>
      </c>
      <c r="R400" s="170" t="inlineStr">
        <is>
          <t>중급</t>
        </is>
      </c>
      <c r="S400" s="171" t="inlineStr">
        <is>
          <t>✅ 서비스중</t>
        </is>
      </c>
      <c r="T400" s="172" t="inlineStr">
        <is>
          <t>https://www.gayacc.com</t>
        </is>
      </c>
      <c r="U400" s="96" t="n">
        <v>1971</v>
      </c>
      <c r="V400" s="96" t="inlineStr">
        <is>
          <t>055-337-8000</t>
        </is>
      </c>
      <c r="W400" s="173" t="n"/>
    </row>
    <row r="401" ht="18" customHeight="1" s="97">
      <c r="A401" s="101" t="n">
        <v>399</v>
      </c>
      <c r="B401" s="102" t="inlineStr">
        <is>
          <t>경남</t>
        </is>
      </c>
      <c r="C401" s="123" t="inlineStr">
        <is>
          <t>거제드비치골프클럽</t>
        </is>
      </c>
      <c r="D401" s="115" t="inlineStr">
        <is>
          <t>회원제</t>
        </is>
      </c>
      <c r="E401" s="105" t="inlineStr">
        <is>
          <t>거제시 장목면 거제북로 1573</t>
        </is>
      </c>
      <c r="F401" s="101" t="n">
        <v>18</v>
      </c>
      <c r="G401" s="101">
        <f>F401*4</f>
        <v/>
      </c>
      <c r="H401" s="106" t="n">
        <v>936155</v>
      </c>
      <c r="I401" s="107" t="inlineStr">
        <is>
          <t>드비치골프클럽㈜최병호</t>
        </is>
      </c>
      <c r="J401" s="108" t="n"/>
      <c r="K401" s="108" t="n"/>
      <c r="L401" s="108" t="n"/>
      <c r="M401" s="108" t="n"/>
      <c r="N401" s="108" t="n"/>
      <c r="O401" s="108" t="n"/>
      <c r="P401" s="101" t="n"/>
      <c r="Q401" s="109" t="n"/>
      <c r="R401" s="108" t="n"/>
      <c r="S401" s="110" t="inlineStr">
        <is>
          <t>🔲 데이터수집예정</t>
        </is>
      </c>
      <c r="T401" s="136" t="inlineStr">
        <is>
          <t>https://www.debeach.co.kr/</t>
        </is>
      </c>
      <c r="U401" s="96" t="n">
        <v>2009</v>
      </c>
      <c r="V401" s="96" t="inlineStr">
        <is>
          <t>055-733-7000</t>
        </is>
      </c>
      <c r="W401" s="125" t="n"/>
    </row>
    <row r="402" ht="18" customHeight="1" s="97">
      <c r="A402" s="112" t="n">
        <v>400</v>
      </c>
      <c r="B402" s="113" t="inlineStr">
        <is>
          <t>경남</t>
        </is>
      </c>
      <c r="C402" s="122" t="inlineStr">
        <is>
          <t>거제뷰컨트리클럽</t>
        </is>
      </c>
      <c r="D402" s="104" t="inlineStr">
        <is>
          <t>대중제</t>
        </is>
      </c>
      <c r="E402" s="116" t="inlineStr">
        <is>
          <t>거제시 거제면 옥산리 285-3</t>
        </is>
      </c>
      <c r="F402" s="112" t="n">
        <v>18</v>
      </c>
      <c r="G402" s="112">
        <f>F402*4</f>
        <v/>
      </c>
      <c r="H402" s="117" t="n">
        <v>800568</v>
      </c>
      <c r="I402" s="118" t="inlineStr">
        <is>
          <t>㈜다원종합건설이철수</t>
        </is>
      </c>
      <c r="J402" s="108" t="n"/>
      <c r="K402" s="108" t="n"/>
      <c r="L402" s="108" t="n"/>
      <c r="M402" s="108" t="n"/>
      <c r="N402" s="108" t="n"/>
      <c r="O402" s="108" t="n"/>
      <c r="P402" s="112" t="n"/>
      <c r="Q402" s="119" t="n"/>
      <c r="R402" s="108" t="n"/>
      <c r="S402" s="110" t="inlineStr">
        <is>
          <t>🔲 데이터수집예정</t>
        </is>
      </c>
      <c r="T402" s="126" t="n"/>
      <c r="W402" s="121" t="n"/>
    </row>
    <row r="403" ht="18" customHeight="1" s="97">
      <c r="A403" s="101" t="n">
        <v>401</v>
      </c>
      <c r="B403" s="102" t="inlineStr">
        <is>
          <t>경남</t>
        </is>
      </c>
      <c r="C403" s="123" t="inlineStr">
        <is>
          <t>거창친환경대중골프장</t>
        </is>
      </c>
      <c r="D403" s="104" t="inlineStr">
        <is>
          <t>대중제</t>
        </is>
      </c>
      <c r="E403" s="105" t="inlineStr">
        <is>
          <t>거창군 가조면 우륵길 410-284</t>
        </is>
      </c>
      <c r="F403" s="101" t="n">
        <v>9</v>
      </c>
      <c r="G403" s="101">
        <f>F403*4</f>
        <v/>
      </c>
      <c r="H403" s="106" t="n">
        <v>571765</v>
      </c>
      <c r="I403" s="107" t="inlineStr">
        <is>
          <t>국민체육진흥공단거창군수</t>
        </is>
      </c>
      <c r="J403" s="108" t="n"/>
      <c r="K403" s="108" t="n"/>
      <c r="L403" s="108" t="n"/>
      <c r="M403" s="108" t="n"/>
      <c r="N403" s="108" t="n"/>
      <c r="O403" s="108" t="n"/>
      <c r="P403" s="101" t="n"/>
      <c r="Q403" s="109" t="n"/>
      <c r="R403" s="108" t="n"/>
      <c r="S403" s="110" t="inlineStr">
        <is>
          <t>🔲 데이터수집예정</t>
        </is>
      </c>
      <c r="T403" s="136" t="n"/>
      <c r="W403" s="111" t="n"/>
    </row>
    <row r="404" ht="18" customHeight="1" s="97">
      <c r="A404" s="112" t="n">
        <v>402</v>
      </c>
      <c r="B404" s="113" t="inlineStr">
        <is>
          <t>경남</t>
        </is>
      </c>
      <c r="C404" s="122" t="inlineStr">
        <is>
          <t>경남스카이뷰CC</t>
        </is>
      </c>
      <c r="D404" s="104" t="inlineStr">
        <is>
          <t>대중제</t>
        </is>
      </c>
      <c r="E404" s="116" t="inlineStr">
        <is>
          <t>함양군 서상면 소로길 207</t>
        </is>
      </c>
      <c r="F404" s="112" t="n">
        <v>18</v>
      </c>
      <c r="G404" s="112">
        <f>F404*4</f>
        <v/>
      </c>
      <c r="H404" s="117" t="n">
        <v>1032347</v>
      </c>
      <c r="I404" s="126" t="inlineStr">
        <is>
          <t>(주)경남관광호텔김점판,김애경</t>
        </is>
      </c>
      <c r="J404" s="108" t="n"/>
      <c r="K404" s="108" t="n"/>
      <c r="L404" s="108" t="n"/>
      <c r="M404" s="108" t="n"/>
      <c r="N404" s="108" t="n"/>
      <c r="O404" s="108" t="n"/>
      <c r="P404" s="112" t="n"/>
      <c r="Q404" s="119" t="n"/>
      <c r="R404" s="108" t="n"/>
      <c r="S404" s="110" t="inlineStr">
        <is>
          <t>🔲 데이터수집예정</t>
        </is>
      </c>
      <c r="T404" s="126" t="n"/>
      <c r="W404" s="121" t="n"/>
    </row>
    <row r="405" ht="18" customHeight="1" s="97">
      <c r="A405" s="101" t="n">
        <v>403</v>
      </c>
      <c r="B405" s="102" t="inlineStr">
        <is>
          <t>경남</t>
        </is>
      </c>
      <c r="C405" s="123" t="inlineStr">
        <is>
          <t>고성노벨컨트리클럽</t>
        </is>
      </c>
      <c r="D405" s="115" t="inlineStr">
        <is>
          <t>회원제</t>
        </is>
      </c>
      <c r="E405" s="105" t="inlineStr">
        <is>
          <t>고성군 회화면 회진로 567</t>
        </is>
      </c>
      <c r="F405" s="101" t="n">
        <v>27</v>
      </c>
      <c r="G405" s="101">
        <f>F405*4</f>
        <v/>
      </c>
      <c r="H405" s="106" t="n">
        <v>1303897</v>
      </c>
      <c r="I405" s="107" t="inlineStr">
        <is>
          <t>고성관광개발㈜최경훈</t>
        </is>
      </c>
      <c r="J405" s="108" t="n"/>
      <c r="K405" s="108" t="n"/>
      <c r="L405" s="108" t="n"/>
      <c r="M405" s="108" t="n"/>
      <c r="N405" s="108" t="n"/>
      <c r="O405" s="108" t="n"/>
      <c r="P405" s="101" t="n"/>
      <c r="Q405" s="109" t="n"/>
      <c r="R405" s="108" t="n"/>
      <c r="S405" s="110" t="inlineStr">
        <is>
          <t>🔲 데이터수집예정</t>
        </is>
      </c>
      <c r="T405" s="136" t="n"/>
      <c r="W405" s="111" t="n"/>
    </row>
    <row r="406" ht="18" customHeight="1" s="97">
      <c r="A406" s="112" t="n">
        <v>404</v>
      </c>
      <c r="B406" s="113" t="inlineStr">
        <is>
          <t>경남</t>
        </is>
      </c>
      <c r="C406" s="122" t="inlineStr">
        <is>
          <t>고성컨트리클럽</t>
        </is>
      </c>
      <c r="D406" s="104" t="inlineStr">
        <is>
          <t>대중제</t>
        </is>
      </c>
      <c r="E406" s="116" t="inlineStr">
        <is>
          <t>고성군 고성읍 월평3길 250</t>
        </is>
      </c>
      <c r="F406" s="112" t="n">
        <v>9</v>
      </c>
      <c r="G406" s="112">
        <f>F406*4</f>
        <v/>
      </c>
      <c r="H406" s="117" t="n">
        <v>253743</v>
      </c>
      <c r="I406" s="118" t="inlineStr">
        <is>
          <t>㈜ 쌍 마정창균</t>
        </is>
      </c>
      <c r="J406" s="108" t="n"/>
      <c r="K406" s="108" t="n"/>
      <c r="L406" s="108" t="n"/>
      <c r="M406" s="108" t="n"/>
      <c r="N406" s="108" t="n"/>
      <c r="O406" s="108" t="n"/>
      <c r="P406" s="112" t="n"/>
      <c r="Q406" s="119" t="n"/>
      <c r="R406" s="108" t="n"/>
      <c r="S406" s="110" t="inlineStr">
        <is>
          <t>🔲 데이터수집예정</t>
        </is>
      </c>
      <c r="T406" s="126" t="n"/>
      <c r="W406" s="121" t="n"/>
    </row>
    <row r="407" ht="18" customHeight="1" s="97">
      <c r="A407" s="101" t="n">
        <v>405</v>
      </c>
      <c r="B407" s="102" t="inlineStr">
        <is>
          <t>경남</t>
        </is>
      </c>
      <c r="C407" s="123" t="inlineStr">
        <is>
          <t>골프존카운티 경남</t>
        </is>
      </c>
      <c r="D407" s="104" t="inlineStr">
        <is>
          <t>대중제</t>
        </is>
      </c>
      <c r="E407" s="105" t="inlineStr">
        <is>
          <t>함안군 칠원면 운무로 470</t>
        </is>
      </c>
      <c r="F407" s="101" t="n">
        <v>18</v>
      </c>
      <c r="G407" s="101">
        <f>F407*4</f>
        <v/>
      </c>
      <c r="H407" s="106" t="n">
        <v>786500</v>
      </c>
      <c r="I407" s="107" t="inlineStr">
        <is>
          <t>㈜지씨경남서상현</t>
        </is>
      </c>
      <c r="J407" s="108" t="n"/>
      <c r="K407" s="108" t="n"/>
      <c r="L407" s="108" t="n"/>
      <c r="M407" s="108" t="n"/>
      <c r="N407" s="108" t="n"/>
      <c r="O407" s="108" t="n"/>
      <c r="P407" s="101" t="n"/>
      <c r="Q407" s="109" t="n"/>
      <c r="R407" s="108" t="n"/>
      <c r="S407" s="110" t="inlineStr">
        <is>
          <t>🔲 데이터수집예정</t>
        </is>
      </c>
      <c r="T407" s="136" t="n"/>
      <c r="W407" s="111" t="n"/>
    </row>
    <row r="408" ht="18" customHeight="1" s="97">
      <c r="A408" s="112" t="n">
        <v>406</v>
      </c>
      <c r="B408" s="113" t="inlineStr">
        <is>
          <t>경남</t>
        </is>
      </c>
      <c r="C408" s="122" t="inlineStr">
        <is>
          <t>골프존카운티 사천</t>
        </is>
      </c>
      <c r="D408" s="104" t="inlineStr">
        <is>
          <t>대중제</t>
        </is>
      </c>
      <c r="E408" s="116" t="inlineStr">
        <is>
          <t>사천시 서포면 구송로 151</t>
        </is>
      </c>
      <c r="F408" s="112" t="n">
        <v>27</v>
      </c>
      <c r="G408" s="112">
        <f>F408*4</f>
        <v/>
      </c>
      <c r="H408" s="117" t="n">
        <v>1510534</v>
      </c>
      <c r="I408" s="118" t="inlineStr">
        <is>
          <t>㈜한올강성일</t>
        </is>
      </c>
      <c r="J408" s="108" t="n"/>
      <c r="K408" s="108" t="n"/>
      <c r="L408" s="108" t="n"/>
      <c r="M408" s="108" t="n"/>
      <c r="N408" s="108" t="n"/>
      <c r="O408" s="108" t="n"/>
      <c r="P408" s="112" t="n"/>
      <c r="Q408" s="119" t="n"/>
      <c r="R408" s="108" t="n"/>
      <c r="S408" s="110" t="inlineStr">
        <is>
          <t>🔲 데이터수집예정</t>
        </is>
      </c>
      <c r="T408" s="126" t="n"/>
      <c r="W408" s="121" t="n"/>
    </row>
    <row r="409" ht="18" customHeight="1" s="97">
      <c r="A409" s="101" t="n">
        <v>407</v>
      </c>
      <c r="B409" s="102" t="inlineStr">
        <is>
          <t>경남</t>
        </is>
      </c>
      <c r="C409" s="123" t="inlineStr">
        <is>
          <t>김해상록컨트리클럽</t>
        </is>
      </c>
      <c r="D409" s="104" t="inlineStr">
        <is>
          <t>대중제</t>
        </is>
      </c>
      <c r="E409" s="105" t="inlineStr">
        <is>
          <t>김해시 한림면 김해대로 974번길 198</t>
        </is>
      </c>
      <c r="F409" s="101" t="n">
        <v>18</v>
      </c>
      <c r="G409" s="101">
        <f>F409*4</f>
        <v/>
      </c>
      <c r="H409" s="106" t="n">
        <v>963482</v>
      </c>
      <c r="I409" s="107" t="inlineStr">
        <is>
          <t>공무원연금공단김해상록골프장 박노종</t>
        </is>
      </c>
      <c r="J409" s="108" t="n"/>
      <c r="K409" s="108" t="n"/>
      <c r="L409" s="108" t="n"/>
      <c r="M409" s="108" t="n"/>
      <c r="N409" s="108" t="n"/>
      <c r="O409" s="108" t="n"/>
      <c r="P409" s="101" t="n"/>
      <c r="Q409" s="109" t="n"/>
      <c r="R409" s="108" t="n"/>
      <c r="S409" s="110" t="inlineStr">
        <is>
          <t>🔲 데이터수집예정</t>
        </is>
      </c>
      <c r="T409" s="136" t="n"/>
      <c r="W409" s="111" t="n"/>
    </row>
    <row r="410" ht="18" customHeight="1" s="97">
      <c r="A410" s="112" t="n">
        <v>408</v>
      </c>
      <c r="B410" s="113" t="inlineStr">
        <is>
          <t>경남</t>
        </is>
      </c>
      <c r="C410" s="122" t="inlineStr">
        <is>
          <t>김해정산컨트리클럽</t>
        </is>
      </c>
      <c r="D410" s="115" t="inlineStr">
        <is>
          <t>회원제</t>
        </is>
      </c>
      <c r="E410" s="116" t="inlineStr">
        <is>
          <t>김해시 주촌면 서부로 1637번길 299-194</t>
        </is>
      </c>
      <c r="F410" s="112" t="n">
        <v>27</v>
      </c>
      <c r="G410" s="112">
        <f>F410*4</f>
        <v/>
      </c>
      <c r="H410" s="117" t="n">
        <v>1563744</v>
      </c>
      <c r="I410" s="118" t="inlineStr">
        <is>
          <t>정산개발㈜이순영</t>
        </is>
      </c>
      <c r="J410" s="108" t="n"/>
      <c r="K410" s="108" t="n"/>
      <c r="L410" s="108" t="n"/>
      <c r="M410" s="108" t="n"/>
      <c r="N410" s="108" t="n"/>
      <c r="O410" s="108" t="n"/>
      <c r="P410" s="112" t="n"/>
      <c r="Q410" s="119" t="n"/>
      <c r="R410" s="108" t="n"/>
      <c r="S410" s="110" t="inlineStr">
        <is>
          <t>🔲 데이터수집예정</t>
        </is>
      </c>
      <c r="T410" s="126" t="n"/>
      <c r="W410" s="121" t="n"/>
    </row>
    <row r="411" ht="18" customHeight="1" s="97">
      <c r="A411" s="101" t="n">
        <v>409</v>
      </c>
      <c r="B411" s="102" t="inlineStr">
        <is>
          <t>경남</t>
        </is>
      </c>
      <c r="C411" s="123" t="inlineStr">
        <is>
          <t>다이아몬드컨트리클럽</t>
        </is>
      </c>
      <c r="D411" s="104" t="inlineStr">
        <is>
          <t>대중제</t>
        </is>
      </c>
      <c r="E411" s="105" t="inlineStr">
        <is>
          <t>양산시 상북면 공원로 305-391</t>
        </is>
      </c>
      <c r="F411" s="101" t="n">
        <v>18</v>
      </c>
      <c r="G411" s="101">
        <f>F411*4</f>
        <v/>
      </c>
      <c r="H411" s="106" t="n">
        <v>1291000</v>
      </c>
      <c r="I411" s="107" t="inlineStr">
        <is>
          <t>다이아몬드컨트리클럽㈜  문 호</t>
        </is>
      </c>
      <c r="J411" s="108" t="n"/>
      <c r="K411" s="108" t="n"/>
      <c r="L411" s="108" t="n"/>
      <c r="M411" s="108" t="n"/>
      <c r="N411" s="108" t="n"/>
      <c r="O411" s="108" t="n"/>
      <c r="P411" s="101" t="n"/>
      <c r="Q411" s="109" t="n"/>
      <c r="R411" s="108" t="n"/>
      <c r="S411" s="110" t="inlineStr">
        <is>
          <t>🔲 데이터수집예정</t>
        </is>
      </c>
      <c r="T411" s="136" t="n"/>
      <c r="W411" s="111" t="n"/>
    </row>
    <row r="412" ht="18" customHeight="1" s="97">
      <c r="A412" s="112" t="n">
        <v>410</v>
      </c>
      <c r="B412" s="113" t="inlineStr">
        <is>
          <t>경남</t>
        </is>
      </c>
      <c r="C412" s="122" t="inlineStr">
        <is>
          <t>동부산컨트리클럽</t>
        </is>
      </c>
      <c r="D412" s="115" t="inlineStr">
        <is>
          <t>회원제</t>
        </is>
      </c>
      <c r="E412" s="116" t="inlineStr">
        <is>
          <t>양산시 매곡외산로 282</t>
        </is>
      </c>
      <c r="F412" s="112" t="n">
        <v>27</v>
      </c>
      <c r="G412" s="112">
        <f>F412*4</f>
        <v/>
      </c>
      <c r="H412" s="117" t="n">
        <v>1448364</v>
      </c>
      <c r="I412" s="118" t="inlineStr">
        <is>
          <t>㈜동부산컨트리클럽최성필</t>
        </is>
      </c>
      <c r="J412" s="108" t="n"/>
      <c r="K412" s="108" t="n"/>
      <c r="L412" s="108" t="n"/>
      <c r="M412" s="108" t="n"/>
      <c r="N412" s="108" t="n"/>
      <c r="O412" s="108" t="n"/>
      <c r="P412" s="112" t="n"/>
      <c r="Q412" s="119" t="n"/>
      <c r="R412" s="108" t="n"/>
      <c r="S412" s="110" t="inlineStr">
        <is>
          <t>🔲 데이터수집예정</t>
        </is>
      </c>
      <c r="T412" s="126" t="n"/>
      <c r="W412" s="121" t="n"/>
    </row>
    <row r="413" ht="18" customHeight="1" s="97">
      <c r="A413" s="101" t="n">
        <v>411</v>
      </c>
      <c r="B413" s="102" t="inlineStr">
        <is>
          <t>경남</t>
        </is>
      </c>
      <c r="C413" s="123" t="inlineStr">
        <is>
          <t>롯데스카이힐김해컨트리클럽</t>
        </is>
      </c>
      <c r="D413" s="115" t="inlineStr">
        <is>
          <t>회원제</t>
        </is>
      </c>
      <c r="E413" s="105" t="inlineStr">
        <is>
          <t>김해시 진례면 고모로 134번길 54-49</t>
        </is>
      </c>
      <c r="F413" s="101" t="n">
        <v>18</v>
      </c>
      <c r="G413" s="101">
        <f>F413*4</f>
        <v/>
      </c>
      <c r="H413" s="106" t="n">
        <v>1030540</v>
      </c>
      <c r="I413" s="107" t="inlineStr">
        <is>
          <t>㈜롯데산업</t>
        </is>
      </c>
      <c r="J413" s="108" t="n"/>
      <c r="K413" s="108" t="n"/>
      <c r="L413" s="108" t="n"/>
      <c r="M413" s="108" t="n"/>
      <c r="N413" s="108" t="n"/>
      <c r="O413" s="108" t="n"/>
      <c r="P413" s="101" t="n"/>
      <c r="Q413" s="109" t="n"/>
      <c r="R413" s="108" t="n"/>
      <c r="S413" s="110" t="inlineStr">
        <is>
          <t>🔲 데이터수집예정</t>
        </is>
      </c>
      <c r="T413" s="136" t="n"/>
      <c r="W413" s="111" t="n"/>
    </row>
    <row r="414" ht="18" customHeight="1" s="97">
      <c r="A414" s="112" t="n">
        <v>412</v>
      </c>
      <c r="B414" s="113" t="inlineStr">
        <is>
          <t>경남</t>
        </is>
      </c>
      <c r="C414" s="122" t="inlineStr">
        <is>
          <t>리더스컨트리클럽</t>
        </is>
      </c>
      <c r="D414" s="104" t="inlineStr">
        <is>
          <t>대중제</t>
        </is>
      </c>
      <c r="E414" s="116" t="inlineStr">
        <is>
          <t>밀양시 활성로 455</t>
        </is>
      </c>
      <c r="F414" s="112" t="n">
        <v>27</v>
      </c>
      <c r="G414" s="112">
        <f>F414*4</f>
        <v/>
      </c>
      <c r="H414" s="117" t="n">
        <v>1405663</v>
      </c>
      <c r="I414" s="118" t="inlineStr">
        <is>
          <t>㈜리더스컨트리클럽이삼영</t>
        </is>
      </c>
      <c r="J414" s="108" t="n"/>
      <c r="K414" s="108" t="n"/>
      <c r="L414" s="108" t="n"/>
      <c r="M414" s="108" t="n"/>
      <c r="N414" s="108" t="n"/>
      <c r="O414" s="108" t="n"/>
      <c r="P414" s="112" t="n"/>
      <c r="Q414" s="119" t="n"/>
      <c r="R414" s="108" t="n"/>
      <c r="S414" s="110" t="inlineStr">
        <is>
          <t>🔲 데이터수집예정</t>
        </is>
      </c>
      <c r="T414" s="126" t="n"/>
      <c r="W414" s="121" t="n"/>
    </row>
    <row r="415" ht="18" customHeight="1" s="97">
      <c r="A415" s="101" t="n">
        <v>413</v>
      </c>
      <c r="B415" s="102" t="inlineStr">
        <is>
          <t>경남</t>
        </is>
      </c>
      <c r="C415" s="123" t="inlineStr">
        <is>
          <t>밀양노벨컨트리클럽</t>
        </is>
      </c>
      <c r="D415" s="104" t="inlineStr">
        <is>
          <t>대중제</t>
        </is>
      </c>
      <c r="E415" s="105" t="inlineStr">
        <is>
          <t>밀양시 단장면 단장로 946</t>
        </is>
      </c>
      <c r="F415" s="101" t="n">
        <v>18</v>
      </c>
      <c r="G415" s="101">
        <f>F415*4</f>
        <v/>
      </c>
      <c r="H415" s="106" t="n">
        <v>986608</v>
      </c>
      <c r="I415" s="107" t="inlineStr">
        <is>
          <t>㈜밀양관광개발최이경</t>
        </is>
      </c>
      <c r="J415" s="108" t="n"/>
      <c r="K415" s="108" t="n"/>
      <c r="L415" s="108" t="n"/>
      <c r="M415" s="108" t="n"/>
      <c r="N415" s="108" t="n"/>
      <c r="O415" s="108" t="n"/>
      <c r="P415" s="101" t="n"/>
      <c r="Q415" s="109" t="n"/>
      <c r="R415" s="108" t="n"/>
      <c r="S415" s="110" t="inlineStr">
        <is>
          <t>🔲 데이터수집예정</t>
        </is>
      </c>
      <c r="T415" s="136" t="n"/>
      <c r="W415" s="111" t="n"/>
    </row>
    <row r="416" ht="18" customHeight="1" s="97">
      <c r="A416" s="112" t="n">
        <v>414</v>
      </c>
      <c r="B416" s="113" t="inlineStr">
        <is>
          <t>경남</t>
        </is>
      </c>
      <c r="C416" s="122" t="inlineStr">
        <is>
          <t>밀양컨트리클럽</t>
        </is>
      </c>
      <c r="D416" s="104" t="inlineStr">
        <is>
          <t>대중제</t>
        </is>
      </c>
      <c r="E416" s="116" t="inlineStr">
        <is>
          <t>밀양시 부북면 전사포리 832</t>
        </is>
      </c>
      <c r="F416" s="112" t="n">
        <v>9</v>
      </c>
      <c r="G416" s="112">
        <f>F416*4</f>
        <v/>
      </c>
      <c r="H416" s="117" t="n">
        <v>296984</v>
      </c>
      <c r="I416" s="118" t="inlineStr">
        <is>
          <t>㈜밀양컨트리클럽임경주</t>
        </is>
      </c>
      <c r="J416" s="108" t="n"/>
      <c r="K416" s="108" t="n"/>
      <c r="L416" s="108" t="n"/>
      <c r="M416" s="108" t="n"/>
      <c r="N416" s="108" t="n"/>
      <c r="O416" s="108" t="n"/>
      <c r="P416" s="112" t="n"/>
      <c r="Q416" s="119" t="n"/>
      <c r="R416" s="108" t="n"/>
      <c r="S416" s="110" t="inlineStr">
        <is>
          <t>🔲 데이터수집예정</t>
        </is>
      </c>
      <c r="T416" s="126" t="n"/>
      <c r="W416" s="121" t="n"/>
    </row>
    <row r="417" ht="18" customHeight="1" s="97">
      <c r="A417" s="101" t="n">
        <v>415</v>
      </c>
      <c r="B417" s="102" t="inlineStr">
        <is>
          <t>경남</t>
        </is>
      </c>
      <c r="C417" s="123" t="inlineStr">
        <is>
          <t>부곡컨트리클럽</t>
        </is>
      </c>
      <c r="D417" s="115" t="inlineStr">
        <is>
          <t>회원제</t>
        </is>
      </c>
      <c r="E417" s="105" t="inlineStr">
        <is>
          <t>창녕군 부곡면 온천로 445</t>
        </is>
      </c>
      <c r="F417" s="101" t="n">
        <v>18</v>
      </c>
      <c r="G417" s="101">
        <f>F417*4</f>
        <v/>
      </c>
      <c r="H417" s="106" t="n">
        <v>942431</v>
      </c>
      <c r="I417" s="107" t="inlineStr">
        <is>
          <t>현일개발㈜배영환</t>
        </is>
      </c>
      <c r="J417" s="108" t="n"/>
      <c r="K417" s="108" t="n"/>
      <c r="L417" s="108" t="n"/>
      <c r="M417" s="108" t="n"/>
      <c r="N417" s="108" t="n"/>
      <c r="O417" s="108" t="n"/>
      <c r="P417" s="101" t="n"/>
      <c r="Q417" s="109" t="n"/>
      <c r="R417" s="108" t="n"/>
      <c r="S417" s="110" t="inlineStr">
        <is>
          <t>🔲 데이터수집예정</t>
        </is>
      </c>
      <c r="T417" s="136" t="inlineStr">
        <is>
          <t>http://www.bkcc.co.kr/</t>
        </is>
      </c>
      <c r="U417" s="96" t="n">
        <v>1988</v>
      </c>
      <c r="V417" s="96" t="inlineStr">
        <is>
          <t>055-536-8000</t>
        </is>
      </c>
      <c r="W417" s="125" t="n"/>
    </row>
    <row r="418" ht="18" customHeight="1" s="97">
      <c r="A418" s="112" t="n">
        <v>416</v>
      </c>
      <c r="B418" s="113" t="inlineStr">
        <is>
          <t>경남</t>
        </is>
      </c>
      <c r="C418" s="122" t="inlineStr">
        <is>
          <t>사우스케이프오너스클럽</t>
        </is>
      </c>
      <c r="D418" s="104" t="inlineStr">
        <is>
          <t>대중제</t>
        </is>
      </c>
      <c r="E418" s="116" t="inlineStr">
        <is>
          <t>남해군 창선면 흥선로 1505번길 95</t>
        </is>
      </c>
      <c r="F418" s="112" t="n">
        <v>18</v>
      </c>
      <c r="G418" s="112">
        <f>F418*4</f>
        <v/>
      </c>
      <c r="H418" s="117" t="n">
        <v>1331102</v>
      </c>
      <c r="I418" s="118" t="inlineStr">
        <is>
          <t>㈜한섬피앤디 이종배정재봉,정형진</t>
        </is>
      </c>
      <c r="J418" s="108" t="n"/>
      <c r="K418" s="108" t="n"/>
      <c r="L418" s="108" t="n"/>
      <c r="M418" s="108" t="n"/>
      <c r="N418" s="108" t="n"/>
      <c r="O418" s="108" t="n"/>
      <c r="P418" s="112" t="n"/>
      <c r="Q418" s="119" t="n"/>
      <c r="R418" s="108" t="n"/>
      <c r="S418" s="110" t="inlineStr">
        <is>
          <t>🔲 데이터수집예정</t>
        </is>
      </c>
      <c r="T418" s="126" t="inlineStr">
        <is>
          <t>https://www.southcape.shop/</t>
        </is>
      </c>
      <c r="U418" s="96" t="n">
        <v>2013</v>
      </c>
      <c r="V418" s="96" t="inlineStr">
        <is>
          <t>055-860-5000</t>
        </is>
      </c>
      <c r="W418" s="121" t="n"/>
    </row>
    <row r="419" ht="18" customHeight="1" s="97">
      <c r="A419" s="101" t="n">
        <v>417</v>
      </c>
      <c r="B419" s="102" t="inlineStr">
        <is>
          <t>경남</t>
        </is>
      </c>
      <c r="C419" s="123" t="inlineStr">
        <is>
          <t>삼삼컨트리클럽</t>
        </is>
      </c>
      <c r="D419" s="104" t="inlineStr">
        <is>
          <t>대중제</t>
        </is>
      </c>
      <c r="E419" s="105" t="inlineStr">
        <is>
          <t>사천시 축동면 화당산로 224</t>
        </is>
      </c>
      <c r="F419" s="101" t="n">
        <v>9</v>
      </c>
      <c r="G419" s="101">
        <f>F419*4</f>
        <v/>
      </c>
      <c r="H419" s="106" t="n">
        <v>391178</v>
      </c>
      <c r="I419" s="107" t="inlineStr">
        <is>
          <t>삼삼레져개발㈜박 명식</t>
        </is>
      </c>
      <c r="J419" s="108" t="n"/>
      <c r="K419" s="108" t="n"/>
      <c r="L419" s="108" t="n"/>
      <c r="M419" s="108" t="n"/>
      <c r="N419" s="108" t="n"/>
      <c r="O419" s="108" t="n"/>
      <c r="P419" s="101" t="n"/>
      <c r="Q419" s="109" t="n"/>
      <c r="R419" s="108" t="n"/>
      <c r="S419" s="110" t="inlineStr">
        <is>
          <t>🔲 데이터수집예정</t>
        </is>
      </c>
      <c r="T419" s="136" t="n"/>
      <c r="W419" s="111" t="n"/>
    </row>
    <row r="420" ht="18" customHeight="1" s="97">
      <c r="A420" s="112" t="n">
        <v>418</v>
      </c>
      <c r="B420" s="113" t="inlineStr">
        <is>
          <t>경남</t>
        </is>
      </c>
      <c r="C420" s="122" t="inlineStr">
        <is>
          <t>서경타니CC</t>
        </is>
      </c>
      <c r="D420" s="104" t="inlineStr">
        <is>
          <t>대중제</t>
        </is>
      </c>
      <c r="E420" s="116" t="inlineStr">
        <is>
          <t>사천시 곤양면 흥신로 210</t>
        </is>
      </c>
      <c r="F420" s="112" t="n">
        <v>27</v>
      </c>
      <c r="G420" s="112">
        <f>F420*4</f>
        <v/>
      </c>
      <c r="H420" s="117" t="n">
        <v>1221929</v>
      </c>
      <c r="I420" s="118" t="inlineStr">
        <is>
          <t>타니골프엔리조트㈜ 윤철지</t>
        </is>
      </c>
      <c r="J420" s="108" t="n"/>
      <c r="K420" s="108" t="n"/>
      <c r="L420" s="108" t="n"/>
      <c r="M420" s="108" t="n"/>
      <c r="N420" s="108" t="n"/>
      <c r="O420" s="108" t="n"/>
      <c r="P420" s="112" t="n"/>
      <c r="Q420" s="119" t="n"/>
      <c r="R420" s="108" t="n"/>
      <c r="S420" s="110" t="inlineStr">
        <is>
          <t>🔲 데이터수집예정</t>
        </is>
      </c>
      <c r="T420" s="126" t="n"/>
      <c r="W420" s="121" t="n"/>
    </row>
    <row r="421" ht="18" customHeight="1" s="97">
      <c r="A421" s="101" t="n">
        <v>419</v>
      </c>
      <c r="B421" s="102" t="inlineStr">
        <is>
          <t>경남</t>
        </is>
      </c>
      <c r="C421" s="123" t="inlineStr">
        <is>
          <t>아난티남해CC</t>
        </is>
      </c>
      <c r="D421" s="104" t="inlineStr">
        <is>
          <t>대중제</t>
        </is>
      </c>
      <c r="E421" s="105" t="inlineStr">
        <is>
          <t>남해군 남면 남서대로 1179번길 40-109</t>
        </is>
      </c>
      <c r="F421" s="101" t="n">
        <v>9</v>
      </c>
      <c r="G421" s="101">
        <f>F421*4</f>
        <v/>
      </c>
      <c r="H421" s="106" t="n">
        <v>378840</v>
      </c>
      <c r="I421" s="107" t="inlineStr">
        <is>
          <t>㈜아난티이만규</t>
        </is>
      </c>
      <c r="J421" s="108" t="n"/>
      <c r="K421" s="108" t="n"/>
      <c r="L421" s="108" t="n"/>
      <c r="M421" s="108" t="n"/>
      <c r="N421" s="108" t="n"/>
      <c r="O421" s="108" t="n"/>
      <c r="P421" s="101" t="n"/>
      <c r="Q421" s="109" t="n"/>
      <c r="R421" s="108" t="n"/>
      <c r="S421" s="110" t="inlineStr">
        <is>
          <t>🔲 데이터수집예정</t>
        </is>
      </c>
      <c r="T421" s="136" t="n"/>
      <c r="W421" s="111" t="n"/>
    </row>
    <row r="422" ht="18" customHeight="1" s="97">
      <c r="A422" s="112" t="n">
        <v>420</v>
      </c>
      <c r="B422" s="113" t="inlineStr">
        <is>
          <t>경남</t>
        </is>
      </c>
      <c r="C422" s="122" t="inlineStr">
        <is>
          <t>아난티남해GC</t>
        </is>
      </c>
      <c r="D422" s="104" t="inlineStr">
        <is>
          <t>대중제</t>
        </is>
      </c>
      <c r="E422" s="116" t="inlineStr">
        <is>
          <t>남해군 남면 남서대로 1179번길 40-109</t>
        </is>
      </c>
      <c r="F422" s="112" t="n">
        <v>9</v>
      </c>
      <c r="G422" s="112">
        <f>F422*4</f>
        <v/>
      </c>
      <c r="H422" s="117" t="n">
        <v>377429</v>
      </c>
      <c r="I422" s="118" t="inlineStr">
        <is>
          <t>㈜아난티이만규</t>
        </is>
      </c>
      <c r="J422" s="108" t="n"/>
      <c r="K422" s="108" t="n"/>
      <c r="L422" s="108" t="n"/>
      <c r="M422" s="108" t="n"/>
      <c r="N422" s="108" t="n"/>
      <c r="O422" s="108" t="n"/>
      <c r="P422" s="112" t="n"/>
      <c r="Q422" s="119" t="n"/>
      <c r="R422" s="108" t="n"/>
      <c r="S422" s="110" t="inlineStr">
        <is>
          <t>🔲 데이터수집예정</t>
        </is>
      </c>
      <c r="T422" s="126" t="n"/>
      <c r="W422" s="121" t="n"/>
    </row>
    <row r="423" ht="18" customHeight="1" s="97">
      <c r="A423" s="101" t="n">
        <v>421</v>
      </c>
      <c r="B423" s="102" t="inlineStr">
        <is>
          <t>경남</t>
        </is>
      </c>
      <c r="C423" s="123" t="inlineStr">
        <is>
          <t>아델스코트 컨트리클럽</t>
        </is>
      </c>
      <c r="D423" s="104" t="inlineStr">
        <is>
          <t>대중제</t>
        </is>
      </c>
      <c r="E423" s="105" t="inlineStr">
        <is>
          <t>합천군 가야면 가조가야로 1916-35</t>
        </is>
      </c>
      <c r="F423" s="101" t="n">
        <v>27</v>
      </c>
      <c r="G423" s="101">
        <f>F423*4</f>
        <v/>
      </c>
      <c r="H423" s="106" t="n">
        <v>1399432</v>
      </c>
      <c r="I423" s="107" t="inlineStr">
        <is>
          <t>해인레저산업㈜김종헌</t>
        </is>
      </c>
      <c r="J423" s="108" t="n"/>
      <c r="K423" s="108" t="n"/>
      <c r="L423" s="108" t="n"/>
      <c r="M423" s="108" t="n"/>
      <c r="N423" s="108" t="n"/>
      <c r="O423" s="108" t="n"/>
      <c r="P423" s="101" t="n"/>
      <c r="Q423" s="109" t="n"/>
      <c r="R423" s="108" t="n"/>
      <c r="S423" s="110" t="inlineStr">
        <is>
          <t>🔲 데이터수집예정</t>
        </is>
      </c>
      <c r="T423" s="136" t="n"/>
      <c r="W423" s="111" t="n"/>
    </row>
    <row r="424" ht="18" customHeight="1" s="97">
      <c r="A424" s="112" t="n">
        <v>422</v>
      </c>
      <c r="B424" s="113" t="inlineStr">
        <is>
          <t>경남</t>
        </is>
      </c>
      <c r="C424" s="122" t="inlineStr">
        <is>
          <t>아라미르골프앤리조트</t>
        </is>
      </c>
      <c r="D424" s="104" t="inlineStr">
        <is>
          <t>대중제</t>
        </is>
      </c>
      <c r="E424" s="116" t="inlineStr">
        <is>
          <t>창원시 진해구 수제로 36</t>
        </is>
      </c>
      <c r="F424" s="112" t="n">
        <v>36</v>
      </c>
      <c r="G424" s="112">
        <f>F424*4</f>
        <v/>
      </c>
      <c r="H424" s="117" t="n">
        <v>1406363</v>
      </c>
      <c r="I424" s="118" t="inlineStr">
        <is>
          <t>용원개발㈜최정호</t>
        </is>
      </c>
      <c r="J424" s="108" t="n"/>
      <c r="K424" s="108" t="n"/>
      <c r="L424" s="108" t="n"/>
      <c r="M424" s="108" t="n"/>
      <c r="N424" s="108" t="n"/>
      <c r="O424" s="108" t="n"/>
      <c r="P424" s="112" t="n"/>
      <c r="Q424" s="119" t="n"/>
      <c r="R424" s="108" t="n"/>
      <c r="S424" s="110" t="inlineStr">
        <is>
          <t>🔲 데이터수집예정</t>
        </is>
      </c>
      <c r="T424" s="126" t="inlineStr">
        <is>
          <t>https://www.aramir.co.kr/</t>
        </is>
      </c>
      <c r="U424" s="96" t="n">
        <v>2008</v>
      </c>
      <c r="V424" s="96" t="inlineStr">
        <is>
          <t>031-639-8000</t>
        </is>
      </c>
      <c r="W424" s="121" t="n"/>
    </row>
    <row r="425" ht="18" customHeight="1" s="97">
      <c r="A425" s="101" t="n">
        <v>423</v>
      </c>
      <c r="B425" s="102" t="inlineStr">
        <is>
          <t>경남</t>
        </is>
      </c>
      <c r="C425" s="123" t="inlineStr">
        <is>
          <t>양산동원로얄CC</t>
        </is>
      </c>
      <c r="D425" s="104" t="inlineStr">
        <is>
          <t>대중제</t>
        </is>
      </c>
      <c r="E425" s="105" t="inlineStr">
        <is>
          <t>양산시 어곡동 산283번지</t>
        </is>
      </c>
      <c r="F425" s="101" t="n">
        <v>18</v>
      </c>
      <c r="G425" s="101">
        <f>F425*4</f>
        <v/>
      </c>
      <c r="H425" s="106" t="n">
        <v>938811</v>
      </c>
      <c r="I425" s="107" t="inlineStr">
        <is>
          <t>㈜아시아드티앤디송영범</t>
        </is>
      </c>
      <c r="J425" s="108" t="n"/>
      <c r="K425" s="108" t="n"/>
      <c r="L425" s="108" t="n"/>
      <c r="M425" s="108" t="n"/>
      <c r="N425" s="108" t="n"/>
      <c r="O425" s="108" t="n"/>
      <c r="P425" s="101" t="n"/>
      <c r="Q425" s="109" t="n"/>
      <c r="R425" s="108" t="n"/>
      <c r="S425" s="110" t="inlineStr">
        <is>
          <t>🔲 데이터수집예정</t>
        </is>
      </c>
      <c r="T425" s="136" t="inlineStr">
        <is>
          <t>https://www.dongwonroyalcc.co.kr/</t>
        </is>
      </c>
      <c r="U425" s="96" t="n">
        <v>2005</v>
      </c>
      <c r="V425" s="96" t="inlineStr">
        <is>
          <t>055-387-7000</t>
        </is>
      </c>
      <c r="W425" s="125" t="n"/>
    </row>
    <row r="426" ht="18" customHeight="1" s="97">
      <c r="A426" s="112" t="n">
        <v>424</v>
      </c>
      <c r="B426" s="113" t="inlineStr">
        <is>
          <t>경남</t>
        </is>
      </c>
      <c r="C426" s="122" t="inlineStr">
        <is>
          <t>양산컨트리클럽</t>
        </is>
      </c>
      <c r="D426" s="104" t="inlineStr">
        <is>
          <t>대중제</t>
        </is>
      </c>
      <c r="E426" s="116" t="inlineStr">
        <is>
          <t>양산시 상북면 충렬로 687</t>
        </is>
      </c>
      <c r="F426" s="112" t="n">
        <v>27</v>
      </c>
      <c r="G426" s="112">
        <f>F426*4</f>
        <v/>
      </c>
      <c r="H426" s="117" t="n">
        <v>1599832</v>
      </c>
      <c r="I426" s="118" t="inlineStr">
        <is>
          <t>㈜양산컨트리클럽신영철</t>
        </is>
      </c>
      <c r="J426" s="108" t="n"/>
      <c r="K426" s="108" t="n"/>
      <c r="L426" s="108" t="n"/>
      <c r="M426" s="108" t="n"/>
      <c r="N426" s="108" t="n"/>
      <c r="O426" s="108" t="n"/>
      <c r="P426" s="112" t="n"/>
      <c r="Q426" s="119" t="n"/>
      <c r="R426" s="108" t="n"/>
      <c r="S426" s="110" t="inlineStr">
        <is>
          <t>🔲 데이터수집예정</t>
        </is>
      </c>
      <c r="T426" s="126" t="inlineStr">
        <is>
          <t>https://www.dongwonroyalcc.co.kr/</t>
        </is>
      </c>
      <c r="U426" s="96" t="n">
        <v>2005</v>
      </c>
      <c r="V426" s="96" t="inlineStr">
        <is>
          <t>055-387-7000</t>
        </is>
      </c>
      <c r="W426" s="121" t="n"/>
    </row>
    <row r="427" ht="18" customHeight="1" s="97">
      <c r="A427" s="101" t="n">
        <v>425</v>
      </c>
      <c r="B427" s="102" t="inlineStr">
        <is>
          <t>경남</t>
        </is>
      </c>
      <c r="C427" s="123" t="inlineStr">
        <is>
          <t>에덴밸리컨트리클럽</t>
        </is>
      </c>
      <c r="D427" s="115" t="inlineStr">
        <is>
          <t>회원제</t>
        </is>
      </c>
      <c r="E427" s="105" t="inlineStr">
        <is>
          <t>양산시 원동면 어실로 910</t>
        </is>
      </c>
      <c r="F427" s="101" t="n">
        <v>18</v>
      </c>
      <c r="G427" s="101">
        <f>F427*4</f>
        <v/>
      </c>
      <c r="H427" s="106" t="n">
        <v>920431</v>
      </c>
      <c r="I427" s="107" t="inlineStr">
        <is>
          <t>신세계개발㈜문성필</t>
        </is>
      </c>
      <c r="J427" s="108" t="n"/>
      <c r="K427" s="108" t="n"/>
      <c r="L427" s="108" t="n"/>
      <c r="M427" s="108" t="n"/>
      <c r="N427" s="108" t="n"/>
      <c r="O427" s="108" t="n"/>
      <c r="P427" s="101" t="n"/>
      <c r="Q427" s="109" t="n"/>
      <c r="R427" s="108" t="n"/>
      <c r="S427" s="110" t="inlineStr">
        <is>
          <t>🔲 데이터수집예정</t>
        </is>
      </c>
      <c r="T427" s="136" t="n"/>
      <c r="W427" s="111" t="n"/>
    </row>
    <row r="428" ht="18" customHeight="1" s="97">
      <c r="A428" s="112" t="n">
        <v>426</v>
      </c>
      <c r="B428" s="113" t="inlineStr">
        <is>
          <t>경남</t>
        </is>
      </c>
      <c r="C428" s="122" t="inlineStr">
        <is>
          <t>에이원컨트리클럽</t>
        </is>
      </c>
      <c r="D428" s="115" t="inlineStr">
        <is>
          <t>회원제</t>
        </is>
      </c>
      <c r="E428" s="116" t="inlineStr">
        <is>
          <t>양산시 덕명로 190</t>
        </is>
      </c>
      <c r="F428" s="112" t="n">
        <v>27</v>
      </c>
      <c r="G428" s="112">
        <f>F428*4</f>
        <v/>
      </c>
      <c r="H428" s="117" t="n">
        <v>1680668</v>
      </c>
      <c r="I428" s="118" t="inlineStr">
        <is>
          <t>에이원컨트리클럽㈜ 홍세희</t>
        </is>
      </c>
      <c r="J428" s="108" t="n"/>
      <c r="K428" s="108" t="n"/>
      <c r="L428" s="108" t="n"/>
      <c r="M428" s="108" t="n"/>
      <c r="N428" s="108" t="n"/>
      <c r="O428" s="108" t="n"/>
      <c r="P428" s="112" t="n"/>
      <c r="Q428" s="119" t="n"/>
      <c r="R428" s="108" t="n"/>
      <c r="S428" s="110" t="inlineStr">
        <is>
          <t>🔲 데이터수집예정</t>
        </is>
      </c>
      <c r="T428" s="126" t="n"/>
      <c r="W428" s="121" t="n"/>
    </row>
    <row r="429" ht="18" customHeight="1" s="97">
      <c r="A429" s="101" t="n">
        <v>427</v>
      </c>
      <c r="B429" s="102" t="inlineStr">
        <is>
          <t>경남</t>
        </is>
      </c>
      <c r="C429" s="123" t="inlineStr">
        <is>
          <t>용원컨트리클럽</t>
        </is>
      </c>
      <c r="D429" s="115" t="inlineStr">
        <is>
          <t>회원제</t>
        </is>
      </c>
      <c r="E429" s="105" t="inlineStr">
        <is>
          <t>창원시 진해구 가주로 133</t>
        </is>
      </c>
      <c r="F429" s="101" t="n">
        <v>27</v>
      </c>
      <c r="G429" s="101">
        <f>F429*4</f>
        <v/>
      </c>
      <c r="H429" s="106" t="n">
        <v>1635886</v>
      </c>
      <c r="I429" s="107" t="inlineStr">
        <is>
          <t>용원개발㈜최정호</t>
        </is>
      </c>
      <c r="J429" s="108" t="n"/>
      <c r="K429" s="108" t="n"/>
      <c r="L429" s="108" t="n"/>
      <c r="M429" s="108" t="n"/>
      <c r="N429" s="108" t="n"/>
      <c r="O429" s="108" t="n"/>
      <c r="P429" s="101" t="n"/>
      <c r="Q429" s="109" t="n"/>
      <c r="R429" s="108" t="n"/>
      <c r="S429" s="110" t="inlineStr">
        <is>
          <t>🔲 데이터수집예정</t>
        </is>
      </c>
      <c r="T429" s="136" t="n"/>
      <c r="W429" s="111" t="n"/>
    </row>
    <row r="430" ht="18" customHeight="1" s="97">
      <c r="A430" s="112" t="n">
        <v>428</v>
      </c>
      <c r="B430" s="113" t="inlineStr">
        <is>
          <t>경남</t>
        </is>
      </c>
      <c r="C430" s="122" t="inlineStr">
        <is>
          <t>의령 리온컨트리클럽</t>
        </is>
      </c>
      <c r="D430" s="104" t="inlineStr">
        <is>
          <t>대중제</t>
        </is>
      </c>
      <c r="E430" s="116" t="inlineStr">
        <is>
          <t>의령군 칠곡면 내조리 산113</t>
        </is>
      </c>
      <c r="F430" s="112" t="n">
        <v>27</v>
      </c>
      <c r="G430" s="112">
        <f>F430*4</f>
        <v/>
      </c>
      <c r="H430" s="117" t="n">
        <v>1437044</v>
      </c>
      <c r="I430" s="118" t="inlineStr">
        <is>
          <t>우신레저㈜강헌석, 김사국</t>
        </is>
      </c>
      <c r="J430" s="108" t="n"/>
      <c r="K430" s="108" t="n"/>
      <c r="L430" s="108" t="n"/>
      <c r="M430" s="108" t="n"/>
      <c r="N430" s="108" t="n"/>
      <c r="O430" s="108" t="n"/>
      <c r="P430" s="112" t="n"/>
      <c r="Q430" s="119" t="n"/>
      <c r="R430" s="108" t="n"/>
      <c r="S430" s="110" t="inlineStr">
        <is>
          <t>🔲 데이터수집예정</t>
        </is>
      </c>
      <c r="T430" s="126" t="n"/>
      <c r="W430" s="121" t="n"/>
    </row>
    <row r="431" ht="18" customHeight="1" s="97">
      <c r="A431" s="101" t="n">
        <v>429</v>
      </c>
      <c r="B431" s="102" t="inlineStr">
        <is>
          <t>경남</t>
        </is>
      </c>
      <c r="C431" s="123" t="inlineStr">
        <is>
          <t>의령친환경골프장</t>
        </is>
      </c>
      <c r="D431" s="104" t="inlineStr">
        <is>
          <t>대중제</t>
        </is>
      </c>
      <c r="E431" s="105" t="inlineStr">
        <is>
          <t>의령군 의령읍 남강로 417</t>
        </is>
      </c>
      <c r="F431" s="101" t="n">
        <v>9</v>
      </c>
      <c r="G431" s="101">
        <f>F431*4</f>
        <v/>
      </c>
      <c r="H431" s="106" t="n">
        <v>235262</v>
      </c>
      <c r="I431" s="107" t="inlineStr">
        <is>
          <t>의령군수</t>
        </is>
      </c>
      <c r="J431" s="108" t="n"/>
      <c r="K431" s="108" t="n"/>
      <c r="L431" s="108" t="n"/>
      <c r="M431" s="108" t="n"/>
      <c r="N431" s="108" t="n"/>
      <c r="O431" s="108" t="n"/>
      <c r="P431" s="101" t="n"/>
      <c r="Q431" s="109" t="n"/>
      <c r="R431" s="108" t="n"/>
      <c r="S431" s="110" t="inlineStr">
        <is>
          <t>🔲 데이터수집예정</t>
        </is>
      </c>
      <c r="T431" s="136" t="n"/>
      <c r="W431" s="111" t="n"/>
    </row>
    <row r="432" ht="18" customHeight="1" s="97">
      <c r="A432" s="112" t="n">
        <v>430</v>
      </c>
      <c r="B432" s="113" t="inlineStr">
        <is>
          <t>경남</t>
        </is>
      </c>
      <c r="C432" s="122" t="inlineStr">
        <is>
          <t>진주컨트리클럽</t>
        </is>
      </c>
      <c r="D432" s="104" t="inlineStr">
        <is>
          <t>대중제</t>
        </is>
      </c>
      <c r="E432" s="116" t="inlineStr">
        <is>
          <t>진주시 진성면 진성로 464번길 82</t>
        </is>
      </c>
      <c r="F432" s="112" t="n">
        <v>18</v>
      </c>
      <c r="G432" s="112">
        <f>F432*4</f>
        <v/>
      </c>
      <c r="H432" s="117" t="n">
        <v>1068481</v>
      </c>
      <c r="I432" s="118" t="inlineStr">
        <is>
          <t>진주개발㈜김영재</t>
        </is>
      </c>
      <c r="J432" s="108" t="n"/>
      <c r="K432" s="108" t="n"/>
      <c r="L432" s="108" t="n"/>
      <c r="M432" s="108" t="n"/>
      <c r="N432" s="108" t="n"/>
      <c r="O432" s="108" t="n"/>
      <c r="P432" s="112" t="n"/>
      <c r="Q432" s="119" t="n"/>
      <c r="R432" s="108" t="n"/>
      <c r="S432" s="110" t="inlineStr">
        <is>
          <t>🔲 데이터수집예정</t>
        </is>
      </c>
      <c r="T432" s="126" t="n"/>
      <c r="W432" s="121" t="n"/>
    </row>
    <row r="433" ht="18" customHeight="1" s="97">
      <c r="A433" s="101" t="n">
        <v>431</v>
      </c>
      <c r="B433" s="102" t="inlineStr">
        <is>
          <t>경남</t>
        </is>
      </c>
      <c r="C433" s="123" t="inlineStr">
        <is>
          <t>창원컨트리클럽</t>
        </is>
      </c>
      <c r="D433" s="115" t="inlineStr">
        <is>
          <t>회원제</t>
        </is>
      </c>
      <c r="E433" s="105" t="inlineStr">
        <is>
          <t>창원시 의창구 대봉로 137</t>
        </is>
      </c>
      <c r="F433" s="101" t="n">
        <v>18</v>
      </c>
      <c r="G433" s="101">
        <f>F433*4</f>
        <v/>
      </c>
      <c r="H433" s="106" t="n">
        <v>1048959</v>
      </c>
      <c r="I433" s="107" t="inlineStr">
        <is>
          <t>㈜창원컨트리클럽 송부욱</t>
        </is>
      </c>
      <c r="J433" s="108" t="n"/>
      <c r="K433" s="108" t="n"/>
      <c r="L433" s="108" t="n"/>
      <c r="M433" s="108" t="n"/>
      <c r="N433" s="108" t="n"/>
      <c r="O433" s="108" t="n"/>
      <c r="P433" s="101" t="n"/>
      <c r="Q433" s="109" t="n"/>
      <c r="R433" s="108" t="n"/>
      <c r="S433" s="110" t="inlineStr">
        <is>
          <t>🔲 데이터수집예정</t>
        </is>
      </c>
      <c r="T433" s="136" t="n"/>
      <c r="W433" s="111" t="n"/>
    </row>
    <row r="434" ht="18" customHeight="1" s="97">
      <c r="A434" s="112" t="n">
        <v>432</v>
      </c>
      <c r="B434" s="113" t="inlineStr">
        <is>
          <t>경남</t>
        </is>
      </c>
      <c r="C434" s="122" t="inlineStr">
        <is>
          <t>클럽디거창</t>
        </is>
      </c>
      <c r="D434" s="104" t="inlineStr">
        <is>
          <t>대중제</t>
        </is>
      </c>
      <c r="E434" s="116" t="inlineStr">
        <is>
          <t>거창군 신원면 덕산리 산 13번지</t>
        </is>
      </c>
      <c r="F434" s="112" t="n">
        <v>27</v>
      </c>
      <c r="G434" s="112">
        <f>F434*4</f>
        <v/>
      </c>
      <c r="H434" s="117" t="n">
        <v>1814016</v>
      </c>
      <c r="I434" s="118" t="inlineStr">
        <is>
          <t>코리아신탁㈜백인균</t>
        </is>
      </c>
      <c r="J434" s="108" t="n"/>
      <c r="K434" s="108" t="n"/>
      <c r="L434" s="108" t="n"/>
      <c r="M434" s="108" t="n"/>
      <c r="N434" s="108" t="n"/>
      <c r="O434" s="108" t="n"/>
      <c r="P434" s="112" t="n"/>
      <c r="Q434" s="119" t="n"/>
      <c r="R434" s="108" t="n"/>
      <c r="S434" s="110" t="inlineStr">
        <is>
          <t>🔲 데이터수집예정</t>
        </is>
      </c>
      <c r="T434" s="126" t="n"/>
      <c r="W434" s="121" t="n"/>
    </row>
    <row r="435" ht="18" customHeight="1" s="97">
      <c r="A435" s="101" t="n">
        <v>433</v>
      </c>
      <c r="B435" s="102" t="inlineStr">
        <is>
          <t>경남</t>
        </is>
      </c>
      <c r="C435" s="123" t="inlineStr">
        <is>
          <t>통도파인이스트컨트리클럽</t>
        </is>
      </c>
      <c r="D435" s="115" t="inlineStr">
        <is>
          <t>회원제</t>
        </is>
      </c>
      <c r="E435" s="105" t="inlineStr">
        <is>
          <t>양산시 하북면 신평남부길 29-12</t>
        </is>
      </c>
      <c r="F435" s="101" t="n">
        <v>36</v>
      </c>
      <c r="G435" s="101">
        <f>F435*4</f>
        <v/>
      </c>
      <c r="H435" s="106" t="n">
        <v>2198232</v>
      </c>
      <c r="I435" s="107" t="inlineStr">
        <is>
          <t>㈜동일리조트김은수</t>
        </is>
      </c>
      <c r="J435" s="108" t="n"/>
      <c r="K435" s="108" t="n"/>
      <c r="L435" s="108" t="n"/>
      <c r="M435" s="108" t="n"/>
      <c r="N435" s="108" t="n"/>
      <c r="O435" s="108" t="n"/>
      <c r="P435" s="101" t="n"/>
      <c r="Q435" s="109" t="n"/>
      <c r="R435" s="108" t="n"/>
      <c r="S435" s="110" t="inlineStr">
        <is>
          <t>🔲 데이터수집예정</t>
        </is>
      </c>
      <c r="T435" s="136" t="inlineStr">
        <is>
          <t>https://www.tongdopineast.com/</t>
        </is>
      </c>
      <c r="U435" s="96" t="n">
        <v>2004</v>
      </c>
      <c r="V435" s="96" t="inlineStr">
        <is>
          <t>055-370-3000</t>
        </is>
      </c>
      <c r="W435" s="125" t="n"/>
    </row>
    <row r="436" ht="18" customHeight="1" s="97">
      <c r="A436" s="112" t="n">
        <v>434</v>
      </c>
      <c r="B436" s="113" t="inlineStr">
        <is>
          <t>경남</t>
        </is>
      </c>
      <c r="C436" s="122" t="inlineStr">
        <is>
          <t>통영동원로얄컨트리클럽</t>
        </is>
      </c>
      <c r="D436" s="104" t="inlineStr">
        <is>
          <t>대중제</t>
        </is>
      </c>
      <c r="E436" s="116" t="inlineStr">
        <is>
          <t>통영시 산양읍 담안길 240</t>
        </is>
      </c>
      <c r="F436" s="112" t="n">
        <v>18</v>
      </c>
      <c r="G436" s="112">
        <f>F436*4</f>
        <v/>
      </c>
      <c r="H436" s="117" t="n">
        <v>983676</v>
      </c>
      <c r="I436" s="118" t="inlineStr">
        <is>
          <t>동원관광개발㈜이만수</t>
        </is>
      </c>
      <c r="J436" s="108" t="n"/>
      <c r="K436" s="108" t="n"/>
      <c r="L436" s="108" t="n"/>
      <c r="M436" s="108" t="n"/>
      <c r="N436" s="108" t="n"/>
      <c r="O436" s="108" t="n"/>
      <c r="P436" s="112" t="n"/>
      <c r="Q436" s="119" t="n"/>
      <c r="R436" s="108" t="n"/>
      <c r="S436" s="110" t="inlineStr">
        <is>
          <t>🔲 데이터수집예정</t>
        </is>
      </c>
      <c r="T436" s="126" t="n"/>
      <c r="W436" s="121" t="n"/>
    </row>
    <row r="437" ht="18" customHeight="1" s="97">
      <c r="A437" s="101" t="n">
        <v>435</v>
      </c>
      <c r="B437" s="102" t="inlineStr">
        <is>
          <t>경남</t>
        </is>
      </c>
      <c r="C437" s="123" t="inlineStr">
        <is>
          <t>힐마루컨트리클럽</t>
        </is>
      </c>
      <c r="D437" s="115" t="inlineStr">
        <is>
          <t>회원제</t>
        </is>
      </c>
      <c r="E437" s="105" t="inlineStr">
        <is>
          <t>창녕군 장마면 영산계성로 469-195</t>
        </is>
      </c>
      <c r="F437" s="101" t="n">
        <v>18</v>
      </c>
      <c r="G437" s="101">
        <f>F437*4</f>
        <v/>
      </c>
      <c r="H437" s="106" t="n">
        <v>1012743</v>
      </c>
      <c r="I437" s="107" t="inlineStr">
        <is>
          <t>㈜ 동 훈김점동</t>
        </is>
      </c>
      <c r="J437" s="108" t="n"/>
      <c r="K437" s="108" t="n"/>
      <c r="L437" s="108" t="n"/>
      <c r="M437" s="108" t="n"/>
      <c r="N437" s="108" t="n"/>
      <c r="O437" s="108" t="n"/>
      <c r="P437" s="101" t="n"/>
      <c r="Q437" s="109" t="n"/>
      <c r="R437" s="108" t="n"/>
      <c r="S437" s="110" t="inlineStr">
        <is>
          <t>🔲 데이터수집예정</t>
        </is>
      </c>
      <c r="T437" s="136" t="inlineStr">
        <is>
          <t>https://pocheon.hillmaru.com/</t>
        </is>
      </c>
      <c r="U437" s="96" t="n">
        <v>2009</v>
      </c>
      <c r="V437" s="96" t="inlineStr">
        <is>
          <t>031-539-4000</t>
        </is>
      </c>
      <c r="W437" s="125" t="n"/>
    </row>
    <row r="438" ht="18" customHeight="1" s="97">
      <c r="A438" s="141" t="n">
        <v>436</v>
      </c>
      <c r="B438" s="142" t="inlineStr">
        <is>
          <t>부산</t>
        </is>
      </c>
      <c r="C438" s="143" t="inlineStr">
        <is>
          <t>기장동원로얄컨트리클럽</t>
        </is>
      </c>
      <c r="D438" s="144" t="inlineStr">
        <is>
          <t>대중제</t>
        </is>
      </c>
      <c r="E438" s="145" t="inlineStr">
        <is>
          <t>부산 기장군 기장읍 반송로 1345</t>
        </is>
      </c>
      <c r="F438" s="141" t="n">
        <v>9</v>
      </c>
      <c r="G438" s="141">
        <f>F438*4</f>
        <v/>
      </c>
      <c r="H438" s="146" t="n">
        <v>384921</v>
      </c>
      <c r="I438" s="147" t="inlineStr">
        <is>
          <t>㈜남양종합개발(장정규)</t>
        </is>
      </c>
      <c r="J438" s="148" t="n"/>
      <c r="K438" s="148" t="n"/>
      <c r="L438" s="148" t="n"/>
      <c r="M438" s="148" t="n"/>
      <c r="N438" s="148" t="n"/>
      <c r="O438" s="148" t="n"/>
      <c r="P438" s="141" t="n"/>
      <c r="Q438" s="149" t="n"/>
      <c r="R438" s="148" t="n"/>
      <c r="S438" s="150" t="inlineStr">
        <is>
          <t>🔲 데이터수집예정</t>
        </is>
      </c>
      <c r="T438" s="147" t="n"/>
      <c r="W438" s="151" t="n"/>
    </row>
    <row r="439" ht="18" customHeight="1" s="97">
      <c r="A439" s="101" t="n">
        <v>437</v>
      </c>
      <c r="B439" s="102" t="inlineStr">
        <is>
          <t>부산</t>
        </is>
      </c>
      <c r="C439" s="123" t="inlineStr">
        <is>
          <t>동래베네스트골프클럽</t>
        </is>
      </c>
      <c r="D439" s="115" t="inlineStr">
        <is>
          <t>회원제</t>
        </is>
      </c>
      <c r="E439" s="105" t="inlineStr">
        <is>
          <t>부산 금정구 선동 하정로 66</t>
        </is>
      </c>
      <c r="F439" s="101" t="n">
        <v>18</v>
      </c>
      <c r="G439" s="101">
        <f>F439*4</f>
        <v/>
      </c>
      <c r="H439" s="106" t="n">
        <v>1072081</v>
      </c>
      <c r="I439" s="107" t="inlineStr">
        <is>
          <t>삼성물산(주)(정금용)</t>
        </is>
      </c>
      <c r="J439" s="108" t="n"/>
      <c r="K439" s="108" t="n"/>
      <c r="L439" s="108" t="n"/>
      <c r="M439" s="108" t="n"/>
      <c r="N439" s="108" t="n"/>
      <c r="O439" s="108" t="n"/>
      <c r="P439" s="101" t="n"/>
      <c r="Q439" s="109" t="n"/>
      <c r="R439" s="108" t="n"/>
      <c r="S439" s="110" t="inlineStr">
        <is>
          <t>🔲 데이터수집예정</t>
        </is>
      </c>
      <c r="T439" s="136" t="inlineStr">
        <is>
          <t>https://www.golfsamsung.com/</t>
        </is>
      </c>
      <c r="U439" s="96" t="n">
        <v>1971</v>
      </c>
      <c r="V439" s="96" t="inlineStr">
        <is>
          <t>051-580-8000</t>
        </is>
      </c>
      <c r="W439" s="125" t="n"/>
    </row>
    <row r="440" ht="18" customHeight="1" s="97">
      <c r="A440" s="112" t="n">
        <v>438</v>
      </c>
      <c r="B440" s="113" t="inlineStr">
        <is>
          <t>부산</t>
        </is>
      </c>
      <c r="C440" s="122" t="inlineStr">
        <is>
          <t>베이사이트골프클럽</t>
        </is>
      </c>
      <c r="D440" s="115" t="inlineStr">
        <is>
          <t>회원제</t>
        </is>
      </c>
      <c r="E440" s="116" t="inlineStr">
        <is>
          <t>부산 기장군 일광면 이천8길 100</t>
        </is>
      </c>
      <c r="F440" s="112" t="n">
        <v>27</v>
      </c>
      <c r="G440" s="112">
        <f>F440*4</f>
        <v/>
      </c>
      <c r="H440" s="117" t="n">
        <v>1408628</v>
      </c>
      <c r="I440" s="118" t="inlineStr">
        <is>
          <t>일광개발(주)(백규현)</t>
        </is>
      </c>
      <c r="J440" s="108" t="n"/>
      <c r="K440" s="108" t="n"/>
      <c r="L440" s="108" t="n"/>
      <c r="M440" s="108" t="n"/>
      <c r="N440" s="108" t="n"/>
      <c r="O440" s="108" t="n"/>
      <c r="P440" s="112" t="n"/>
      <c r="Q440" s="119" t="n"/>
      <c r="R440" s="108" t="n"/>
      <c r="S440" s="110" t="inlineStr">
        <is>
          <t>🔲 데이터수집예정</t>
        </is>
      </c>
      <c r="T440" s="126" t="n"/>
      <c r="W440" s="121" t="n"/>
    </row>
    <row r="441" ht="18" customHeight="1" s="97">
      <c r="A441" s="101" t="n">
        <v>439</v>
      </c>
      <c r="B441" s="102" t="inlineStr">
        <is>
          <t>부산</t>
        </is>
      </c>
      <c r="C441" s="123" t="inlineStr">
        <is>
          <t>부산컨트리클럽</t>
        </is>
      </c>
      <c r="D441" s="115" t="inlineStr">
        <is>
          <t>회원제</t>
        </is>
      </c>
      <c r="E441" s="105" t="inlineStr">
        <is>
          <t>부산 금정구 중앙대로 2327번길 112(노포동)</t>
        </is>
      </c>
      <c r="F441" s="101" t="n">
        <v>18</v>
      </c>
      <c r="G441" s="101">
        <f>F441*4</f>
        <v/>
      </c>
      <c r="H441" s="106" t="n">
        <v>971759</v>
      </c>
      <c r="I441" s="136" t="inlineStr">
        <is>
          <t>(사)부산컨트리클럽(서정의)</t>
        </is>
      </c>
      <c r="J441" s="108" t="n"/>
      <c r="K441" s="108" t="n"/>
      <c r="L441" s="108" t="n"/>
      <c r="M441" s="108" t="n"/>
      <c r="N441" s="108" t="n"/>
      <c r="O441" s="108" t="n"/>
      <c r="P441" s="101" t="n"/>
      <c r="Q441" s="109" t="n"/>
      <c r="R441" s="108" t="n"/>
      <c r="S441" s="110" t="inlineStr">
        <is>
          <t>🔲 데이터수집예정</t>
        </is>
      </c>
      <c r="T441" s="136" t="inlineStr">
        <is>
          <t>https://www.busancc.co.kr/</t>
        </is>
      </c>
      <c r="U441" s="96" t="n">
        <v>1970</v>
      </c>
      <c r="V441" s="96" t="inlineStr">
        <is>
          <t>051-580-1114</t>
        </is>
      </c>
      <c r="W441" s="125" t="n"/>
    </row>
    <row r="442" ht="18" customHeight="1" s="97">
      <c r="A442" s="112" t="n">
        <v>440</v>
      </c>
      <c r="B442" s="113" t="inlineStr">
        <is>
          <t>부산</t>
        </is>
      </c>
      <c r="C442" s="122" t="inlineStr">
        <is>
          <t>스톤게이트컨트리클럽</t>
        </is>
      </c>
      <c r="D442" s="104" t="inlineStr">
        <is>
          <t>대중제</t>
        </is>
      </c>
      <c r="E442" s="116" t="inlineStr">
        <is>
          <t>부산 기장군 일광면 곡천길 317</t>
        </is>
      </c>
      <c r="F442" s="112" t="n">
        <v>18</v>
      </c>
      <c r="G442" s="112">
        <f>F442*4</f>
        <v/>
      </c>
      <c r="H442" s="117" t="n">
        <v>1129738</v>
      </c>
      <c r="I442" s="118" t="inlineStr">
        <is>
          <t>㈜오션디앤씨(이치헌)</t>
        </is>
      </c>
      <c r="J442" s="108" t="n"/>
      <c r="K442" s="108" t="n"/>
      <c r="L442" s="108" t="n"/>
      <c r="M442" s="108" t="n"/>
      <c r="N442" s="108" t="n"/>
      <c r="O442" s="108" t="n"/>
      <c r="P442" s="112" t="n"/>
      <c r="Q442" s="119" t="n"/>
      <c r="R442" s="108" t="n"/>
      <c r="S442" s="110" t="inlineStr">
        <is>
          <t>🔲 데이터수집예정</t>
        </is>
      </c>
      <c r="T442" s="126" t="n"/>
      <c r="W442" s="121" t="n"/>
    </row>
    <row r="443" ht="18" customHeight="1" s="97">
      <c r="A443" s="101" t="n">
        <v>441</v>
      </c>
      <c r="B443" s="102" t="inlineStr">
        <is>
          <t>부산</t>
        </is>
      </c>
      <c r="C443" s="123" t="inlineStr">
        <is>
          <t>아시아드컨드리클럽</t>
        </is>
      </c>
      <c r="D443" s="115" t="inlineStr">
        <is>
          <t>회원제</t>
        </is>
      </c>
      <c r="E443" s="105" t="inlineStr">
        <is>
          <t>부산 기장군 일광면 차양길 26</t>
        </is>
      </c>
      <c r="F443" s="101" t="n">
        <v>27</v>
      </c>
      <c r="G443" s="101">
        <f>F443*4</f>
        <v/>
      </c>
      <c r="H443" s="106" t="n">
        <v>1450261</v>
      </c>
      <c r="I443" s="107" t="inlineStr">
        <is>
          <t>아시아드컨드리클럽㈜(황규태)</t>
        </is>
      </c>
      <c r="J443" s="108" t="n"/>
      <c r="K443" s="108" t="n"/>
      <c r="L443" s="108" t="n"/>
      <c r="M443" s="108" t="n"/>
      <c r="N443" s="108" t="n"/>
      <c r="O443" s="108" t="n"/>
      <c r="P443" s="101" t="n"/>
      <c r="Q443" s="109" t="n"/>
      <c r="R443" s="108" t="n"/>
      <c r="S443" s="110" t="inlineStr">
        <is>
          <t>🔲 데이터수집예정</t>
        </is>
      </c>
      <c r="T443" s="136" t="inlineStr">
        <is>
          <t>https://www.asiadcc.co.kr/</t>
        </is>
      </c>
      <c r="U443" s="96" t="n">
        <v>2004</v>
      </c>
      <c r="V443" s="96" t="inlineStr">
        <is>
          <t>051-724-0001</t>
        </is>
      </c>
      <c r="W443" s="125" t="n"/>
    </row>
    <row r="444" ht="18" customHeight="1" s="97">
      <c r="A444" s="112" t="n">
        <v>442</v>
      </c>
      <c r="B444" s="113" t="inlineStr">
        <is>
          <t>부산</t>
        </is>
      </c>
      <c r="C444" s="122" t="inlineStr">
        <is>
          <t>하이스트컨트리클럽</t>
        </is>
      </c>
      <c r="D444" s="104" t="inlineStr">
        <is>
          <t>대중제</t>
        </is>
      </c>
      <c r="E444" s="116" t="inlineStr">
        <is>
          <t>부산 강서구 지상동 과학산단1로 172</t>
        </is>
      </c>
      <c r="F444" s="112" t="n">
        <v>9</v>
      </c>
      <c r="G444" s="112">
        <f>F444*4</f>
        <v/>
      </c>
      <c r="H444" s="117" t="n">
        <v>375104</v>
      </c>
      <c r="I444" s="126" t="inlineStr">
        <is>
          <t>(주)정상개발(박정오)</t>
        </is>
      </c>
      <c r="J444" s="108" t="n"/>
      <c r="K444" s="108" t="n"/>
      <c r="L444" s="108" t="n"/>
      <c r="M444" s="108" t="n"/>
      <c r="N444" s="108" t="n"/>
      <c r="O444" s="108" t="n"/>
      <c r="P444" s="112" t="n"/>
      <c r="Q444" s="119" t="n"/>
      <c r="R444" s="108" t="n"/>
      <c r="S444" s="110" t="inlineStr">
        <is>
          <t>🔲 데이터수집예정</t>
        </is>
      </c>
      <c r="T444" s="126" t="n"/>
      <c r="W444" s="121" t="n"/>
    </row>
    <row r="445" ht="18" customHeight="1" s="97">
      <c r="A445" s="101" t="n">
        <v>443</v>
      </c>
      <c r="B445" s="102" t="inlineStr">
        <is>
          <t>부산</t>
        </is>
      </c>
      <c r="C445" s="123" t="inlineStr">
        <is>
          <t>해라컨트리클럽</t>
        </is>
      </c>
      <c r="D445" s="104" t="inlineStr">
        <is>
          <t>대중제</t>
        </is>
      </c>
      <c r="E445" s="105" t="inlineStr">
        <is>
          <t>부산 강서구 지상동 과학산단로 306번길 77</t>
        </is>
      </c>
      <c r="F445" s="101" t="n">
        <v>9</v>
      </c>
      <c r="G445" s="101">
        <f>F445*4</f>
        <v/>
      </c>
      <c r="H445" s="106" t="n">
        <v>170913</v>
      </c>
      <c r="I445" s="107" t="inlineStr">
        <is>
          <t>㈜성우알앤디(김대원)</t>
        </is>
      </c>
      <c r="J445" s="108" t="n"/>
      <c r="K445" s="108" t="n"/>
      <c r="L445" s="108" t="n"/>
      <c r="M445" s="108" t="n"/>
      <c r="N445" s="108" t="n"/>
      <c r="O445" s="108" t="n"/>
      <c r="P445" s="101" t="n"/>
      <c r="Q445" s="109" t="n"/>
      <c r="R445" s="108" t="n"/>
      <c r="S445" s="110" t="inlineStr">
        <is>
          <t>🔲 데이터수집예정</t>
        </is>
      </c>
      <c r="T445" s="136" t="n"/>
      <c r="W445" s="111" t="n"/>
    </row>
    <row r="446" ht="18" customHeight="1" s="97">
      <c r="A446" s="112" t="n">
        <v>444</v>
      </c>
      <c r="B446" s="113" t="inlineStr">
        <is>
          <t>부산</t>
        </is>
      </c>
      <c r="C446" s="122" t="inlineStr">
        <is>
          <t>해운대비치골프앤리조트</t>
        </is>
      </c>
      <c r="D446" s="115" t="inlineStr">
        <is>
          <t>회원제</t>
        </is>
      </c>
      <c r="E446" s="116" t="inlineStr">
        <is>
          <t>부산 기장군 기장읍 대변로 74</t>
        </is>
      </c>
      <c r="F446" s="112" t="n">
        <v>18</v>
      </c>
      <c r="G446" s="112">
        <f>F446*4</f>
        <v/>
      </c>
      <c r="H446" s="117" t="n">
        <v>846781</v>
      </c>
      <c r="I446" s="118" t="inlineStr">
        <is>
          <t>해운대비치골프앤리조트㈜(박호성)</t>
        </is>
      </c>
      <c r="J446" s="108" t="n"/>
      <c r="K446" s="108" t="n"/>
      <c r="L446" s="108" t="n"/>
      <c r="M446" s="108" t="n"/>
      <c r="N446" s="108" t="n"/>
      <c r="O446" s="108" t="n"/>
      <c r="P446" s="112" t="n"/>
      <c r="Q446" s="119" t="n"/>
      <c r="R446" s="108" t="n"/>
      <c r="S446" s="110" t="inlineStr">
        <is>
          <t>🔲 데이터수집예정</t>
        </is>
      </c>
      <c r="T446" s="126" t="inlineStr">
        <is>
          <t>https://www.haeundaebeachgolf.com/</t>
        </is>
      </c>
      <c r="U446" s="96" t="n">
        <v>2006</v>
      </c>
      <c r="V446" s="96" t="inlineStr">
        <is>
          <t>051-749-2000</t>
        </is>
      </c>
      <c r="W446" s="121" t="n"/>
    </row>
    <row r="447" ht="18" customHeight="1" s="97">
      <c r="A447" s="101" t="n">
        <v>445</v>
      </c>
      <c r="B447" s="102" t="inlineStr">
        <is>
          <t>부산</t>
        </is>
      </c>
      <c r="C447" s="123" t="inlineStr">
        <is>
          <t>해운대컨트리클럽</t>
        </is>
      </c>
      <c r="D447" s="115" t="inlineStr">
        <is>
          <t>회원제</t>
        </is>
      </c>
      <c r="E447" s="105" t="inlineStr">
        <is>
          <t>부산 기장군 정관면 병산2로 265</t>
        </is>
      </c>
      <c r="F447" s="101" t="n">
        <v>27</v>
      </c>
      <c r="G447" s="101">
        <f>F447*4</f>
        <v/>
      </c>
      <c r="H447" s="106" t="n">
        <v>1527005</v>
      </c>
      <c r="I447" s="107" t="inlineStr">
        <is>
          <t>경원개발(주)(조성태)</t>
        </is>
      </c>
      <c r="J447" s="108" t="n"/>
      <c r="K447" s="108" t="n"/>
      <c r="L447" s="108" t="n"/>
      <c r="M447" s="108" t="n"/>
      <c r="N447" s="108" t="n"/>
      <c r="O447" s="108" t="n"/>
      <c r="P447" s="101" t="n"/>
      <c r="Q447" s="109" t="n"/>
      <c r="R447" s="108" t="n"/>
      <c r="S447" s="110" t="inlineStr">
        <is>
          <t>🔲 데이터수집예정</t>
        </is>
      </c>
      <c r="T447" s="136" t="inlineStr">
        <is>
          <t>https://www.haeundaecc.co.kr/</t>
        </is>
      </c>
      <c r="U447" s="96" t="n">
        <v>2005</v>
      </c>
      <c r="V447" s="96" t="inlineStr">
        <is>
          <t>051-720-5000</t>
        </is>
      </c>
      <c r="W447" s="125" t="n"/>
    </row>
    <row r="448" ht="18" customHeight="1" s="97">
      <c r="A448" s="141" t="n">
        <v>446</v>
      </c>
      <c r="B448" s="142" t="inlineStr">
        <is>
          <t>대구</t>
        </is>
      </c>
      <c r="C448" s="143" t="inlineStr">
        <is>
          <t>냉천컨트리클럽</t>
        </is>
      </c>
      <c r="D448" s="144" t="inlineStr">
        <is>
          <t>대중제</t>
        </is>
      </c>
      <c r="E448" s="145" t="inlineStr">
        <is>
          <t>대구광역시 달성군 가창면 가창로 1037-9</t>
        </is>
      </c>
      <c r="F448" s="141" t="n">
        <v>9</v>
      </c>
      <c r="G448" s="141">
        <f>F448*4</f>
        <v/>
      </c>
      <c r="H448" s="146" t="n">
        <v>181423</v>
      </c>
      <c r="I448" s="147" t="inlineStr">
        <is>
          <t>냉천개발㈜(윤상락)</t>
        </is>
      </c>
      <c r="J448" s="148" t="n"/>
      <c r="K448" s="148" t="n"/>
      <c r="L448" s="148" t="n"/>
      <c r="M448" s="148" t="n"/>
      <c r="N448" s="148" t="n"/>
      <c r="O448" s="148" t="n"/>
      <c r="P448" s="141" t="n"/>
      <c r="Q448" s="149" t="n"/>
      <c r="R448" s="148" t="n"/>
      <c r="S448" s="150" t="inlineStr">
        <is>
          <t>🔲 데이터수집예정</t>
        </is>
      </c>
      <c r="T448" s="147" t="n"/>
      <c r="W448" s="151" t="n"/>
    </row>
    <row r="449" ht="18" customHeight="1" s="97">
      <c r="A449" s="101" t="n">
        <v>447</v>
      </c>
      <c r="B449" s="102" t="inlineStr">
        <is>
          <t>대구</t>
        </is>
      </c>
      <c r="C449" s="123" t="inlineStr">
        <is>
          <t>팔공컨트리클럽</t>
        </is>
      </c>
      <c r="D449" s="115" t="inlineStr">
        <is>
          <t>회원제</t>
        </is>
      </c>
      <c r="E449" s="105" t="inlineStr">
        <is>
          <t>대구광역시 동구 팔공산로 237길 186</t>
        </is>
      </c>
      <c r="F449" s="101" t="n">
        <v>18</v>
      </c>
      <c r="G449" s="101">
        <f>F449*4</f>
        <v/>
      </c>
      <c r="H449" s="106" t="n">
        <v>769047</v>
      </c>
      <c r="I449" s="107" t="inlineStr">
        <is>
          <t>우경개발㈜(정찬우)</t>
        </is>
      </c>
      <c r="J449" s="108" t="n"/>
      <c r="K449" s="108" t="n"/>
      <c r="L449" s="108" t="n"/>
      <c r="M449" s="108" t="n"/>
      <c r="N449" s="108" t="n"/>
      <c r="O449" s="108" t="n"/>
      <c r="P449" s="101" t="n"/>
      <c r="Q449" s="109" t="n"/>
      <c r="R449" s="108" t="n"/>
      <c r="S449" s="110" t="inlineStr">
        <is>
          <t>🔲 데이터수집예정</t>
        </is>
      </c>
      <c r="T449" s="136" t="inlineStr">
        <is>
          <t>https://www.palgongcc.co.kr/</t>
        </is>
      </c>
      <c r="U449" s="96" t="n">
        <v>1984</v>
      </c>
      <c r="V449" s="96" t="inlineStr">
        <is>
          <t>053-984-2001</t>
        </is>
      </c>
      <c r="W449" s="125" t="n"/>
    </row>
    <row r="450" ht="18" customHeight="1" s="97">
      <c r="A450" s="141" t="n">
        <v>448</v>
      </c>
      <c r="B450" s="142" t="inlineStr">
        <is>
          <t>울산</t>
        </is>
      </c>
      <c r="C450" s="143" t="inlineStr">
        <is>
          <t>더골프골프장</t>
        </is>
      </c>
      <c r="D450" s="144" t="inlineStr">
        <is>
          <t>대중제</t>
        </is>
      </c>
      <c r="E450" s="145" t="inlineStr">
        <is>
          <t>울주군 서생면 용연길 206-52</t>
        </is>
      </c>
      <c r="F450" s="141" t="n">
        <v>18</v>
      </c>
      <c r="G450" s="141">
        <f>F450*4</f>
        <v/>
      </c>
      <c r="H450" s="146" t="n">
        <v>806584</v>
      </c>
      <c r="I450" s="147" t="inlineStr">
        <is>
          <t>고암개발(노승현)</t>
        </is>
      </c>
      <c r="J450" s="148" t="n"/>
      <c r="K450" s="148" t="n"/>
      <c r="L450" s="148" t="n"/>
      <c r="M450" s="148" t="n"/>
      <c r="N450" s="148" t="n"/>
      <c r="O450" s="148" t="n"/>
      <c r="P450" s="141" t="n"/>
      <c r="Q450" s="149" t="n"/>
      <c r="R450" s="148" t="n"/>
      <c r="S450" s="150" t="inlineStr">
        <is>
          <t>🔲 데이터수집예정</t>
        </is>
      </c>
      <c r="T450" s="147" t="n"/>
      <c r="W450" s="151" t="n"/>
    </row>
    <row r="451" ht="18" customHeight="1" s="97">
      <c r="A451" s="101" t="n">
        <v>449</v>
      </c>
      <c r="B451" s="102" t="inlineStr">
        <is>
          <t>울산</t>
        </is>
      </c>
      <c r="C451" s="123" t="inlineStr">
        <is>
          <t>베이스타즈CC</t>
        </is>
      </c>
      <c r="D451" s="104" t="inlineStr">
        <is>
          <t>대중제</t>
        </is>
      </c>
      <c r="E451" s="105" t="inlineStr">
        <is>
          <t>북구 어물동 산43-2 일원</t>
        </is>
      </c>
      <c r="F451" s="101" t="n">
        <v>18</v>
      </c>
      <c r="G451" s="101">
        <f>F451*4</f>
        <v/>
      </c>
      <c r="H451" s="106" t="n">
        <v>730509</v>
      </c>
      <c r="I451" s="107" t="inlineStr">
        <is>
          <t>새정스타즈(정상헌)</t>
        </is>
      </c>
      <c r="J451" s="108" t="n"/>
      <c r="K451" s="108" t="n"/>
      <c r="L451" s="108" t="n"/>
      <c r="M451" s="108" t="n"/>
      <c r="N451" s="108" t="n"/>
      <c r="O451" s="108" t="n"/>
      <c r="P451" s="101" t="n"/>
      <c r="Q451" s="109" t="n"/>
      <c r="R451" s="108" t="n"/>
      <c r="S451" s="110" t="inlineStr">
        <is>
          <t>🔲 데이터수집예정</t>
        </is>
      </c>
      <c r="T451" s="136" t="n"/>
      <c r="W451" s="111" t="n"/>
    </row>
    <row r="452" ht="18" customHeight="1" s="97">
      <c r="A452" s="112" t="n">
        <v>450</v>
      </c>
      <c r="B452" s="113" t="inlineStr">
        <is>
          <t>울산</t>
        </is>
      </c>
      <c r="C452" s="122" t="inlineStr">
        <is>
          <t>보라골프장</t>
        </is>
      </c>
      <c r="D452" s="115" t="inlineStr">
        <is>
          <t>회원제</t>
        </is>
      </c>
      <c r="E452" s="116" t="inlineStr">
        <is>
          <t>울주군 삼동면 삼동로 404</t>
        </is>
      </c>
      <c r="F452" s="112" t="n">
        <v>27</v>
      </c>
      <c r="G452" s="112">
        <f>F452*4</f>
        <v/>
      </c>
      <c r="H452" s="117" t="n">
        <v>1425800</v>
      </c>
      <c r="I452" s="118" t="inlineStr">
        <is>
          <t>반도개발(안영호)</t>
        </is>
      </c>
      <c r="J452" s="108" t="n"/>
      <c r="K452" s="108" t="n"/>
      <c r="L452" s="108" t="n"/>
      <c r="M452" s="108" t="n"/>
      <c r="N452" s="108" t="n"/>
      <c r="O452" s="108" t="n"/>
      <c r="P452" s="112" t="n"/>
      <c r="Q452" s="119" t="n"/>
      <c r="R452" s="108" t="n"/>
      <c r="S452" s="110" t="inlineStr">
        <is>
          <t>🔲 데이터수집예정</t>
        </is>
      </c>
      <c r="T452" s="126" t="n"/>
      <c r="W452" s="121" t="n"/>
    </row>
    <row r="453" ht="18" customHeight="1" s="97">
      <c r="A453" s="101" t="n">
        <v>451</v>
      </c>
      <c r="B453" s="102" t="inlineStr">
        <is>
          <t>울산</t>
        </is>
      </c>
      <c r="C453" s="123" t="inlineStr">
        <is>
          <t>삼남골프장</t>
        </is>
      </c>
      <c r="D453" s="104" t="inlineStr">
        <is>
          <t>대중제</t>
        </is>
      </c>
      <c r="E453" s="105" t="inlineStr">
        <is>
          <t>울주군 삼남면 방기가천로 179</t>
        </is>
      </c>
      <c r="F453" s="101" t="n">
        <v>9</v>
      </c>
      <c r="G453" s="101">
        <f>F453*4</f>
        <v/>
      </c>
      <c r="H453" s="106" t="n">
        <v>247991</v>
      </c>
      <c r="I453" s="107" t="inlineStr">
        <is>
          <t>삼남(김혜숙)</t>
        </is>
      </c>
      <c r="J453" s="108" t="n"/>
      <c r="K453" s="108" t="n"/>
      <c r="L453" s="108" t="n"/>
      <c r="M453" s="108" t="n"/>
      <c r="N453" s="108" t="n"/>
      <c r="O453" s="108" t="n"/>
      <c r="P453" s="101" t="n"/>
      <c r="Q453" s="109" t="n"/>
      <c r="R453" s="108" t="n"/>
      <c r="S453" s="110" t="inlineStr">
        <is>
          <t>🔲 데이터수집예정</t>
        </is>
      </c>
      <c r="T453" s="136" t="n"/>
      <c r="W453" s="111" t="n"/>
    </row>
    <row r="454" ht="18" customHeight="1" s="97">
      <c r="A454" s="112" t="n">
        <v>452</v>
      </c>
      <c r="B454" s="113" t="inlineStr">
        <is>
          <t>울산</t>
        </is>
      </c>
      <c r="C454" s="122" t="inlineStr">
        <is>
          <t>울산골프장</t>
        </is>
      </c>
      <c r="D454" s="115" t="inlineStr">
        <is>
          <t>회원제</t>
        </is>
      </c>
      <c r="E454" s="116" t="inlineStr">
        <is>
          <t>울주군 웅촌면 웅촌로 1</t>
        </is>
      </c>
      <c r="F454" s="112" t="n">
        <v>27</v>
      </c>
      <c r="G454" s="112">
        <f>F454*4</f>
        <v/>
      </c>
      <c r="H454" s="117" t="n">
        <v>1428262</v>
      </c>
      <c r="I454" s="118" t="inlineStr">
        <is>
          <t>울산개발(김석환)</t>
        </is>
      </c>
      <c r="J454" s="108" t="n"/>
      <c r="K454" s="108" t="n"/>
      <c r="L454" s="108" t="n"/>
      <c r="M454" s="108" t="n"/>
      <c r="N454" s="108" t="n"/>
      <c r="O454" s="108" t="n"/>
      <c r="P454" s="112" t="n"/>
      <c r="Q454" s="119" t="n"/>
      <c r="R454" s="108" t="n"/>
      <c r="S454" s="110" t="inlineStr">
        <is>
          <t>🔲 데이터수집예정</t>
        </is>
      </c>
      <c r="T454" s="126" t="n"/>
      <c r="W454" s="121" t="n"/>
    </row>
    <row r="455" ht="18" customHeight="1" s="97">
      <c r="A455" s="152" t="n">
        <v>453</v>
      </c>
      <c r="B455" s="153" t="inlineStr">
        <is>
          <t>제주</t>
        </is>
      </c>
      <c r="C455" s="154" t="inlineStr">
        <is>
          <t>sk핀크스골프장</t>
        </is>
      </c>
      <c r="D455" s="161" t="inlineStr">
        <is>
          <t>회원제</t>
        </is>
      </c>
      <c r="E455" s="155" t="inlineStr">
        <is>
          <t>서귀포시 안덕면 산록남로 863</t>
        </is>
      </c>
      <c r="F455" s="152" t="n">
        <v>18</v>
      </c>
      <c r="G455" s="152">
        <f>F455*4</f>
        <v/>
      </c>
      <c r="H455" s="156" t="n">
        <v>874521</v>
      </c>
      <c r="I455" s="174" t="inlineStr">
        <is>
          <t>SK 핀크스㈜ / 강석현</t>
        </is>
      </c>
      <c r="J455" s="148" t="n"/>
      <c r="K455" s="148" t="n"/>
      <c r="L455" s="148" t="n"/>
      <c r="M455" s="148" t="n"/>
      <c r="N455" s="148" t="n"/>
      <c r="O455" s="148" t="n"/>
      <c r="P455" s="152" t="n"/>
      <c r="Q455" s="158" t="n"/>
      <c r="R455" s="148" t="n"/>
      <c r="S455" s="150" t="inlineStr">
        <is>
          <t>🔲 데이터수집예정</t>
        </is>
      </c>
      <c r="T455" s="174" t="inlineStr">
        <is>
          <t>https://www.thepinx.co.kr/</t>
        </is>
      </c>
      <c r="U455" s="96" t="n">
        <v>1999</v>
      </c>
      <c r="V455" s="96" t="inlineStr">
        <is>
          <t>064-792-8000</t>
        </is>
      </c>
      <c r="W455" s="166" t="n"/>
    </row>
    <row r="456" ht="18" customHeight="1" s="97">
      <c r="A456" s="112" t="n">
        <v>454</v>
      </c>
      <c r="B456" s="113" t="inlineStr">
        <is>
          <t>제주</t>
        </is>
      </c>
      <c r="C456" s="122" t="inlineStr">
        <is>
          <t>㈜부영CC</t>
        </is>
      </c>
      <c r="D456" s="104" t="inlineStr">
        <is>
          <t>대중제</t>
        </is>
      </c>
      <c r="E456" s="116" t="inlineStr">
        <is>
          <t>서귀포시 남원읍 남조로 960</t>
        </is>
      </c>
      <c r="F456" s="112" t="n">
        <v>27</v>
      </c>
      <c r="G456" s="112">
        <f>F456*4</f>
        <v/>
      </c>
      <c r="H456" s="117" t="n">
        <v>993803</v>
      </c>
      <c r="I456" s="126" t="inlineStr">
        <is>
          <t>(주)부영CC / 정동진</t>
        </is>
      </c>
      <c r="J456" s="108" t="n"/>
      <c r="K456" s="108" t="n"/>
      <c r="L456" s="108" t="n"/>
      <c r="M456" s="108" t="n"/>
      <c r="N456" s="108" t="n"/>
      <c r="O456" s="108" t="n"/>
      <c r="P456" s="112" t="n"/>
      <c r="Q456" s="119" t="n"/>
      <c r="R456" s="108" t="n"/>
      <c r="S456" s="110" t="inlineStr">
        <is>
          <t>🔲 데이터수집예정</t>
        </is>
      </c>
      <c r="T456" s="126" t="n"/>
      <c r="W456" s="121" t="n"/>
    </row>
    <row r="457" ht="18" customHeight="1" s="97">
      <c r="A457" s="101" t="n">
        <v>455</v>
      </c>
      <c r="B457" s="102" t="inlineStr">
        <is>
          <t>제주</t>
        </is>
      </c>
      <c r="C457" s="123" t="inlineStr">
        <is>
          <t>㈜우리들리조트 제주</t>
        </is>
      </c>
      <c r="D457" s="104" t="inlineStr">
        <is>
          <t>대중제</t>
        </is>
      </c>
      <c r="E457" s="105" t="inlineStr">
        <is>
          <t>제주특별자치도 서귀포시 산록남로 2914</t>
        </is>
      </c>
      <c r="F457" s="101" t="n">
        <v>18</v>
      </c>
      <c r="G457" s="101">
        <f>F457*4</f>
        <v/>
      </c>
      <c r="H457" s="106" t="n">
        <v>1086689</v>
      </c>
      <c r="I457" s="136" t="inlineStr">
        <is>
          <t>(주)우리들리조트제주 / 이승렬</t>
        </is>
      </c>
      <c r="J457" s="108" t="n"/>
      <c r="K457" s="108" t="n"/>
      <c r="L457" s="108" t="n"/>
      <c r="M457" s="108" t="n"/>
      <c r="N457" s="108" t="n"/>
      <c r="O457" s="108" t="n"/>
      <c r="P457" s="101" t="n"/>
      <c r="Q457" s="109" t="n"/>
      <c r="R457" s="108" t="n"/>
      <c r="S457" s="110" t="inlineStr">
        <is>
          <t>🔲 데이터수집예정</t>
        </is>
      </c>
      <c r="T457" s="136" t="n"/>
      <c r="W457" s="111" t="n"/>
    </row>
    <row r="458" ht="18" customHeight="1" s="97">
      <c r="A458" s="112" t="n">
        <v>456</v>
      </c>
      <c r="B458" s="113" t="inlineStr">
        <is>
          <t>제주</t>
        </is>
      </c>
      <c r="C458" s="122" t="inlineStr">
        <is>
          <t>㈜호텔롯데스카이힐제주CC</t>
        </is>
      </c>
      <c r="D458" s="115" t="inlineStr">
        <is>
          <t>회원제</t>
        </is>
      </c>
      <c r="E458" s="116" t="inlineStr">
        <is>
          <t>서귀포시 상예로 530</t>
        </is>
      </c>
      <c r="F458" s="112" t="n">
        <v>18</v>
      </c>
      <c r="G458" s="112">
        <f>F458*4</f>
        <v/>
      </c>
      <c r="H458" s="117" t="n">
        <v>945053</v>
      </c>
      <c r="I458" s="126" t="inlineStr">
        <is>
          <t>(주)호텔롯데 / 김정환</t>
        </is>
      </c>
      <c r="J458" s="108" t="n"/>
      <c r="K458" s="108" t="n"/>
      <c r="L458" s="108" t="n"/>
      <c r="M458" s="108" t="n"/>
      <c r="N458" s="108" t="n"/>
      <c r="O458" s="108" t="n"/>
      <c r="P458" s="112" t="n"/>
      <c r="Q458" s="119" t="n"/>
      <c r="R458" s="108" t="n"/>
      <c r="S458" s="110" t="inlineStr">
        <is>
          <t>🔲 데이터수집예정</t>
        </is>
      </c>
      <c r="T458" s="126" t="n"/>
      <c r="W458" s="121" t="n"/>
    </row>
    <row r="459" ht="18" customHeight="1" s="97">
      <c r="A459" s="101" t="n">
        <v>457</v>
      </c>
      <c r="B459" s="102" t="inlineStr">
        <is>
          <t>제주</t>
        </is>
      </c>
      <c r="C459" s="123" t="inlineStr">
        <is>
          <t>골프존카운티오라</t>
        </is>
      </c>
      <c r="D459" s="115" t="inlineStr">
        <is>
          <t>회원제</t>
        </is>
      </c>
      <c r="E459" s="105" t="inlineStr">
        <is>
          <t>제주도 제주시 오라남로 130-16(오라이동)</t>
        </is>
      </c>
      <c r="F459" s="101" t="n">
        <v>18</v>
      </c>
      <c r="G459" s="101">
        <f>F459*4</f>
        <v/>
      </c>
      <c r="H459" s="106" t="n">
        <v>1107441</v>
      </c>
      <c r="I459" s="107" t="inlineStr">
        <is>
          <t>글래드호텔앤리조트㈜ / 양경홍㈜ 골프존카운티 / 서상현</t>
        </is>
      </c>
      <c r="J459" s="108" t="n"/>
      <c r="K459" s="108" t="n"/>
      <c r="L459" s="108" t="n"/>
      <c r="M459" s="108" t="n"/>
      <c r="N459" s="108" t="n"/>
      <c r="O459" s="108" t="n"/>
      <c r="P459" s="101" t="n"/>
      <c r="Q459" s="109" t="n"/>
      <c r="R459" s="108" t="n"/>
      <c r="S459" s="110" t="inlineStr">
        <is>
          <t>🔲 데이터수집예정</t>
        </is>
      </c>
      <c r="T459" s="136" t="n"/>
      <c r="W459" s="111" t="n"/>
    </row>
    <row r="460" ht="18" customHeight="1" s="97">
      <c r="A460" s="112" t="n">
        <v>458</v>
      </c>
      <c r="B460" s="113" t="inlineStr">
        <is>
          <t>제주</t>
        </is>
      </c>
      <c r="C460" s="122" t="inlineStr">
        <is>
          <t>그린필드골프장</t>
        </is>
      </c>
      <c r="D460" s="115" t="inlineStr">
        <is>
          <t>회원제</t>
        </is>
      </c>
      <c r="E460" s="116" t="inlineStr">
        <is>
          <t>제주시 조천읍 번영로1040-70</t>
        </is>
      </c>
      <c r="F460" s="112" t="n">
        <v>18</v>
      </c>
      <c r="G460" s="112">
        <f>F460*4</f>
        <v/>
      </c>
      <c r="H460" s="117" t="n">
        <v>959076</v>
      </c>
      <c r="I460" s="118" t="inlineStr">
        <is>
          <t>㈜형삼문 / 신지호</t>
        </is>
      </c>
      <c r="J460" s="108" t="n"/>
      <c r="K460" s="108" t="n"/>
      <c r="L460" s="108" t="n"/>
      <c r="M460" s="108" t="n"/>
      <c r="N460" s="108" t="n"/>
      <c r="O460" s="108" t="n"/>
      <c r="P460" s="112" t="n"/>
      <c r="Q460" s="119" t="n"/>
      <c r="R460" s="108" t="n"/>
      <c r="S460" s="110" t="inlineStr">
        <is>
          <t>🔲 데이터수집예정</t>
        </is>
      </c>
      <c r="T460" s="126" t="n"/>
      <c r="W460" s="121" t="n"/>
    </row>
    <row r="461" ht="18" customHeight="1" s="97">
      <c r="A461" s="101" t="n">
        <v>459</v>
      </c>
      <c r="B461" s="102" t="inlineStr">
        <is>
          <t>제주</t>
        </is>
      </c>
      <c r="C461" s="123" t="inlineStr">
        <is>
          <t>더클래식CC</t>
        </is>
      </c>
      <c r="D461" s="104" t="inlineStr">
        <is>
          <t>대중제</t>
        </is>
      </c>
      <c r="E461" s="105" t="inlineStr">
        <is>
          <t>서귀포시 남조로 1105</t>
        </is>
      </c>
      <c r="F461" s="101" t="n">
        <v>18</v>
      </c>
      <c r="G461" s="101">
        <f>F461*4</f>
        <v/>
      </c>
      <c r="H461" s="106" t="n">
        <v>726587</v>
      </c>
      <c r="I461" s="107" t="inlineStr">
        <is>
          <t>㈜더클래식CC / 이중근, 이용곤</t>
        </is>
      </c>
      <c r="J461" s="108" t="n"/>
      <c r="K461" s="108" t="n"/>
      <c r="L461" s="108" t="n"/>
      <c r="M461" s="108" t="n"/>
      <c r="N461" s="108" t="n"/>
      <c r="O461" s="108" t="n"/>
      <c r="P461" s="101" t="n"/>
      <c r="Q461" s="109" t="n"/>
      <c r="R461" s="108" t="n"/>
      <c r="S461" s="110" t="inlineStr">
        <is>
          <t>🔲 데이터수집예정</t>
        </is>
      </c>
      <c r="T461" s="136" t="n"/>
      <c r="W461" s="111" t="n"/>
    </row>
    <row r="462" ht="18" customHeight="1" s="97">
      <c r="A462" s="112" t="n">
        <v>460</v>
      </c>
      <c r="B462" s="113" t="inlineStr">
        <is>
          <t>제주</t>
        </is>
      </c>
      <c r="C462" s="122" t="inlineStr">
        <is>
          <t>라온골프클럽</t>
        </is>
      </c>
      <c r="D462" s="104" t="inlineStr">
        <is>
          <t>대중제</t>
        </is>
      </c>
      <c r="E462" s="116" t="inlineStr">
        <is>
          <t>제주도 제주시 한경면 용금로 998</t>
        </is>
      </c>
      <c r="F462" s="112" t="n">
        <v>27</v>
      </c>
      <c r="G462" s="112">
        <f>F462*4</f>
        <v/>
      </c>
      <c r="H462" s="117" t="n">
        <v>1292392</v>
      </c>
      <c r="I462" s="118" t="inlineStr">
        <is>
          <t>라온레저개발㈜ / 손광섭</t>
        </is>
      </c>
      <c r="J462" s="108" t="n"/>
      <c r="K462" s="108" t="n"/>
      <c r="L462" s="108" t="n"/>
      <c r="M462" s="108" t="n"/>
      <c r="N462" s="108" t="n"/>
      <c r="O462" s="108" t="n"/>
      <c r="P462" s="112" t="n"/>
      <c r="Q462" s="119" t="n"/>
      <c r="R462" s="108" t="n"/>
      <c r="S462" s="110" t="inlineStr">
        <is>
          <t>🔲 데이터수집예정</t>
        </is>
      </c>
      <c r="T462" s="126" t="inlineStr">
        <is>
          <t>https://www.raon.co.kr/</t>
        </is>
      </c>
      <c r="U462" s="96" t="n">
        <v>2009</v>
      </c>
      <c r="V462" s="96" t="inlineStr">
        <is>
          <t>064-793-8000</t>
        </is>
      </c>
      <c r="W462" s="121" t="n"/>
    </row>
    <row r="463" ht="18" customHeight="1" s="97">
      <c r="A463" s="101" t="n">
        <v>461</v>
      </c>
      <c r="B463" s="102" t="inlineStr">
        <is>
          <t>제주</t>
        </is>
      </c>
      <c r="C463" s="123" t="inlineStr">
        <is>
          <t>라헨느</t>
        </is>
      </c>
      <c r="D463" s="115" t="inlineStr">
        <is>
          <t>회원제</t>
        </is>
      </c>
      <c r="E463" s="105" t="inlineStr">
        <is>
          <t>제주시 명림로 375</t>
        </is>
      </c>
      <c r="F463" s="101" t="n">
        <v>18</v>
      </c>
      <c r="G463" s="101">
        <f>F463*4</f>
        <v/>
      </c>
      <c r="H463" s="106" t="n">
        <v>807383</v>
      </c>
      <c r="I463" s="107" t="inlineStr">
        <is>
          <t>라헨느리조트㈜ / 강창원, 박준영</t>
        </is>
      </c>
      <c r="J463" s="108" t="n"/>
      <c r="K463" s="108" t="n"/>
      <c r="L463" s="108" t="n"/>
      <c r="M463" s="108" t="n"/>
      <c r="N463" s="108" t="n"/>
      <c r="O463" s="108" t="n"/>
      <c r="P463" s="101" t="n"/>
      <c r="Q463" s="109" t="n"/>
      <c r="R463" s="108" t="n"/>
      <c r="S463" s="110" t="inlineStr">
        <is>
          <t>🔲 데이터수집예정</t>
        </is>
      </c>
      <c r="T463" s="136" t="n"/>
      <c r="W463" s="111" t="n"/>
    </row>
    <row r="464" ht="18" customHeight="1" s="97">
      <c r="A464" s="112" t="n">
        <v>462</v>
      </c>
      <c r="B464" s="113" t="inlineStr">
        <is>
          <t>제주</t>
        </is>
      </c>
      <c r="C464" s="122" t="inlineStr">
        <is>
          <t>레이크힐스</t>
        </is>
      </c>
      <c r="D464" s="115" t="inlineStr">
        <is>
          <t>회원제</t>
        </is>
      </c>
      <c r="E464" s="116" t="inlineStr">
        <is>
          <t>제주특별자치도 서귀포시 중문동 산5</t>
        </is>
      </c>
      <c r="F464" s="112" t="n">
        <v>27</v>
      </c>
      <c r="G464" s="112">
        <f>F464*4</f>
        <v/>
      </c>
      <c r="H464" s="117" t="n">
        <v>1168124</v>
      </c>
      <c r="I464" s="126" t="inlineStr">
        <is>
          <t>(주)레이크힐스 / 윤진섭, 정교진</t>
        </is>
      </c>
      <c r="J464" s="108" t="n"/>
      <c r="K464" s="108" t="n"/>
      <c r="L464" s="108" t="n"/>
      <c r="M464" s="108" t="n"/>
      <c r="N464" s="108" t="n"/>
      <c r="O464" s="108" t="n"/>
      <c r="P464" s="112" t="n"/>
      <c r="Q464" s="119" t="n"/>
      <c r="R464" s="108" t="n"/>
      <c r="S464" s="110" t="inlineStr">
        <is>
          <t>🔲 데이터수집예정</t>
        </is>
      </c>
      <c r="T464" s="126" t="inlineStr">
        <is>
          <t>https://www.lakehills.co.kr/</t>
        </is>
      </c>
      <c r="U464" s="96" t="n">
        <v>2005</v>
      </c>
      <c r="V464" s="96" t="inlineStr">
        <is>
          <t>031-321-0800</t>
        </is>
      </c>
      <c r="W464" s="121" t="n"/>
    </row>
    <row r="465" ht="18" customHeight="1" s="97">
      <c r="A465" s="101" t="n">
        <v>463</v>
      </c>
      <c r="B465" s="102" t="inlineStr">
        <is>
          <t>제주</t>
        </is>
      </c>
      <c r="C465" s="123" t="inlineStr">
        <is>
          <t>블랙스톤리조트</t>
        </is>
      </c>
      <c r="D465" s="115" t="inlineStr">
        <is>
          <t>회원제</t>
        </is>
      </c>
      <c r="E465" s="105" t="inlineStr">
        <is>
          <t>제주시 한림읍 한창로 925-122</t>
        </is>
      </c>
      <c r="F465" s="101" t="n">
        <v>18</v>
      </c>
      <c r="G465" s="101">
        <f>F465*4</f>
        <v/>
      </c>
      <c r="H465" s="106" t="n">
        <v>1021348</v>
      </c>
      <c r="I465" s="136" t="inlineStr">
        <is>
          <t>(주)블랙스톤리조트 / 원기룡</t>
        </is>
      </c>
      <c r="J465" s="108" t="n"/>
      <c r="K465" s="108" t="n"/>
      <c r="L465" s="108" t="n"/>
      <c r="M465" s="108" t="n"/>
      <c r="N465" s="108" t="n"/>
      <c r="O465" s="108" t="n"/>
      <c r="P465" s="101" t="n"/>
      <c r="Q465" s="109" t="n"/>
      <c r="R465" s="108" t="n"/>
      <c r="S465" s="110" t="inlineStr">
        <is>
          <t>🔲 데이터수집예정</t>
        </is>
      </c>
      <c r="T465" s="136" t="inlineStr">
        <is>
          <t>https://www.blackstoneresort.com/jj/</t>
        </is>
      </c>
      <c r="U465" s="96" t="n">
        <v>2010</v>
      </c>
      <c r="V465" s="96" t="inlineStr">
        <is>
          <t>064-793-8000</t>
        </is>
      </c>
      <c r="W465" s="125" t="n"/>
    </row>
    <row r="466" ht="18" customHeight="1" s="97">
      <c r="A466" s="112" t="n">
        <v>464</v>
      </c>
      <c r="B466" s="113" t="inlineStr">
        <is>
          <t>제주</t>
        </is>
      </c>
      <c r="C466" s="122" t="inlineStr">
        <is>
          <t>사이프러스</t>
        </is>
      </c>
      <c r="D466" s="115" t="inlineStr">
        <is>
          <t>회원제</t>
        </is>
      </c>
      <c r="E466" s="116" t="inlineStr">
        <is>
          <t>서귀포시 표선면 번영로 2300</t>
        </is>
      </c>
      <c r="F466" s="112" t="n">
        <v>18</v>
      </c>
      <c r="G466" s="112">
        <f>F466*4</f>
        <v/>
      </c>
      <c r="H466" s="117" t="n">
        <v>889445</v>
      </c>
      <c r="I466" s="118" t="inlineStr">
        <is>
          <t>남영산업㈜ / 김헌국</t>
        </is>
      </c>
      <c r="J466" s="108" t="n"/>
      <c r="K466" s="108" t="n"/>
      <c r="L466" s="108" t="n"/>
      <c r="M466" s="108" t="n"/>
      <c r="N466" s="108" t="n"/>
      <c r="O466" s="108" t="n"/>
      <c r="P466" s="112" t="n"/>
      <c r="Q466" s="119" t="n"/>
      <c r="R466" s="108" t="n"/>
      <c r="S466" s="110" t="inlineStr">
        <is>
          <t>🔲 데이터수집예정</t>
        </is>
      </c>
      <c r="T466" s="126" t="inlineStr">
        <is>
          <t>https://www.cypressjeju.com/</t>
        </is>
      </c>
      <c r="U466" s="96" t="n">
        <v>2004</v>
      </c>
      <c r="V466" s="96" t="inlineStr">
        <is>
          <t>064-793-8000</t>
        </is>
      </c>
      <c r="W466" s="121" t="n"/>
    </row>
    <row r="467" ht="18" customHeight="1" s="97">
      <c r="A467" s="101" t="n">
        <v>465</v>
      </c>
      <c r="B467" s="102" t="inlineStr">
        <is>
          <t>제주</t>
        </is>
      </c>
      <c r="C467" s="123" t="inlineStr">
        <is>
          <t>샤인빌파크C.C.</t>
        </is>
      </c>
      <c r="D467" s="104" t="inlineStr">
        <is>
          <t>대중제</t>
        </is>
      </c>
      <c r="E467" s="105" t="inlineStr">
        <is>
          <t>서귀포시 표선면 가시로 384</t>
        </is>
      </c>
      <c r="F467" s="101" t="n">
        <v>18</v>
      </c>
      <c r="G467" s="101">
        <f>F467*4</f>
        <v/>
      </c>
      <c r="H467" s="106" t="n">
        <v>623360</v>
      </c>
      <c r="I467" s="136" t="inlineStr">
        <is>
          <t>(주)록 / 박찬수</t>
        </is>
      </c>
      <c r="J467" s="108" t="n"/>
      <c r="K467" s="108" t="n"/>
      <c r="L467" s="108" t="n"/>
      <c r="M467" s="108" t="n"/>
      <c r="N467" s="108" t="n"/>
      <c r="O467" s="108" t="n"/>
      <c r="P467" s="101" t="n"/>
      <c r="Q467" s="109" t="n"/>
      <c r="R467" s="108" t="n"/>
      <c r="S467" s="110" t="inlineStr">
        <is>
          <t>🔲 데이터수집예정</t>
        </is>
      </c>
      <c r="T467" s="136" t="n"/>
      <c r="W467" s="111" t="n"/>
    </row>
    <row r="468" ht="18" customHeight="1" s="97">
      <c r="A468" s="112" t="n">
        <v>466</v>
      </c>
      <c r="B468" s="113" t="inlineStr">
        <is>
          <t>제주</t>
        </is>
      </c>
      <c r="C468" s="122" t="inlineStr">
        <is>
          <t>세인트포CC</t>
        </is>
      </c>
      <c r="D468" s="115" t="inlineStr">
        <is>
          <t>회원제</t>
        </is>
      </c>
      <c r="E468" s="116" t="inlineStr">
        <is>
          <t>제주시 구좌읍 선유로 445-55</t>
        </is>
      </c>
      <c r="F468" s="112" t="n">
        <v>27</v>
      </c>
      <c r="G468" s="112">
        <f>F468*4</f>
        <v/>
      </c>
      <c r="H468" s="117" t="n">
        <v>1360438</v>
      </c>
      <c r="I468" s="118" t="inlineStr">
        <is>
          <t>㈜제이제이한라 대표이사 남규환</t>
        </is>
      </c>
      <c r="J468" s="108" t="n"/>
      <c r="K468" s="108" t="n"/>
      <c r="L468" s="108" t="n"/>
      <c r="M468" s="108" t="n"/>
      <c r="N468" s="108" t="n"/>
      <c r="O468" s="108" t="n"/>
      <c r="P468" s="112" t="n"/>
      <c r="Q468" s="119" t="n"/>
      <c r="R468" s="108" t="n"/>
      <c r="S468" s="110" t="inlineStr">
        <is>
          <t>🔲 데이터수집예정</t>
        </is>
      </c>
      <c r="T468" s="126" t="inlineStr">
        <is>
          <t>https://saintfour.co.kr/</t>
        </is>
      </c>
      <c r="U468" s="96" t="n">
        <v>2005</v>
      </c>
      <c r="V468" s="96" t="inlineStr">
        <is>
          <t>064-780-0114</t>
        </is>
      </c>
      <c r="W468" s="121" t="n"/>
    </row>
    <row r="469" ht="18" customHeight="1" s="97">
      <c r="A469" s="101" t="n">
        <v>467</v>
      </c>
      <c r="B469" s="102" t="inlineStr">
        <is>
          <t>제주</t>
        </is>
      </c>
      <c r="C469" s="123" t="inlineStr">
        <is>
          <t>스프링데일</t>
        </is>
      </c>
      <c r="D469" s="104" t="inlineStr">
        <is>
          <t>대중제</t>
        </is>
      </c>
      <c r="E469" s="105" t="inlineStr">
        <is>
          <t>서귀포시 서성로 459</t>
        </is>
      </c>
      <c r="F469" s="101" t="n">
        <v>18</v>
      </c>
      <c r="G469" s="101">
        <f>F469*4</f>
        <v/>
      </c>
      <c r="H469" s="106" t="n">
        <v>761919</v>
      </c>
      <c r="I469" s="107" t="inlineStr">
        <is>
          <t>㈜동국개발 / 강국창</t>
        </is>
      </c>
      <c r="J469" s="108" t="n"/>
      <c r="K469" s="108" t="n"/>
      <c r="L469" s="108" t="n"/>
      <c r="M469" s="108" t="n"/>
      <c r="N469" s="108" t="n"/>
      <c r="O469" s="108" t="n"/>
      <c r="P469" s="101" t="n"/>
      <c r="Q469" s="109" t="n"/>
      <c r="R469" s="108" t="n"/>
      <c r="S469" s="110" t="inlineStr">
        <is>
          <t>🔲 데이터수집예정</t>
        </is>
      </c>
      <c r="T469" s="136" t="n"/>
      <c r="W469" s="111" t="n"/>
    </row>
    <row r="470" ht="18" customHeight="1" s="97">
      <c r="A470" s="112" t="n">
        <v>468</v>
      </c>
      <c r="B470" s="113" t="inlineStr">
        <is>
          <t>제주</t>
        </is>
      </c>
      <c r="C470" s="122" t="inlineStr">
        <is>
          <t>아덴힐</t>
        </is>
      </c>
      <c r="D470" s="104" t="inlineStr">
        <is>
          <t>대중제</t>
        </is>
      </c>
      <c r="E470" s="116" t="inlineStr">
        <is>
          <t>제주시 화전길 82</t>
        </is>
      </c>
      <c r="F470" s="112" t="n">
        <v>18</v>
      </c>
      <c r="G470" s="112">
        <f>F470*4</f>
        <v/>
      </c>
      <c r="H470" s="117" t="n">
        <v>710250</v>
      </c>
      <c r="I470" s="118" t="inlineStr">
        <is>
          <t>아덴힐리조트앤골프㈜ / 정종인</t>
        </is>
      </c>
      <c r="J470" s="108" t="n"/>
      <c r="K470" s="108" t="n"/>
      <c r="L470" s="108" t="n"/>
      <c r="M470" s="108" t="n"/>
      <c r="N470" s="108" t="n"/>
      <c r="O470" s="108" t="n"/>
      <c r="P470" s="112" t="n"/>
      <c r="Q470" s="119" t="n"/>
      <c r="R470" s="108" t="n"/>
      <c r="S470" s="110" t="inlineStr">
        <is>
          <t>🔲 데이터수집예정</t>
        </is>
      </c>
      <c r="T470" s="126" t="n"/>
      <c r="W470" s="121" t="n"/>
    </row>
    <row r="471" ht="18" customHeight="1" s="97">
      <c r="A471" s="101" t="n">
        <v>469</v>
      </c>
      <c r="B471" s="102" t="inlineStr">
        <is>
          <t>제주</t>
        </is>
      </c>
      <c r="C471" s="123" t="inlineStr">
        <is>
          <t>에버리스골프리조트</t>
        </is>
      </c>
      <c r="D471" s="115" t="inlineStr">
        <is>
          <t>회원제</t>
        </is>
      </c>
      <c r="E471" s="105" t="inlineStr">
        <is>
          <t>제주시 애월읍 평화로 1693-75</t>
        </is>
      </c>
      <c r="F471" s="101" t="n">
        <v>18</v>
      </c>
      <c r="G471" s="101">
        <f>F471*4</f>
        <v/>
      </c>
      <c r="H471" s="106" t="n">
        <v>637488</v>
      </c>
      <c r="I471" s="107" t="inlineStr">
        <is>
          <t>신안관광개발㈜ / 강승홍</t>
        </is>
      </c>
      <c r="J471" s="108" t="n"/>
      <c r="K471" s="108" t="n"/>
      <c r="L471" s="108" t="n"/>
      <c r="M471" s="108" t="n"/>
      <c r="N471" s="108" t="n"/>
      <c r="O471" s="108" t="n"/>
      <c r="P471" s="101" t="n"/>
      <c r="Q471" s="109" t="n"/>
      <c r="R471" s="108" t="n"/>
      <c r="S471" s="110" t="inlineStr">
        <is>
          <t>🔲 데이터수집예정</t>
        </is>
      </c>
      <c r="T471" s="136" t="n"/>
      <c r="W471" s="111" t="n"/>
    </row>
    <row r="472" ht="18" customHeight="1" s="97">
      <c r="A472" s="112" t="n">
        <v>470</v>
      </c>
      <c r="B472" s="113" t="inlineStr">
        <is>
          <t>제주</t>
        </is>
      </c>
      <c r="C472" s="122" t="inlineStr">
        <is>
          <t>에코랜드</t>
        </is>
      </c>
      <c r="D472" s="104" t="inlineStr">
        <is>
          <t>대중제</t>
        </is>
      </c>
      <c r="E472" s="116" t="inlineStr">
        <is>
          <t>제주시 번영로 1278-169</t>
        </is>
      </c>
      <c r="F472" s="112" t="n">
        <v>27</v>
      </c>
      <c r="G472" s="112">
        <f>F472*4</f>
        <v/>
      </c>
      <c r="H472" s="117" t="n">
        <v>1317514</v>
      </c>
      <c r="I472" s="118" t="inlineStr">
        <is>
          <t>㈜더원 / 정우석</t>
        </is>
      </c>
      <c r="J472" s="108" t="n"/>
      <c r="K472" s="108" t="n"/>
      <c r="L472" s="108" t="n"/>
      <c r="M472" s="108" t="n"/>
      <c r="N472" s="108" t="n"/>
      <c r="O472" s="108" t="n"/>
      <c r="P472" s="112" t="n"/>
      <c r="Q472" s="119" t="n"/>
      <c r="R472" s="108" t="n"/>
      <c r="S472" s="110" t="inlineStr">
        <is>
          <t>🔲 데이터수집예정</t>
        </is>
      </c>
      <c r="T472" s="126" t="inlineStr">
        <is>
          <t>https://www.ecolandjeju.co.kr/</t>
        </is>
      </c>
      <c r="U472" s="96" t="n">
        <v>2013</v>
      </c>
      <c r="V472" s="96" t="inlineStr">
        <is>
          <t>064-802-8000</t>
        </is>
      </c>
      <c r="W472" s="121" t="n"/>
    </row>
    <row r="473" ht="18" customHeight="1" s="97">
      <c r="A473" s="101" t="n">
        <v>471</v>
      </c>
      <c r="B473" s="102" t="inlineStr">
        <is>
          <t>제주</t>
        </is>
      </c>
      <c r="C473" s="123" t="inlineStr">
        <is>
          <t>엘리시안 제주cc</t>
        </is>
      </c>
      <c r="D473" s="115" t="inlineStr">
        <is>
          <t>회원제</t>
        </is>
      </c>
      <c r="E473" s="105" t="inlineStr">
        <is>
          <t>제주시 애월읍 평화로 1738-116</t>
        </is>
      </c>
      <c r="F473" s="101" t="n">
        <v>18</v>
      </c>
      <c r="G473" s="101">
        <f>F473*4</f>
        <v/>
      </c>
      <c r="H473" s="106" t="n">
        <v>804452</v>
      </c>
      <c r="I473" s="136" t="inlineStr">
        <is>
          <t>GS건설㈜ / 임병용</t>
        </is>
      </c>
      <c r="J473" s="108" t="n"/>
      <c r="K473" s="108" t="n"/>
      <c r="L473" s="108" t="n"/>
      <c r="M473" s="108" t="n"/>
      <c r="N473" s="108" t="n"/>
      <c r="O473" s="108" t="n"/>
      <c r="P473" s="101" t="n"/>
      <c r="Q473" s="109" t="n"/>
      <c r="R473" s="108" t="n"/>
      <c r="S473" s="110" t="inlineStr">
        <is>
          <t>🔲 데이터수집예정</t>
        </is>
      </c>
      <c r="T473" s="136" t="inlineStr">
        <is>
          <t>https://www.elysian.co.kr/jeju/</t>
        </is>
      </c>
      <c r="U473" s="96" t="n">
        <v>2002</v>
      </c>
      <c r="V473" s="96" t="inlineStr">
        <is>
          <t>064-798-8500</t>
        </is>
      </c>
      <c r="W473" s="125" t="n"/>
    </row>
    <row r="474" ht="18" customHeight="1" s="97">
      <c r="A474" s="112" t="n">
        <v>472</v>
      </c>
      <c r="B474" s="113" t="inlineStr">
        <is>
          <t>제주</t>
        </is>
      </c>
      <c r="C474" s="122" t="inlineStr">
        <is>
          <t>제주CC</t>
        </is>
      </c>
      <c r="D474" s="104" t="inlineStr">
        <is>
          <t>대중제</t>
        </is>
      </c>
      <c r="E474" s="116" t="inlineStr">
        <is>
          <t>제주특별자치도 제주시 516로 2695번지</t>
        </is>
      </c>
      <c r="F474" s="112" t="n">
        <v>18</v>
      </c>
      <c r="G474" s="112">
        <f>F474*4</f>
        <v/>
      </c>
      <c r="H474" s="117" t="n">
        <v>1443394</v>
      </c>
      <c r="I474" s="118" t="inlineStr">
        <is>
          <t>㈜제주컨트리구락부 / 정재훈</t>
        </is>
      </c>
      <c r="J474" s="108" t="n"/>
      <c r="K474" s="108" t="n"/>
      <c r="L474" s="108" t="n"/>
      <c r="M474" s="108" t="n"/>
      <c r="N474" s="108" t="n"/>
      <c r="O474" s="108" t="n"/>
      <c r="P474" s="112" t="n"/>
      <c r="Q474" s="119" t="n"/>
      <c r="R474" s="108" t="n"/>
      <c r="S474" s="110" t="inlineStr">
        <is>
          <t>🔲 데이터수집예정</t>
        </is>
      </c>
      <c r="T474" s="126" t="inlineStr">
        <is>
          <t>https://www.haevichi.com/ccjeju/ko/</t>
        </is>
      </c>
      <c r="U474" s="96" t="n">
        <v>2003</v>
      </c>
      <c r="V474" s="96" t="inlineStr">
        <is>
          <t>064-780-8000</t>
        </is>
      </c>
      <c r="W474" s="121" t="n"/>
    </row>
    <row r="475" ht="18" customHeight="1" s="97">
      <c r="A475" s="101" t="n">
        <v>473</v>
      </c>
      <c r="B475" s="102" t="inlineStr">
        <is>
          <t>제주</t>
        </is>
      </c>
      <c r="C475" s="123" t="inlineStr">
        <is>
          <t>제주힐CC</t>
        </is>
      </c>
      <c r="D475" s="104" t="inlineStr">
        <is>
          <t>대중제</t>
        </is>
      </c>
      <c r="E475" s="105" t="inlineStr">
        <is>
          <t>제주시 516로 2696-117</t>
        </is>
      </c>
      <c r="F475" s="101" t="n">
        <v>9</v>
      </c>
      <c r="G475" s="101">
        <f>F475*4</f>
        <v/>
      </c>
      <c r="H475" s="106" t="n">
        <v>283520</v>
      </c>
      <c r="I475" s="136" t="inlineStr">
        <is>
          <t>(주)제주힐cc / 박원석</t>
        </is>
      </c>
      <c r="J475" s="108" t="n"/>
      <c r="K475" s="108" t="n"/>
      <c r="L475" s="108" t="n"/>
      <c r="M475" s="108" t="n"/>
      <c r="N475" s="108" t="n"/>
      <c r="O475" s="108" t="n"/>
      <c r="P475" s="101" t="n"/>
      <c r="Q475" s="109" t="n"/>
      <c r="R475" s="108" t="n"/>
      <c r="S475" s="110" t="inlineStr">
        <is>
          <t>🔲 데이터수집예정</t>
        </is>
      </c>
      <c r="T475" s="136" t="n"/>
      <c r="W475" s="111" t="n"/>
    </row>
    <row r="476" ht="18" customHeight="1" s="97">
      <c r="A476" s="112" t="n">
        <v>474</v>
      </c>
      <c r="B476" s="113" t="inlineStr">
        <is>
          <t>제주</t>
        </is>
      </c>
      <c r="C476" s="122" t="inlineStr">
        <is>
          <t>중문GC</t>
        </is>
      </c>
      <c r="D476" s="104" t="inlineStr">
        <is>
          <t>대중제</t>
        </is>
      </c>
      <c r="E476" s="116" t="inlineStr">
        <is>
          <t>서귀포시 중문관광로 72버길 60</t>
        </is>
      </c>
      <c r="F476" s="112" t="n">
        <v>18</v>
      </c>
      <c r="G476" s="112">
        <f>F476*4</f>
        <v/>
      </c>
      <c r="H476" s="117" t="n">
        <v>917764</v>
      </c>
      <c r="I476" s="118" t="inlineStr">
        <is>
          <t>한국관광공사 / 정창수</t>
        </is>
      </c>
      <c r="J476" s="108" t="n"/>
      <c r="K476" s="108" t="n"/>
      <c r="L476" s="108" t="n"/>
      <c r="M476" s="108" t="n"/>
      <c r="N476" s="108" t="n"/>
      <c r="O476" s="108" t="n"/>
      <c r="P476" s="112" t="n"/>
      <c r="Q476" s="119" t="n"/>
      <c r="R476" s="108" t="n"/>
      <c r="S476" s="110" t="inlineStr">
        <is>
          <t>🔲 데이터수집예정</t>
        </is>
      </c>
      <c r="T476" s="126" t="n"/>
      <c r="W476" s="121" t="n"/>
    </row>
    <row r="477" ht="18" customHeight="1" s="97">
      <c r="A477" s="101" t="n">
        <v>475</v>
      </c>
      <c r="B477" s="102" t="inlineStr">
        <is>
          <t>제주</t>
        </is>
      </c>
      <c r="C477" s="123" t="inlineStr">
        <is>
          <t>캐슬렉스제주GC</t>
        </is>
      </c>
      <c r="D477" s="115" t="inlineStr">
        <is>
          <t>회원제</t>
        </is>
      </c>
      <c r="E477" s="105" t="inlineStr">
        <is>
          <t>서귀포시 평화로 1241</t>
        </is>
      </c>
      <c r="F477" s="101" t="n">
        <v>18</v>
      </c>
      <c r="G477" s="101">
        <f>F477*4</f>
        <v/>
      </c>
      <c r="H477" s="106" t="n">
        <v>858271</v>
      </c>
      <c r="I477" s="107" t="inlineStr">
        <is>
          <t>㈜캐슬렉스제주 / 최세환</t>
        </is>
      </c>
      <c r="J477" s="108" t="n"/>
      <c r="K477" s="108" t="n"/>
      <c r="L477" s="108" t="n"/>
      <c r="M477" s="108" t="n"/>
      <c r="N477" s="108" t="n"/>
      <c r="O477" s="108" t="n"/>
      <c r="P477" s="101" t="n"/>
      <c r="Q477" s="109" t="n"/>
      <c r="R477" s="108" t="n"/>
      <c r="S477" s="110" t="inlineStr">
        <is>
          <t>🔲 데이터수집예정</t>
        </is>
      </c>
      <c r="T477" s="136" t="n"/>
      <c r="W477" s="111" t="n"/>
    </row>
    <row r="478" ht="18" customHeight="1" s="97">
      <c r="A478" s="112" t="n">
        <v>476</v>
      </c>
      <c r="B478" s="113" t="inlineStr">
        <is>
          <t>제주</t>
        </is>
      </c>
      <c r="C478" s="122" t="inlineStr">
        <is>
          <t>크라운CC</t>
        </is>
      </c>
      <c r="D478" s="104" t="inlineStr">
        <is>
          <t>대중제</t>
        </is>
      </c>
      <c r="E478" s="116" t="inlineStr">
        <is>
          <t>제주시 북선로 125</t>
        </is>
      </c>
      <c r="F478" s="112" t="n">
        <v>27</v>
      </c>
      <c r="G478" s="112">
        <f>F478*4</f>
        <v/>
      </c>
      <c r="H478" s="117" t="n">
        <v>961720</v>
      </c>
      <c r="I478" s="126" t="inlineStr">
        <is>
          <t>(재)관정이종환 / 안동일</t>
        </is>
      </c>
      <c r="J478" s="108" t="n"/>
      <c r="K478" s="108" t="n"/>
      <c r="L478" s="108" t="n"/>
      <c r="M478" s="108" t="n"/>
      <c r="N478" s="108" t="n"/>
      <c r="O478" s="108" t="n"/>
      <c r="P478" s="112" t="n"/>
      <c r="Q478" s="119" t="n"/>
      <c r="R478" s="108" t="n"/>
      <c r="S478" s="110" t="inlineStr">
        <is>
          <t>🔲 데이터수집예정</t>
        </is>
      </c>
      <c r="T478" s="126" t="n"/>
      <c r="W478" s="121" t="n"/>
    </row>
    <row r="479" ht="18" customHeight="1" s="97">
      <c r="A479" s="101" t="n">
        <v>477</v>
      </c>
      <c r="B479" s="102" t="inlineStr">
        <is>
          <t>제주</t>
        </is>
      </c>
      <c r="C479" s="123" t="inlineStr">
        <is>
          <t>클럽나인브릿지</t>
        </is>
      </c>
      <c r="D479" s="115" t="inlineStr">
        <is>
          <t>회원제</t>
        </is>
      </c>
      <c r="E479" s="105" t="inlineStr">
        <is>
          <t>제주특별자치도 서귀포시 안덕면 광평로34-156</t>
        </is>
      </c>
      <c r="F479" s="101" t="n">
        <v>18</v>
      </c>
      <c r="G479" s="101">
        <f>F479*4</f>
        <v/>
      </c>
      <c r="H479" s="106" t="n">
        <v>962756</v>
      </c>
      <c r="I479" s="136" t="inlineStr">
        <is>
          <t>CJ대한통운주식회사 / 손관수, 박근태, 김춘학</t>
        </is>
      </c>
      <c r="J479" s="127" t="n">
        <v>4.9</v>
      </c>
      <c r="K479" s="127" t="n">
        <v>4.9</v>
      </c>
      <c r="L479" s="127" t="n">
        <v>5</v>
      </c>
      <c r="M479" s="128" t="n">
        <v>4.5</v>
      </c>
      <c r="N479" s="127" t="n">
        <v>5</v>
      </c>
      <c r="O479" s="137">
        <f>ROUND(AVERAGE(J479:N479),2)</f>
        <v/>
      </c>
      <c r="P479" s="101" t="n">
        <v>136</v>
      </c>
      <c r="Q479" s="109" t="n">
        <v>73</v>
      </c>
      <c r="R479" s="162" t="inlineStr">
        <is>
          <t>상급</t>
        </is>
      </c>
      <c r="S479" s="131" t="inlineStr">
        <is>
          <t>✅ 서비스중</t>
        </is>
      </c>
      <c r="T479" s="138" t="inlineStr">
        <is>
          <t>https://www.ninebridges.co.kr</t>
        </is>
      </c>
      <c r="U479" s="96" t="n">
        <v>2001</v>
      </c>
      <c r="V479" s="96" t="inlineStr">
        <is>
          <t>064-793-9999</t>
        </is>
      </c>
      <c r="W479" s="125" t="n"/>
    </row>
    <row r="480" ht="18" customHeight="1" s="97">
      <c r="A480" s="112" t="n">
        <v>478</v>
      </c>
      <c r="B480" s="113" t="inlineStr">
        <is>
          <t>제주</t>
        </is>
      </c>
      <c r="C480" s="122" t="inlineStr">
        <is>
          <t>타미우스CC</t>
        </is>
      </c>
      <c r="D480" s="115" t="inlineStr">
        <is>
          <t>회원제</t>
        </is>
      </c>
      <c r="E480" s="116" t="inlineStr">
        <is>
          <t>제주시 화전길 201</t>
        </is>
      </c>
      <c r="F480" s="112" t="n">
        <v>27</v>
      </c>
      <c r="G480" s="112">
        <f>F480*4</f>
        <v/>
      </c>
      <c r="H480" s="117" t="n">
        <v>1164583</v>
      </c>
      <c r="I480" s="118" t="inlineStr">
        <is>
          <t>㈜타미우스 / 신진성</t>
        </is>
      </c>
      <c r="J480" s="108" t="n"/>
      <c r="K480" s="108" t="n"/>
      <c r="L480" s="108" t="n"/>
      <c r="M480" s="108" t="n"/>
      <c r="N480" s="108" t="n"/>
      <c r="O480" s="108" t="n"/>
      <c r="P480" s="112" t="n"/>
      <c r="Q480" s="119" t="n"/>
      <c r="R480" s="108" t="n"/>
      <c r="S480" s="110" t="inlineStr">
        <is>
          <t>🔲 데이터수집예정</t>
        </is>
      </c>
      <c r="T480" s="126" t="inlineStr">
        <is>
          <t>https://tameuscc.co.kr/</t>
        </is>
      </c>
      <c r="U480" s="96" t="n">
        <v>2009</v>
      </c>
      <c r="V480" s="96" t="inlineStr">
        <is>
          <t>064-796-7000</t>
        </is>
      </c>
      <c r="W480" s="121" t="n"/>
    </row>
    <row r="481" ht="18" customHeight="1" s="97">
      <c r="A481" s="101" t="n">
        <v>479</v>
      </c>
      <c r="B481" s="102" t="inlineStr">
        <is>
          <t>제주</t>
        </is>
      </c>
      <c r="C481" s="123" t="inlineStr">
        <is>
          <t>테디밸리골프앤리조트</t>
        </is>
      </c>
      <c r="D481" s="115" t="inlineStr">
        <is>
          <t>회원제</t>
        </is>
      </c>
      <c r="E481" s="105" t="inlineStr">
        <is>
          <t>제주 서귀포시 안덕면 한창로 365</t>
        </is>
      </c>
      <c r="F481" s="101" t="n">
        <v>18</v>
      </c>
      <c r="G481" s="101">
        <f>F481*4</f>
        <v/>
      </c>
      <c r="H481" s="106" t="n">
        <v>975395</v>
      </c>
      <c r="I481" s="136" t="inlineStr">
        <is>
          <t>(주)제이에스앤에프개발/ 김준</t>
        </is>
      </c>
      <c r="J481" s="108" t="n"/>
      <c r="K481" s="108" t="n"/>
      <c r="L481" s="108" t="n"/>
      <c r="M481" s="108" t="n"/>
      <c r="N481" s="108" t="n"/>
      <c r="O481" s="108" t="n"/>
      <c r="P481" s="101" t="n"/>
      <c r="Q481" s="109" t="n"/>
      <c r="R481" s="108" t="n"/>
      <c r="S481" s="110" t="inlineStr">
        <is>
          <t>🔲 데이터수집예정</t>
        </is>
      </c>
      <c r="T481" s="136" t="inlineStr">
        <is>
          <t>http://www.teddyvalley.com/</t>
        </is>
      </c>
      <c r="U481" s="96" t="n">
        <v>2008</v>
      </c>
      <c r="V481" s="96" t="inlineStr">
        <is>
          <t>064-793-1000</t>
        </is>
      </c>
      <c r="W481" s="125" t="n"/>
    </row>
    <row r="482" ht="18" customHeight="1" s="97">
      <c r="A482" s="112" t="n">
        <v>480</v>
      </c>
      <c r="B482" s="113" t="inlineStr">
        <is>
          <t>제주</t>
        </is>
      </c>
      <c r="C482" s="122" t="inlineStr">
        <is>
          <t>플라자CC 제주</t>
        </is>
      </c>
      <c r="D482" s="104" t="inlineStr">
        <is>
          <t>대중제</t>
        </is>
      </c>
      <c r="E482" s="116" t="inlineStr">
        <is>
          <t>제주특별자치도 제주시 명림로 575-107</t>
        </is>
      </c>
      <c r="F482" s="112" t="n">
        <v>9</v>
      </c>
      <c r="G482" s="112">
        <f>F482*4</f>
        <v/>
      </c>
      <c r="H482" s="117" t="n">
        <v>442376</v>
      </c>
      <c r="I482" s="118" t="inlineStr">
        <is>
          <t>한화호텔앤드리조트㈜ / 김형조</t>
        </is>
      </c>
      <c r="J482" s="108" t="n"/>
      <c r="K482" s="108" t="n"/>
      <c r="L482" s="108" t="n"/>
      <c r="M482" s="108" t="n"/>
      <c r="N482" s="108" t="n"/>
      <c r="O482" s="108" t="n"/>
      <c r="P482" s="112" t="n"/>
      <c r="Q482" s="119" t="n"/>
      <c r="R482" s="108" t="n"/>
      <c r="S482" s="110" t="inlineStr">
        <is>
          <t>🔲 데이터수집예정</t>
        </is>
      </c>
      <c r="T482" s="126" t="n"/>
      <c r="W482" s="121" t="n"/>
    </row>
    <row r="483" ht="18" customHeight="1" s="97">
      <c r="A483" s="101" t="n">
        <v>481</v>
      </c>
      <c r="B483" s="102" t="inlineStr">
        <is>
          <t>제주</t>
        </is>
      </c>
      <c r="C483" s="123" t="inlineStr">
        <is>
          <t>한라산CC</t>
        </is>
      </c>
      <c r="D483" s="104" t="inlineStr">
        <is>
          <t>대중제</t>
        </is>
      </c>
      <c r="E483" s="105" t="inlineStr">
        <is>
          <t>제주시 선돌목동길 56-46</t>
        </is>
      </c>
      <c r="F483" s="101" t="n">
        <v>18</v>
      </c>
      <c r="G483" s="101">
        <f>F483*4</f>
        <v/>
      </c>
      <c r="H483" s="106" t="n">
        <v>643347</v>
      </c>
      <c r="I483" s="107" t="inlineStr">
        <is>
          <t>㈜부건 / 김용덕</t>
        </is>
      </c>
      <c r="J483" s="108" t="n"/>
      <c r="K483" s="108" t="n"/>
      <c r="L483" s="108" t="n"/>
      <c r="M483" s="108" t="n"/>
      <c r="N483" s="108" t="n"/>
      <c r="O483" s="108" t="n"/>
      <c r="P483" s="101" t="n"/>
      <c r="Q483" s="109" t="n"/>
      <c r="R483" s="108" t="n"/>
      <c r="S483" s="110" t="inlineStr">
        <is>
          <t>🔲 데이터수집예정</t>
        </is>
      </c>
      <c r="T483" s="136" t="n"/>
      <c r="W483" s="111" t="n"/>
    </row>
    <row r="484" ht="18" customHeight="1" s="97">
      <c r="A484" s="112" t="n">
        <v>482</v>
      </c>
      <c r="B484" s="113" t="inlineStr">
        <is>
          <t>제주</t>
        </is>
      </c>
      <c r="C484" s="122" t="inlineStr">
        <is>
          <t>해비치CC</t>
        </is>
      </c>
      <c r="D484" s="115" t="inlineStr">
        <is>
          <t>회원제</t>
        </is>
      </c>
      <c r="E484" s="116" t="inlineStr">
        <is>
          <t>서귀포시 원님로 399번길 319</t>
        </is>
      </c>
      <c r="F484" s="112" t="n">
        <v>18</v>
      </c>
      <c r="G484" s="112">
        <f>F484*4</f>
        <v/>
      </c>
      <c r="H484" s="117" t="n">
        <v>797237</v>
      </c>
      <c r="I484" s="118" t="inlineStr">
        <is>
          <t>해비치호텔앤드리조트㈜ / 김민수</t>
        </is>
      </c>
      <c r="J484" s="108" t="n"/>
      <c r="K484" s="108" t="n"/>
      <c r="L484" s="108" t="n"/>
      <c r="M484" s="108" t="n"/>
      <c r="N484" s="108" t="n"/>
      <c r="O484" s="108" t="n"/>
      <c r="P484" s="112" t="n"/>
      <c r="Q484" s="119" t="n"/>
      <c r="R484" s="108" t="n"/>
      <c r="S484" s="110" t="inlineStr">
        <is>
          <t>🔲 데이터수집예정</t>
        </is>
      </c>
      <c r="T484" s="126" t="inlineStr">
        <is>
          <t>https://www.haevichi.com/ccjeju/ko/</t>
        </is>
      </c>
      <c r="U484" s="96" t="n">
        <v>2003</v>
      </c>
      <c r="V484" s="96" t="inlineStr">
        <is>
          <t>064-780-8000</t>
        </is>
      </c>
      <c r="W484" s="121" t="n"/>
    </row>
    <row r="485"/>
    <row r="486" ht="10.5" customHeight="1" s="97">
      <c r="A486" s="175" t="inlineStr">
        <is>
          <t>※ 평점(1-5점): 실제 라운딩 후기 기반 | 파(Par)는 홀수×4 추정값 | 서비스중 코스는 실시간 코스상태 업데이트 대상</t>
        </is>
      </c>
    </row>
    <row r="487" ht="15" customHeight="1" s="97">
      <c r="A487" s="176" t="inlineStr">
        <is>
          <t>1.0–2.4 매우불량</t>
        </is>
      </c>
      <c r="B487" s="177" t="inlineStr">
        <is>
          <t>2.5–3.4 불량</t>
        </is>
      </c>
      <c r="C487" s="178" t="inlineStr">
        <is>
          <t>3.5–4.1 보통</t>
        </is>
      </c>
      <c r="D487" s="179" t="inlineStr">
        <is>
          <t>4.2–4.6 양호</t>
        </is>
      </c>
      <c r="E487" s="180" t="inlineStr">
        <is>
          <t>4.7–5.0 우수</t>
        </is>
      </c>
    </row>
    <row r="488" ht="15" customHeight="1" s="97">
      <c r="A488" s="101" t="n">
        <v>483</v>
      </c>
      <c r="B488" s="102" t="inlineStr">
        <is>
          <t>인천</t>
        </is>
      </c>
      <c r="C488" s="123" t="inlineStr">
        <is>
          <t>스카이72 골프앤리조트</t>
        </is>
      </c>
      <c r="D488" s="104" t="n"/>
      <c r="E488" s="105" t="inlineStr">
        <is>
          <t>중구 운서동</t>
        </is>
      </c>
      <c r="F488" s="101" t="n">
        <v>72</v>
      </c>
      <c r="G488" s="101">
        <f>F488*4</f>
        <v/>
      </c>
      <c r="H488" s="106" t="n"/>
      <c r="I488" s="107" t="n"/>
      <c r="J488" s="108" t="n"/>
      <c r="K488" s="108" t="n"/>
      <c r="L488" s="108" t="n"/>
      <c r="M488" s="108" t="n"/>
      <c r="N488" s="108" t="n"/>
      <c r="O488" s="108" t="n"/>
      <c r="P488" s="101" t="n"/>
      <c r="Q488" s="109" t="n"/>
      <c r="R488" s="108" t="n"/>
      <c r="S488" s="110" t="inlineStr">
        <is>
          <t>🔲 데이터수집예정</t>
        </is>
      </c>
      <c r="T488" s="124" t="inlineStr">
        <is>
          <t>http://www.sky72.com/</t>
        </is>
      </c>
      <c r="U488" s="96" t="n">
        <v>2005</v>
      </c>
      <c r="V488" s="96" t="inlineStr">
        <is>
          <t>1544-7002</t>
        </is>
      </c>
      <c r="W488" s="125" t="inlineStr">
        <is>
          <t>LPGA 하나은행챔피언십 장기 개최지</t>
        </is>
      </c>
    </row>
    <row r="489" ht="15" customHeight="1" s="97">
      <c r="A489" s="101" t="n">
        <v>484</v>
      </c>
      <c r="B489" s="102" t="inlineStr">
        <is>
          <t>경기</t>
        </is>
      </c>
      <c r="C489" s="123" t="inlineStr">
        <is>
          <t>가평베네스트 골프클럽</t>
        </is>
      </c>
      <c r="D489" s="104" t="n"/>
      <c r="E489" s="105" t="inlineStr">
        <is>
          <t>가평군 상면</t>
        </is>
      </c>
      <c r="F489" s="101" t="n">
        <v>27</v>
      </c>
      <c r="G489" s="101">
        <f>F489*4</f>
        <v/>
      </c>
      <c r="H489" s="106" t="n"/>
      <c r="I489" s="107" t="n"/>
      <c r="J489" s="108" t="n"/>
      <c r="K489" s="108" t="n"/>
      <c r="L489" s="108" t="n"/>
      <c r="M489" s="108" t="n"/>
      <c r="N489" s="108" t="n"/>
      <c r="O489" s="108" t="n"/>
      <c r="P489" s="101" t="n"/>
      <c r="Q489" s="109" t="n"/>
      <c r="R489" s="108" t="n"/>
      <c r="S489" s="110" t="inlineStr">
        <is>
          <t>🔲 데이터수집예정</t>
        </is>
      </c>
      <c r="T489" s="124" t="inlineStr">
        <is>
          <t>https://www.golfsamsung.com/</t>
        </is>
      </c>
      <c r="U489" s="96" t="n">
        <v>2006</v>
      </c>
      <c r="V489" s="96" t="inlineStr">
        <is>
          <t>031-589-8000</t>
        </is>
      </c>
      <c r="W489" s="181" t="inlineStr">
        <is>
          <t>삼성물산 리조트 / 3개 9홀 코스</t>
        </is>
      </c>
    </row>
    <row r="490" ht="15" customHeight="1" s="97">
      <c r="A490" s="101" t="n">
        <v>485</v>
      </c>
      <c r="B490" s="102" t="inlineStr">
        <is>
          <t>경기</t>
        </is>
      </c>
      <c r="C490" s="123" t="inlineStr">
        <is>
          <t>안양 컨트리클럽</t>
        </is>
      </c>
      <c r="D490" s="104" t="n"/>
      <c r="E490" s="105" t="inlineStr">
        <is>
          <t>군포시 부곡동</t>
        </is>
      </c>
      <c r="F490" s="101" t="n">
        <v>18</v>
      </c>
      <c r="G490" s="101">
        <f>F490*4</f>
        <v/>
      </c>
      <c r="H490" s="106" t="n"/>
      <c r="I490" s="107" t="n"/>
      <c r="J490" s="108" t="n"/>
      <c r="K490" s="108" t="n"/>
      <c r="L490" s="108" t="n"/>
      <c r="M490" s="108" t="n"/>
      <c r="N490" s="108" t="n"/>
      <c r="O490" s="108" t="n"/>
      <c r="P490" s="101" t="n"/>
      <c r="Q490" s="109" t="n"/>
      <c r="R490" s="108" t="n"/>
      <c r="S490" s="110" t="inlineStr">
        <is>
          <t>🔲 데이터수집예정</t>
        </is>
      </c>
      <c r="T490" s="124" t="inlineStr">
        <is>
          <t>https://www.golfsamsung.com/</t>
        </is>
      </c>
      <c r="U490" s="96" t="n">
        <v>1968</v>
      </c>
      <c r="V490" s="96" t="inlineStr">
        <is>
          <t>031-390-9000</t>
        </is>
      </c>
      <c r="W490" s="181" t="inlineStr">
        <is>
          <t>삼성 / 국내 최고 명문 중 하나</t>
        </is>
      </c>
    </row>
    <row r="491" ht="15" customHeight="1" s="97">
      <c r="A491" s="101" t="n">
        <v>486</v>
      </c>
      <c r="B491" s="102" t="inlineStr">
        <is>
          <t>경기</t>
        </is>
      </c>
      <c r="C491" s="123" t="inlineStr">
        <is>
          <t>동양 컨트리클럽</t>
        </is>
      </c>
      <c r="D491" s="104" t="n"/>
      <c r="E491" s="105" t="inlineStr">
        <is>
          <t>안성시</t>
        </is>
      </c>
      <c r="F491" s="101" t="n">
        <v>18</v>
      </c>
      <c r="G491" s="101">
        <f>F491*4</f>
        <v/>
      </c>
      <c r="H491" s="106" t="n"/>
      <c r="I491" s="107" t="n"/>
      <c r="J491" s="108" t="n"/>
      <c r="K491" s="108" t="n"/>
      <c r="L491" s="108" t="n"/>
      <c r="M491" s="108" t="n"/>
      <c r="N491" s="108" t="n"/>
      <c r="O491" s="108" t="n"/>
      <c r="P491" s="101" t="n"/>
      <c r="Q491" s="109" t="n"/>
      <c r="R491" s="108" t="n"/>
      <c r="S491" s="110" t="inlineStr">
        <is>
          <t>🔲 데이터수집예정</t>
        </is>
      </c>
      <c r="T491" s="107" t="n"/>
      <c r="W491" s="181" t="inlineStr">
        <is>
          <t>회원제</t>
        </is>
      </c>
    </row>
    <row r="492" ht="15" customHeight="1" s="97">
      <c r="A492" s="101" t="n">
        <v>487</v>
      </c>
      <c r="B492" s="102" t="inlineStr">
        <is>
          <t>경북</t>
        </is>
      </c>
      <c r="C492" s="123" t="inlineStr">
        <is>
          <t>오션비치 골프앤리조트</t>
        </is>
      </c>
      <c r="D492" s="104" t="n"/>
      <c r="E492" s="105" t="inlineStr">
        <is>
          <t>영덕군 강구면</t>
        </is>
      </c>
      <c r="F492" s="101" t="n">
        <v>18</v>
      </c>
      <c r="G492" s="101">
        <f>F492*4</f>
        <v/>
      </c>
      <c r="H492" s="106" t="n"/>
      <c r="I492" s="107" t="n"/>
      <c r="J492" s="108" t="n"/>
      <c r="K492" s="108" t="n"/>
      <c r="L492" s="108" t="n"/>
      <c r="M492" s="108" t="n"/>
      <c r="N492" s="108" t="n"/>
      <c r="O492" s="108" t="n"/>
      <c r="P492" s="101" t="n"/>
      <c r="Q492" s="109" t="n"/>
      <c r="R492" s="108" t="n"/>
      <c r="S492" s="110" t="inlineStr">
        <is>
          <t>🔲 데이터수집예정</t>
        </is>
      </c>
      <c r="T492" s="124" t="inlineStr">
        <is>
          <t>https://www.oceanbeachcc.com/</t>
        </is>
      </c>
      <c r="U492" s="96" t="n">
        <v>2011</v>
      </c>
      <c r="V492" s="96" t="inlineStr">
        <is>
          <t>054-730-1000</t>
        </is>
      </c>
      <c r="W492" s="181" t="inlineStr">
        <is>
          <t>동해안 오션뷰 코스</t>
        </is>
      </c>
    </row>
    <row r="493" ht="15" customHeight="1" s="97">
      <c r="A493" s="101" t="n">
        <v>488</v>
      </c>
      <c r="B493" s="102" t="inlineStr">
        <is>
          <t>충북</t>
        </is>
      </c>
      <c r="C493" s="123" t="inlineStr">
        <is>
          <t>실크리버 컨트리클럽 (현 세레니티)</t>
        </is>
      </c>
      <c r="D493" s="104" t="n"/>
      <c r="E493" s="105" t="inlineStr">
        <is>
          <t>청주시 서원구 남이면</t>
        </is>
      </c>
      <c r="F493" s="101" t="n">
        <v>27</v>
      </c>
      <c r="G493" s="101">
        <f>F493*4</f>
        <v/>
      </c>
      <c r="H493" s="106" t="n"/>
      <c r="I493" s="107" t="n"/>
      <c r="J493" s="108" t="n"/>
      <c r="K493" s="108" t="n"/>
      <c r="L493" s="108" t="n"/>
      <c r="M493" s="108" t="n"/>
      <c r="N493" s="108" t="n"/>
      <c r="O493" s="108" t="n"/>
      <c r="P493" s="101" t="n"/>
      <c r="Q493" s="109" t="n"/>
      <c r="R493" s="108" t="n"/>
      <c r="S493" s="110" t="inlineStr">
        <is>
          <t>🔲 데이터수집예정</t>
        </is>
      </c>
      <c r="T493" s="124" t="inlineStr">
        <is>
          <t>https://www.serenitycc.co.kr/</t>
        </is>
      </c>
      <c r="U493" s="96" t="n">
        <v>2009</v>
      </c>
      <c r="V493" s="96" t="inlineStr">
        <is>
          <t>043-260-8000</t>
        </is>
      </c>
      <c r="W493" s="181" t="inlineStr">
        <is>
          <t>세레니티CC로 재개장</t>
        </is>
      </c>
    </row>
    <row r="494" ht="15" customHeight="1" s="97">
      <c r="A494" s="101" t="n">
        <v>489</v>
      </c>
      <c r="B494" s="102" t="inlineStr">
        <is>
          <t>충남</t>
        </is>
      </c>
      <c r="C494" s="123" t="inlineStr">
        <is>
          <t>오스트밸리 컨트리클럽</t>
        </is>
      </c>
      <c r="D494" s="104" t="n"/>
      <c r="E494" s="105" t="inlineStr">
        <is>
          <t>당진시</t>
        </is>
      </c>
      <c r="F494" s="101" t="n">
        <v>18</v>
      </c>
      <c r="G494" s="101">
        <f>F494*4</f>
        <v/>
      </c>
      <c r="H494" s="106" t="n"/>
      <c r="I494" s="107" t="n"/>
      <c r="J494" s="108" t="n"/>
      <c r="K494" s="108" t="n"/>
      <c r="L494" s="108" t="n"/>
      <c r="M494" s="108" t="n"/>
      <c r="N494" s="108" t="n"/>
      <c r="O494" s="108" t="n"/>
      <c r="P494" s="101" t="n"/>
      <c r="Q494" s="109" t="n"/>
      <c r="R494" s="108" t="n"/>
      <c r="S494" s="110" t="inlineStr">
        <is>
          <t>🔲 데이터수집예정</t>
        </is>
      </c>
      <c r="T494" s="107" t="n"/>
      <c r="W494" s="181" t="inlineStr">
        <is>
          <t>회원제</t>
        </is>
      </c>
    </row>
    <row r="495" ht="15" customHeight="1" s="97">
      <c r="A495" s="101" t="n">
        <v>490</v>
      </c>
      <c r="B495" s="102" t="inlineStr">
        <is>
          <t>전남</t>
        </is>
      </c>
      <c r="C495" s="123" t="inlineStr">
        <is>
          <t>포라이즌 컨트리클럽</t>
        </is>
      </c>
      <c r="D495" s="104" t="n"/>
      <c r="E495" s="105" t="inlineStr">
        <is>
          <t>순천시</t>
        </is>
      </c>
      <c r="F495" s="101" t="n">
        <v>27</v>
      </c>
      <c r="G495" s="101">
        <f>F495*4</f>
        <v/>
      </c>
      <c r="H495" s="106" t="n"/>
      <c r="I495" s="107" t="n"/>
      <c r="J495" s="108" t="n"/>
      <c r="K495" s="108" t="n"/>
      <c r="L495" s="108" t="n"/>
      <c r="M495" s="108" t="n"/>
      <c r="N495" s="108" t="n"/>
      <c r="O495" s="108" t="n"/>
      <c r="P495" s="101" t="n"/>
      <c r="Q495" s="109" t="n"/>
      <c r="R495" s="108" t="n"/>
      <c r="S495" s="110" t="inlineStr">
        <is>
          <t>🔲 데이터수집예정</t>
        </is>
      </c>
      <c r="T495" s="124" t="inlineStr">
        <is>
          <t>https://www.sjcc.co.kr/</t>
        </is>
      </c>
      <c r="U495" s="96" t="n">
        <v>2005</v>
      </c>
      <c r="V495" s="96" t="inlineStr">
        <is>
          <t>061-750-5500</t>
        </is>
      </c>
      <c r="W495" s="181" t="inlineStr">
        <is>
          <t>매경 대한민국 골프장 평가 상위</t>
        </is>
      </c>
    </row>
    <row r="496" ht="15" customHeight="1" s="97">
      <c r="A496" s="101" t="n">
        <v>491</v>
      </c>
      <c r="B496" s="102" t="inlineStr">
        <is>
          <t>제주</t>
        </is>
      </c>
      <c r="C496" s="123" t="inlineStr">
        <is>
          <t>제주 캐슬렉스 골프클럽</t>
        </is>
      </c>
      <c r="D496" s="104" t="n"/>
      <c r="E496" s="105" t="inlineStr">
        <is>
          <t>서귀포시 안덕면</t>
        </is>
      </c>
      <c r="F496" s="101" t="n">
        <v>27</v>
      </c>
      <c r="G496" s="101">
        <f>F496*4</f>
        <v/>
      </c>
      <c r="H496" s="106" t="n"/>
      <c r="I496" s="107" t="n"/>
      <c r="J496" s="108" t="n"/>
      <c r="K496" s="108" t="n"/>
      <c r="L496" s="108" t="n"/>
      <c r="M496" s="108" t="n"/>
      <c r="N496" s="108" t="n"/>
      <c r="O496" s="108" t="n"/>
      <c r="P496" s="101" t="n"/>
      <c r="Q496" s="109" t="n"/>
      <c r="R496" s="108" t="n"/>
      <c r="S496" s="110" t="inlineStr">
        <is>
          <t>🔲 데이터수집예정</t>
        </is>
      </c>
      <c r="T496" s="124" t="inlineStr">
        <is>
          <t>https://castlexjj.com/</t>
        </is>
      </c>
      <c r="U496" s="96" t="n">
        <v>2002</v>
      </c>
      <c r="V496" s="96" t="inlineStr">
        <is>
          <t>064-793-6600</t>
        </is>
      </c>
      <c r="W496" s="181" t="inlineStr">
        <is>
          <t>캐슬렉스 체인</t>
        </is>
      </c>
    </row>
    <row r="497" ht="15" customHeight="1" s="97">
      <c r="A497" s="101" t="n">
        <v>492</v>
      </c>
      <c r="B497" s="102" t="inlineStr">
        <is>
          <t>제주</t>
        </is>
      </c>
      <c r="C497" s="123" t="inlineStr">
        <is>
          <t>오라 컨트리클럽</t>
        </is>
      </c>
      <c r="D497" s="104" t="n"/>
      <c r="E497" s="105" t="inlineStr">
        <is>
          <t>제주시 오라동</t>
        </is>
      </c>
      <c r="F497" s="101" t="n">
        <v>27</v>
      </c>
      <c r="G497" s="101">
        <f>F497*4</f>
        <v/>
      </c>
      <c r="H497" s="106" t="n"/>
      <c r="I497" s="107" t="n"/>
      <c r="J497" s="108" t="n"/>
      <c r="K497" s="108" t="n"/>
      <c r="L497" s="108" t="n"/>
      <c r="M497" s="108" t="n"/>
      <c r="N497" s="108" t="n"/>
      <c r="O497" s="108" t="n"/>
      <c r="P497" s="101" t="n"/>
      <c r="Q497" s="109" t="n"/>
      <c r="R497" s="108" t="n"/>
      <c r="S497" s="110" t="inlineStr">
        <is>
          <t>🔲 데이터수집예정</t>
        </is>
      </c>
      <c r="T497" s="124" t="inlineStr">
        <is>
          <t>https://www.oracc.co.kr/</t>
        </is>
      </c>
      <c r="U497" s="96" t="n">
        <v>1979</v>
      </c>
      <c r="V497" s="96" t="inlineStr">
        <is>
          <t>064-747-2111</t>
        </is>
      </c>
      <c r="W497" s="181" t="inlineStr">
        <is>
          <t>제주 최초 골프장 중 하나</t>
        </is>
      </c>
    </row>
    <row r="498" ht="15" customHeight="1" s="97">
      <c r="A498" s="101" t="n">
        <v>493</v>
      </c>
      <c r="B498" s="102" t="inlineStr">
        <is>
          <t>제주</t>
        </is>
      </c>
      <c r="C498" s="123" t="inlineStr">
        <is>
          <t>제주 비치힐 리조트 골프클럽</t>
        </is>
      </c>
      <c r="D498" s="104" t="n"/>
      <c r="E498" s="105" t="inlineStr">
        <is>
          <t>서귀포시 남원읍</t>
        </is>
      </c>
      <c r="F498" s="101" t="n">
        <v>18</v>
      </c>
      <c r="G498" s="101">
        <f>F498*4</f>
        <v/>
      </c>
      <c r="H498" s="106" t="n"/>
      <c r="I498" s="107" t="n"/>
      <c r="J498" s="108" t="n"/>
      <c r="K498" s="108" t="n"/>
      <c r="L498" s="108" t="n"/>
      <c r="M498" s="108" t="n"/>
      <c r="N498" s="108" t="n"/>
      <c r="O498" s="108" t="n"/>
      <c r="P498" s="101" t="n"/>
      <c r="Q498" s="109" t="n"/>
      <c r="R498" s="108" t="n"/>
      <c r="S498" s="110" t="inlineStr">
        <is>
          <t>🔲 데이터수집예정</t>
        </is>
      </c>
      <c r="T498" s="107" t="n"/>
      <c r="W498" s="181" t="inlineStr">
        <is>
          <t>제주 남동부 해안</t>
        </is>
      </c>
    </row>
    <row r="499" ht="15" customHeight="1" s="97">
      <c r="A499" s="101" t="n">
        <v>494</v>
      </c>
      <c r="B499" s="102" t="inlineStr">
        <is>
          <t>경기</t>
        </is>
      </c>
      <c r="C499" s="123" t="inlineStr">
        <is>
          <t>양주 컨트리클럽</t>
        </is>
      </c>
      <c r="D499" s="104" t="n"/>
      <c r="E499" s="105" t="inlineStr">
        <is>
          <t>양주시</t>
        </is>
      </c>
      <c r="F499" s="101" t="n">
        <v>18</v>
      </c>
      <c r="G499" s="101">
        <f>F499*4</f>
        <v/>
      </c>
      <c r="H499" s="106" t="n"/>
      <c r="I499" s="107" t="n"/>
      <c r="J499" s="108" t="n"/>
      <c r="K499" s="108" t="n"/>
      <c r="L499" s="108" t="n"/>
      <c r="M499" s="108" t="n"/>
      <c r="N499" s="108" t="n"/>
      <c r="O499" s="108" t="n"/>
      <c r="P499" s="101" t="n"/>
      <c r="Q499" s="109" t="n"/>
      <c r="R499" s="108" t="n"/>
      <c r="S499" s="110" t="inlineStr">
        <is>
          <t>🔲 데이터수집예정</t>
        </is>
      </c>
      <c r="T499" s="124" t="inlineStr">
        <is>
          <t>https://www.yangjucc.co.kr/</t>
        </is>
      </c>
      <c r="U499" s="96" t="n">
        <v>1991</v>
      </c>
      <c r="V499" s="96" t="inlineStr">
        <is>
          <t>031-825-9000</t>
        </is>
      </c>
      <c r="W499" s="181" t="inlineStr">
        <is>
          <t>회원제</t>
        </is>
      </c>
    </row>
    <row r="500" ht="15" customHeight="1" s="97">
      <c r="A500" s="101" t="n">
        <v>495</v>
      </c>
      <c r="B500" s="102" t="inlineStr">
        <is>
          <t>경기</t>
        </is>
      </c>
      <c r="C500" s="123" t="inlineStr">
        <is>
          <t>아난티 펜트하우스 서울</t>
        </is>
      </c>
      <c r="D500" s="104" t="n"/>
      <c r="E500" s="105" t="inlineStr">
        <is>
          <t>가평군 설악면</t>
        </is>
      </c>
      <c r="F500" s="101" t="n">
        <v>18</v>
      </c>
      <c r="G500" s="101">
        <f>F500*4</f>
        <v/>
      </c>
      <c r="H500" s="106" t="n"/>
      <c r="I500" s="107" t="n"/>
      <c r="J500" s="108" t="n"/>
      <c r="K500" s="108" t="n"/>
      <c r="L500" s="108" t="n"/>
      <c r="M500" s="108" t="n"/>
      <c r="N500" s="108" t="n"/>
      <c r="O500" s="108" t="n"/>
      <c r="P500" s="101" t="n"/>
      <c r="Q500" s="109" t="n"/>
      <c r="R500" s="108" t="n"/>
      <c r="S500" s="110" t="inlineStr">
        <is>
          <t>🔲 데이터수집예정</t>
        </is>
      </c>
      <c r="T500" s="124" t="inlineStr">
        <is>
          <t>https://www.ananti.kr/</t>
        </is>
      </c>
      <c r="U500" s="96" t="n">
        <v>2011</v>
      </c>
      <c r="V500" s="96" t="inlineStr">
        <is>
          <t>1588-8800</t>
        </is>
      </c>
      <c r="W500" s="181" t="inlineStr">
        <is>
          <t>아난티 그룹</t>
        </is>
      </c>
    </row>
    <row r="501" ht="15" customHeight="1" s="97">
      <c r="A501" s="101" t="n">
        <v>496</v>
      </c>
      <c r="B501" s="102" t="inlineStr">
        <is>
          <t>강원</t>
        </is>
      </c>
      <c r="C501" s="123" t="inlineStr">
        <is>
          <t>비발디파크 블루벨리 컨트리클럽</t>
        </is>
      </c>
      <c r="D501" s="104" t="n"/>
      <c r="E501" s="105" t="inlineStr">
        <is>
          <t>홍천군 서면</t>
        </is>
      </c>
      <c r="F501" s="101" t="n">
        <v>18</v>
      </c>
      <c r="G501" s="101">
        <f>F501*4</f>
        <v/>
      </c>
      <c r="H501" s="106" t="n"/>
      <c r="I501" s="107" t="n"/>
      <c r="J501" s="108" t="n"/>
      <c r="K501" s="108" t="n"/>
      <c r="L501" s="108" t="n"/>
      <c r="M501" s="108" t="n"/>
      <c r="N501" s="108" t="n"/>
      <c r="O501" s="108" t="n"/>
      <c r="P501" s="101" t="n"/>
      <c r="Q501" s="109" t="n"/>
      <c r="R501" s="108" t="n"/>
      <c r="S501" s="110" t="inlineStr">
        <is>
          <t>🔲 데이터수집예정</t>
        </is>
      </c>
      <c r="T501" s="124" t="inlineStr">
        <is>
          <t>https://www.daemyungresort.com/</t>
        </is>
      </c>
      <c r="U501" s="96" t="n">
        <v>2008</v>
      </c>
      <c r="V501" s="96" t="inlineStr">
        <is>
          <t>1588-4888</t>
        </is>
      </c>
      <c r="W501" s="181" t="inlineStr">
        <is>
          <t>대명 비발디파크 리조트</t>
        </is>
      </c>
    </row>
    <row r="502" ht="15" customHeight="1" s="97">
      <c r="A502" s="101" t="n">
        <v>497</v>
      </c>
      <c r="B502" s="102" t="inlineStr">
        <is>
          <t>강원</t>
        </is>
      </c>
      <c r="C502" s="123" t="inlineStr">
        <is>
          <t>세인트메리 컨트리클럽</t>
        </is>
      </c>
      <c r="D502" s="104" t="n"/>
      <c r="E502" s="105" t="inlineStr">
        <is>
          <t>횡성군</t>
        </is>
      </c>
      <c r="F502" s="101" t="n">
        <v>36</v>
      </c>
      <c r="G502" s="101">
        <f>F502*4</f>
        <v/>
      </c>
      <c r="H502" s="106" t="n"/>
      <c r="I502" s="107" t="n"/>
      <c r="J502" s="108" t="n"/>
      <c r="K502" s="108" t="n"/>
      <c r="L502" s="108" t="n"/>
      <c r="M502" s="108" t="n"/>
      <c r="N502" s="108" t="n"/>
      <c r="O502" s="108" t="n"/>
      <c r="P502" s="101" t="n"/>
      <c r="Q502" s="109" t="n"/>
      <c r="R502" s="108" t="n"/>
      <c r="S502" s="110" t="inlineStr">
        <is>
          <t>🔲 데이터수집예정</t>
        </is>
      </c>
      <c r="T502" s="124" t="inlineStr">
        <is>
          <t>https://www.stmarycc.co.kr/</t>
        </is>
      </c>
      <c r="U502" s="96" t="n">
        <v>2010</v>
      </c>
      <c r="V502" s="96" t="inlineStr">
        <is>
          <t>033-340-7000</t>
        </is>
      </c>
      <c r="W502" s="181" t="inlineStr">
        <is>
          <t>회원제</t>
        </is>
      </c>
    </row>
    <row r="503" ht="15" customHeight="1" s="97">
      <c r="A503" s="101" t="n">
        <v>498</v>
      </c>
      <c r="B503" s="102" t="inlineStr">
        <is>
          <t>충남</t>
        </is>
      </c>
      <c r="C503" s="123" t="inlineStr">
        <is>
          <t>버드우드 골프클럽</t>
        </is>
      </c>
      <c r="D503" s="104" t="n"/>
      <c r="E503" s="105" t="inlineStr">
        <is>
          <t>천안시</t>
        </is>
      </c>
      <c r="F503" s="101" t="n">
        <v>27</v>
      </c>
      <c r="G503" s="101">
        <f>F503*4</f>
        <v/>
      </c>
      <c r="H503" s="106" t="n"/>
      <c r="I503" s="107" t="n"/>
      <c r="J503" s="108" t="n"/>
      <c r="K503" s="108" t="n"/>
      <c r="L503" s="108" t="n"/>
      <c r="M503" s="108" t="n"/>
      <c r="N503" s="108" t="n"/>
      <c r="O503" s="108" t="n"/>
      <c r="P503" s="101" t="n"/>
      <c r="Q503" s="109" t="n"/>
      <c r="R503" s="108" t="n"/>
      <c r="S503" s="110" t="inlineStr">
        <is>
          <t>🔲 데이터수집예정</t>
        </is>
      </c>
      <c r="T503" s="124" t="inlineStr">
        <is>
          <t>https://www.birdwood.co.kr/</t>
        </is>
      </c>
      <c r="U503" s="96" t="n">
        <v>2008</v>
      </c>
      <c r="V503" s="96" t="inlineStr">
        <is>
          <t>041-570-8000</t>
        </is>
      </c>
      <c r="W503" s="181" t="inlineStr">
        <is>
          <t>회원제</t>
        </is>
      </c>
    </row>
    <row r="504" ht="15" customHeight="1" s="97">
      <c r="A504" s="101" t="n">
        <v>499</v>
      </c>
      <c r="B504" s="102" t="inlineStr">
        <is>
          <t>충남</t>
        </is>
      </c>
      <c r="C504" s="123" t="inlineStr">
        <is>
          <t>세븐힐스 컨트리클럽</t>
        </is>
      </c>
      <c r="D504" s="104" t="n"/>
      <c r="E504" s="105" t="inlineStr">
        <is>
          <t>천안시</t>
        </is>
      </c>
      <c r="F504" s="101" t="n">
        <v>18</v>
      </c>
      <c r="G504" s="101">
        <f>F504*4</f>
        <v/>
      </c>
      <c r="H504" s="106" t="n"/>
      <c r="I504" s="107" t="n"/>
      <c r="J504" s="108" t="n"/>
      <c r="K504" s="108" t="n"/>
      <c r="L504" s="108" t="n"/>
      <c r="M504" s="108" t="n"/>
      <c r="N504" s="108" t="n"/>
      <c r="O504" s="108" t="n"/>
      <c r="P504" s="101" t="n"/>
      <c r="Q504" s="109" t="n"/>
      <c r="R504" s="108" t="n"/>
      <c r="S504" s="110" t="inlineStr">
        <is>
          <t>🔲 데이터수집예정</t>
        </is>
      </c>
      <c r="T504" s="124" t="inlineStr">
        <is>
          <t>https://www.7hillscc.co.kr/</t>
        </is>
      </c>
      <c r="U504" s="96" t="n">
        <v>2007</v>
      </c>
      <c r="V504" s="96" t="inlineStr">
        <is>
          <t>041-529-7000</t>
        </is>
      </c>
      <c r="W504" s="181" t="inlineStr">
        <is>
          <t>회원제</t>
        </is>
      </c>
    </row>
    <row r="505" ht="15" customHeight="1" s="97">
      <c r="A505" s="101" t="n">
        <v>500</v>
      </c>
      <c r="B505" s="102" t="inlineStr">
        <is>
          <t>충북</t>
        </is>
      </c>
      <c r="C505" s="123" t="inlineStr">
        <is>
          <t>상떼힐 컨트리클럽</t>
        </is>
      </c>
      <c r="D505" s="104" t="n"/>
      <c r="E505" s="105" t="inlineStr">
        <is>
          <t>충주시</t>
        </is>
      </c>
      <c r="F505" s="101" t="n">
        <v>36</v>
      </c>
      <c r="G505" s="101">
        <f>F505*4</f>
        <v/>
      </c>
      <c r="H505" s="106" t="n"/>
      <c r="I505" s="107" t="n"/>
      <c r="J505" s="108" t="n"/>
      <c r="K505" s="108" t="n"/>
      <c r="L505" s="108" t="n"/>
      <c r="M505" s="108" t="n"/>
      <c r="N505" s="108" t="n"/>
      <c r="O505" s="108" t="n"/>
      <c r="P505" s="101" t="n"/>
      <c r="Q505" s="109" t="n"/>
      <c r="R505" s="108" t="n"/>
      <c r="S505" s="110" t="inlineStr">
        <is>
          <t>🔲 데이터수집예정</t>
        </is>
      </c>
      <c r="T505" s="124" t="inlineStr">
        <is>
          <t>https://www.santehill.co.kr/</t>
        </is>
      </c>
      <c r="U505" s="96" t="n">
        <v>2009</v>
      </c>
      <c r="V505" s="96" t="inlineStr">
        <is>
          <t>043-842-5500</t>
        </is>
      </c>
      <c r="W505" s="181" t="inlineStr">
        <is>
          <t>회원제</t>
        </is>
      </c>
    </row>
    <row r="506" ht="15" customHeight="1" s="97">
      <c r="A506" s="101" t="n">
        <v>501</v>
      </c>
      <c r="B506" s="102" t="inlineStr">
        <is>
          <t>경북</t>
        </is>
      </c>
      <c r="C506" s="123" t="inlineStr">
        <is>
          <t>경주 마우나오션 리조트 골프클럽</t>
        </is>
      </c>
      <c r="D506" s="104" t="n"/>
      <c r="E506" s="105" t="inlineStr">
        <is>
          <t>경주시 양남면</t>
        </is>
      </c>
      <c r="F506" s="101" t="n">
        <v>27</v>
      </c>
      <c r="G506" s="101">
        <f>F506*4</f>
        <v/>
      </c>
      <c r="H506" s="106" t="n"/>
      <c r="I506" s="107" t="n"/>
      <c r="J506" s="108" t="n"/>
      <c r="K506" s="108" t="n"/>
      <c r="L506" s="108" t="n"/>
      <c r="M506" s="108" t="n"/>
      <c r="N506" s="108" t="n"/>
      <c r="O506" s="108" t="n"/>
      <c r="P506" s="101" t="n"/>
      <c r="Q506" s="109" t="n"/>
      <c r="R506" s="108" t="n"/>
      <c r="S506" s="110" t="inlineStr">
        <is>
          <t>🔲 데이터수집예정</t>
        </is>
      </c>
      <c r="T506" s="124" t="inlineStr">
        <is>
          <t>https://www.maunaocean.com/</t>
        </is>
      </c>
      <c r="U506" s="96" t="n">
        <v>1999</v>
      </c>
      <c r="V506" s="96" t="inlineStr">
        <is>
          <t>054-740-7000</t>
        </is>
      </c>
      <c r="W506" s="181" t="inlineStr">
        <is>
          <t>마우나오션 리조트</t>
        </is>
      </c>
    </row>
    <row r="507" ht="15" customHeight="1" s="97">
      <c r="A507" s="101" t="n">
        <v>502</v>
      </c>
      <c r="B507" s="102" t="inlineStr">
        <is>
          <t>경북</t>
        </is>
      </c>
      <c r="C507" s="123" t="inlineStr">
        <is>
          <t>경주 블루원 디아너스 컨트리클럽</t>
        </is>
      </c>
      <c r="D507" s="104" t="n"/>
      <c r="E507" s="105" t="inlineStr">
        <is>
          <t>경주시</t>
        </is>
      </c>
      <c r="F507" s="101" t="n">
        <v>18</v>
      </c>
      <c r="G507" s="101">
        <f>F507*4</f>
        <v/>
      </c>
      <c r="H507" s="106" t="n"/>
      <c r="I507" s="107" t="n"/>
      <c r="J507" s="108" t="n"/>
      <c r="K507" s="108" t="n"/>
      <c r="L507" s="108" t="n"/>
      <c r="M507" s="108" t="n"/>
      <c r="N507" s="108" t="n"/>
      <c r="O507" s="108" t="n"/>
      <c r="P507" s="101" t="n"/>
      <c r="Q507" s="109" t="n"/>
      <c r="R507" s="108" t="n"/>
      <c r="S507" s="110" t="inlineStr">
        <is>
          <t>🔲 데이터수집예정</t>
        </is>
      </c>
      <c r="T507" s="124" t="inlineStr">
        <is>
          <t>https://www.blueone.com/</t>
        </is>
      </c>
      <c r="U507" s="96" t="n">
        <v>2012</v>
      </c>
      <c r="V507" s="96" t="inlineStr">
        <is>
          <t>054-749-0001</t>
        </is>
      </c>
      <c r="W507" s="181" t="inlineStr">
        <is>
          <t>블루원 / 그룹</t>
        </is>
      </c>
    </row>
    <row r="508" ht="15" customHeight="1" s="97">
      <c r="A508" s="101" t="n">
        <v>503</v>
      </c>
      <c r="B508" s="102" t="inlineStr">
        <is>
          <t>경북</t>
        </is>
      </c>
      <c r="C508" s="123" t="inlineStr">
        <is>
          <t>포항 컨트리클럽</t>
        </is>
      </c>
      <c r="D508" s="104" t="n"/>
      <c r="E508" s="105" t="inlineStr">
        <is>
          <t>포항시</t>
        </is>
      </c>
      <c r="F508" s="101" t="n">
        <v>27</v>
      </c>
      <c r="G508" s="101">
        <f>F508*4</f>
        <v/>
      </c>
      <c r="H508" s="106" t="n"/>
      <c r="I508" s="107" t="n"/>
      <c r="J508" s="108" t="n"/>
      <c r="K508" s="108" t="n"/>
      <c r="L508" s="108" t="n"/>
      <c r="M508" s="108" t="n"/>
      <c r="N508" s="108" t="n"/>
      <c r="O508" s="108" t="n"/>
      <c r="P508" s="101" t="n"/>
      <c r="Q508" s="109" t="n"/>
      <c r="R508" s="108" t="n"/>
      <c r="S508" s="110" t="inlineStr">
        <is>
          <t>🔲 데이터수집예정</t>
        </is>
      </c>
      <c r="T508" s="124" t="inlineStr">
        <is>
          <t>https://www.pohangcc.com/</t>
        </is>
      </c>
      <c r="U508" s="96" t="n">
        <v>1992</v>
      </c>
      <c r="V508" s="96" t="inlineStr">
        <is>
          <t>054-244-7001</t>
        </is>
      </c>
      <c r="W508" s="181" t="inlineStr">
        <is>
          <t>회원제</t>
        </is>
      </c>
    </row>
    <row r="509" ht="15" customHeight="1" s="97">
      <c r="A509" s="101" t="n">
        <v>504</v>
      </c>
      <c r="B509" s="102" t="inlineStr">
        <is>
          <t>경남</t>
        </is>
      </c>
      <c r="C509" s="123" t="inlineStr">
        <is>
          <t>통도 컨트리클럽</t>
        </is>
      </c>
      <c r="D509" s="104" t="n"/>
      <c r="E509" s="105" t="inlineStr">
        <is>
          <t>양산시 하북면</t>
        </is>
      </c>
      <c r="F509" s="101" t="n">
        <v>18</v>
      </c>
      <c r="G509" s="101">
        <f>F509*4</f>
        <v/>
      </c>
      <c r="H509" s="106" t="n"/>
      <c r="I509" s="107" t="n"/>
      <c r="J509" s="108" t="n"/>
      <c r="K509" s="108" t="n"/>
      <c r="L509" s="108" t="n"/>
      <c r="M509" s="108" t="n"/>
      <c r="N509" s="108" t="n"/>
      <c r="O509" s="108" t="n"/>
      <c r="P509" s="101" t="n"/>
      <c r="Q509" s="109" t="n"/>
      <c r="R509" s="108" t="n"/>
      <c r="S509" s="110" t="inlineStr">
        <is>
          <t>🔲 데이터수집예정</t>
        </is>
      </c>
      <c r="T509" s="124" t="inlineStr">
        <is>
          <t>https://www.tongdocc.co.kr/</t>
        </is>
      </c>
      <c r="U509" s="96" t="n">
        <v>2002</v>
      </c>
      <c r="V509" s="96" t="inlineStr">
        <is>
          <t>055-370-3000</t>
        </is>
      </c>
      <c r="W509" s="181" t="inlineStr">
        <is>
          <t>통도사 인근</t>
        </is>
      </c>
    </row>
    <row r="510" ht="15" customHeight="1" s="97">
      <c r="A510" s="101" t="n">
        <v>505</v>
      </c>
      <c r="B510" s="102" t="inlineStr">
        <is>
          <t>충남</t>
        </is>
      </c>
      <c r="C510" s="123" t="inlineStr">
        <is>
          <t>골든베이 골프앤리조트</t>
        </is>
      </c>
      <c r="D510" s="104" t="n"/>
      <c r="E510" s="105" t="inlineStr">
        <is>
          <t>태안군</t>
        </is>
      </c>
      <c r="F510" s="101" t="n">
        <v>27</v>
      </c>
      <c r="G510" s="101">
        <f>F510*4</f>
        <v/>
      </c>
      <c r="H510" s="106" t="n"/>
      <c r="I510" s="107" t="n"/>
      <c r="J510" s="108" t="n"/>
      <c r="K510" s="108" t="n"/>
      <c r="L510" s="108" t="n"/>
      <c r="M510" s="108" t="n"/>
      <c r="N510" s="108" t="n"/>
      <c r="O510" s="108" t="n"/>
      <c r="P510" s="101" t="n"/>
      <c r="Q510" s="109" t="n"/>
      <c r="R510" s="108" t="n"/>
      <c r="S510" s="110" t="inlineStr">
        <is>
          <t>🔲 데이터수집예정</t>
        </is>
      </c>
      <c r="T510" s="124" t="inlineStr">
        <is>
          <t>https://www.goldenbay.co.kr/</t>
        </is>
      </c>
      <c r="U510" s="96" t="n">
        <v>2010</v>
      </c>
      <c r="V510" s="96" t="inlineStr">
        <is>
          <t>041-674-7000</t>
        </is>
      </c>
      <c r="W510" s="181" t="inlineStr">
        <is>
          <t>서해안 오션뷰</t>
        </is>
      </c>
    </row>
    <row r="511" ht="15" customHeight="1" s="97">
      <c r="A511" s="101" t="n">
        <v>506</v>
      </c>
      <c r="B511" s="102" t="inlineStr">
        <is>
          <t>경기</t>
        </is>
      </c>
      <c r="C511" s="123" t="inlineStr">
        <is>
          <t>로얄 골프클럽</t>
        </is>
      </c>
      <c r="D511" s="104" t="n"/>
      <c r="E511" s="105" t="inlineStr">
        <is>
          <t>여주시</t>
        </is>
      </c>
      <c r="F511" s="101" t="n">
        <v>18</v>
      </c>
      <c r="G511" s="101">
        <f>F511*4</f>
        <v/>
      </c>
      <c r="H511" s="106" t="n"/>
      <c r="I511" s="107" t="n"/>
      <c r="J511" s="108" t="n"/>
      <c r="K511" s="108" t="n"/>
      <c r="L511" s="108" t="n"/>
      <c r="M511" s="108" t="n"/>
      <c r="N511" s="108" t="n"/>
      <c r="O511" s="108" t="n"/>
      <c r="P511" s="101" t="n"/>
      <c r="Q511" s="109" t="n"/>
      <c r="R511" s="108" t="n"/>
      <c r="S511" s="110" t="inlineStr">
        <is>
          <t>🔲 데이터수집예정</t>
        </is>
      </c>
      <c r="T511" s="124" t="inlineStr">
        <is>
          <t>https://www.royalgc.co.kr/</t>
        </is>
      </c>
      <c r="U511" s="96" t="n">
        <v>2004</v>
      </c>
      <c r="V511" s="96" t="inlineStr">
        <is>
          <t>031-881-9000</t>
        </is>
      </c>
      <c r="W511" s="181" t="inlineStr">
        <is>
          <t>회원제</t>
        </is>
      </c>
    </row>
    <row r="512" ht="15" customHeight="1" s="97">
      <c r="A512" s="101" t="n">
        <v>507</v>
      </c>
      <c r="B512" s="102" t="inlineStr">
        <is>
          <t>경기</t>
        </is>
      </c>
      <c r="C512" s="123" t="inlineStr">
        <is>
          <t>타니 컨트리클럽</t>
        </is>
      </c>
      <c r="D512" s="104" t="n"/>
      <c r="E512" s="105" t="inlineStr">
        <is>
          <t>여주시</t>
        </is>
      </c>
      <c r="F512" s="101" t="n">
        <v>18</v>
      </c>
      <c r="G512" s="101">
        <f>F512*4</f>
        <v/>
      </c>
      <c r="H512" s="106" t="n"/>
      <c r="I512" s="107" t="n"/>
      <c r="J512" s="108" t="n"/>
      <c r="K512" s="108" t="n"/>
      <c r="L512" s="108" t="n"/>
      <c r="M512" s="108" t="n"/>
      <c r="N512" s="108" t="n"/>
      <c r="O512" s="108" t="n"/>
      <c r="P512" s="101" t="n"/>
      <c r="Q512" s="109" t="n"/>
      <c r="R512" s="108" t="n"/>
      <c r="S512" s="110" t="inlineStr">
        <is>
          <t>🔲 데이터수집예정</t>
        </is>
      </c>
      <c r="T512" s="124" t="inlineStr">
        <is>
          <t>https://www.tanicc.co.kr/</t>
        </is>
      </c>
      <c r="U512" s="96" t="n">
        <v>2001</v>
      </c>
      <c r="V512" s="96" t="inlineStr">
        <is>
          <t>031-881-8080</t>
        </is>
      </c>
      <c r="W512" s="181" t="inlineStr">
        <is>
          <t>회원제</t>
        </is>
      </c>
    </row>
  </sheetData>
  <mergeCells count="2">
    <mergeCell ref="A1:U1"/>
    <mergeCell ref="A486:U486"/>
  </mergeCells>
  <hyperlinks>
    <hyperlink xmlns:r="http://schemas.openxmlformats.org/officeDocument/2006/relationships" ref="T20" display="https://www.nscc.co.kr" r:id="rId1"/>
    <hyperlink xmlns:r="http://schemas.openxmlformats.org/officeDocument/2006/relationships" ref="T32" display="https://www.lakeside.kr" r:id="rId2"/>
    <hyperlink xmlns:r="http://schemas.openxmlformats.org/officeDocument/2006/relationships" ref="T97" display="https://www.eastvalley.co.kr" r:id="rId3"/>
    <hyperlink xmlns:r="http://schemas.openxmlformats.org/officeDocument/2006/relationships" ref="T132" display="https://www.hanyangcc.com" r:id="rId4"/>
    <hyperlink xmlns:r="http://schemas.openxmlformats.org/officeDocument/2006/relationships" ref="T187" display="https://www.elysian.co.kr" r:id="rId5"/>
    <hyperlink xmlns:r="http://schemas.openxmlformats.org/officeDocument/2006/relationships" ref="T215" display="https://www.golfzoncounty.com" r:id="rId6"/>
    <hyperlink xmlns:r="http://schemas.openxmlformats.org/officeDocument/2006/relationships" ref="T276" display="https://www.yusungcc.co.kr" r:id="rId7"/>
    <hyperlink xmlns:r="http://schemas.openxmlformats.org/officeDocument/2006/relationships" ref="T369" display="https://sj.blueone.com" r:id="rId8"/>
    <hyperlink xmlns:r="http://schemas.openxmlformats.org/officeDocument/2006/relationships" ref="T400" display="https://www.gayacc.com" r:id="rId9"/>
    <hyperlink xmlns:r="http://schemas.openxmlformats.org/officeDocument/2006/relationships" ref="T479" display="https://www.ninebridges.co.kr" r:id="rId1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14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484375" defaultRowHeight="15" customHeight="0" zeroHeight="0" outlineLevelRow="0"/>
  <cols>
    <col width="5" customWidth="1" style="96" min="1" max="1"/>
    <col width="12" customWidth="1" style="96" min="2" max="2"/>
    <col width="26" customWidth="1" style="96" min="3" max="3"/>
    <col width="8" customWidth="1" style="96" min="4" max="4"/>
    <col width="32" customWidth="1" style="96" min="5" max="5"/>
    <col width="6" customWidth="1" style="96" min="6" max="6"/>
    <col width="7" customWidth="1" style="96" min="7" max="7"/>
    <col width="8" customWidth="1" style="96" min="8" max="8"/>
    <col width="9" customWidth="1" style="96" min="9" max="9"/>
    <col width="8" customWidth="1" style="96" min="10" max="13"/>
    <col width="7" customWidth="1" style="96" min="14" max="14"/>
    <col width="8" customWidth="1" style="96" min="15" max="15"/>
    <col width="7" customWidth="1" style="96" min="16" max="16"/>
    <col width="36" customWidth="1" style="96" min="17" max="17"/>
    <col width="12" customWidth="1" style="96" min="18" max="18"/>
    <col width="16" customWidth="1" style="96" min="19" max="19"/>
  </cols>
  <sheetData>
    <row r="1" ht="27.75" customHeight="1" s="97">
      <c r="A1" s="182" t="inlineStr">
        <is>
          <t>🇯🇵 GolfNow — 일본 골프장 마스터 (총 140개)</t>
        </is>
      </c>
    </row>
    <row r="2" ht="36" customHeight="1" s="97">
      <c r="A2" s="99" t="inlineStr">
        <is>
          <t>No.</t>
        </is>
      </c>
      <c r="B2" s="100" t="inlineStr">
        <is>
          <t>지역</t>
        </is>
      </c>
      <c r="C2" s="100" t="inlineStr">
        <is>
          <t>골프장명</t>
        </is>
      </c>
      <c r="D2" s="100" t="inlineStr">
        <is>
          <t>세부종류</t>
        </is>
      </c>
      <c r="E2" s="100" t="inlineStr">
        <is>
          <t>소재지 (일본)</t>
        </is>
      </c>
      <c r="F2" s="100" t="inlineStr">
        <is>
          <t>홀수</t>
        </is>
      </c>
      <c r="G2" s="100" t="inlineStr">
        <is>
          <t>파(Par)</t>
        </is>
      </c>
      <c r="H2" s="100" t="inlineStr">
        <is>
          <t>티박스
(1-5)</t>
        </is>
      </c>
      <c r="I2" s="100" t="inlineStr">
        <is>
          <t>페어웨이
(1-5)</t>
        </is>
      </c>
      <c r="J2" s="100" t="inlineStr">
        <is>
          <t>그린
(1-5)</t>
        </is>
      </c>
      <c r="K2" s="100" t="inlineStr">
        <is>
          <t>페이스
(1-5)</t>
        </is>
      </c>
      <c r="L2" s="100" t="inlineStr">
        <is>
          <t>캐디
(1-5)</t>
        </is>
      </c>
      <c r="M2" s="100" t="inlineStr">
        <is>
          <t>종합평점</t>
        </is>
      </c>
      <c r="N2" s="100" t="inlineStr">
        <is>
          <t>슬로프</t>
        </is>
      </c>
      <c r="O2" s="100" t="inlineStr">
        <is>
          <t>코스
레이팅</t>
        </is>
      </c>
      <c r="P2" s="100" t="inlineStr">
        <is>
          <t>난이도</t>
        </is>
      </c>
      <c r="Q2" s="100" t="inlineStr">
        <is>
          <t>공식 홈페이지</t>
        </is>
      </c>
      <c r="R2" s="100" t="inlineStr">
        <is>
          <t>개장년도</t>
        </is>
      </c>
      <c r="S2" s="100" t="inlineStr">
        <is>
          <t>전화번호</t>
        </is>
      </c>
      <c r="T2" s="100" t="inlineStr">
        <is>
          <t>비고</t>
        </is>
      </c>
    </row>
    <row r="3" ht="19.5" customHeight="1" s="97">
      <c r="A3" s="101" t="n">
        <v>1</v>
      </c>
      <c r="B3" s="102" t="inlineStr">
        <is>
          <t>일본·간토</t>
        </is>
      </c>
      <c r="C3" s="123" t="inlineStr">
        <is>
          <t>타이헤이요클럽 고텐바코스</t>
        </is>
      </c>
      <c r="D3" s="115" t="inlineStr">
        <is>
          <t>회원제</t>
        </is>
      </c>
      <c r="E3" s="105" t="inlineStr">
        <is>
          <t>静岡県御殿場市中畑字窪ノ田2500</t>
        </is>
      </c>
      <c r="F3" s="101" t="n">
        <v>18</v>
      </c>
      <c r="G3" s="101" t="n">
        <v>72</v>
      </c>
      <c r="H3" s="128" t="n">
        <v>4.6</v>
      </c>
      <c r="I3" s="127" t="n">
        <v>4.7</v>
      </c>
      <c r="J3" s="127" t="n">
        <v>4.8</v>
      </c>
      <c r="K3" s="139" t="n">
        <v>4</v>
      </c>
      <c r="L3" s="127" t="n">
        <v>5</v>
      </c>
      <c r="M3" s="129">
        <f>ROUND(AVERAGE(H3:L3),2)</f>
        <v/>
      </c>
      <c r="N3" s="101" t="n">
        <v>133</v>
      </c>
      <c r="O3" s="109" t="n">
        <v>72.5</v>
      </c>
      <c r="P3" s="162" t="inlineStr">
        <is>
          <t>상급</t>
        </is>
      </c>
      <c r="Q3" s="138" t="inlineStr">
        <is>
          <t>http://www.taiheiyoclub.com/gotemba</t>
        </is>
      </c>
      <c r="T3" s="111" t="n"/>
    </row>
    <row r="4" ht="19.5" customHeight="1" s="97">
      <c r="A4" s="112" t="n">
        <v>2</v>
      </c>
      <c r="B4" s="113" t="inlineStr">
        <is>
          <t>일본·간사이</t>
        </is>
      </c>
      <c r="C4" s="122" t="inlineStr">
        <is>
          <t>히로노 골프 클럽</t>
        </is>
      </c>
      <c r="D4" s="115" t="inlineStr">
        <is>
          <t>회원제</t>
        </is>
      </c>
      <c r="E4" s="116" t="inlineStr">
        <is>
          <t>兵庫県三木市志染町広野1丁目1</t>
        </is>
      </c>
      <c r="F4" s="112" t="n">
        <v>18</v>
      </c>
      <c r="G4" s="112" t="n">
        <v>72</v>
      </c>
      <c r="H4" s="127" t="n">
        <v>4.9</v>
      </c>
      <c r="I4" s="127" t="n">
        <v>4.9</v>
      </c>
      <c r="J4" s="127" t="n">
        <v>5</v>
      </c>
      <c r="K4" s="128" t="n">
        <v>4.2</v>
      </c>
      <c r="L4" s="127" t="n">
        <v>5</v>
      </c>
      <c r="M4" s="137">
        <f>ROUND(AVERAGE(H4:L4),2)</f>
        <v/>
      </c>
      <c r="N4" s="112" t="n">
        <v>139</v>
      </c>
      <c r="O4" s="119" t="n">
        <v>73.40000000000001</v>
      </c>
      <c r="P4" s="162" t="inlineStr">
        <is>
          <t>상급</t>
        </is>
      </c>
      <c r="Q4" s="132" t="inlineStr">
        <is>
          <t>https://hironogolfclub.jp</t>
        </is>
      </c>
      <c r="T4" s="121" t="n"/>
    </row>
    <row r="5" ht="19.5" customHeight="1" s="97">
      <c r="A5" s="101" t="n">
        <v>3</v>
      </c>
      <c r="B5" s="102" t="inlineStr">
        <is>
          <t>일본·간토</t>
        </is>
      </c>
      <c r="C5" s="123" t="inlineStr">
        <is>
          <t>가스미가세키 컨트리클럽</t>
        </is>
      </c>
      <c r="D5" s="115" t="inlineStr">
        <is>
          <t>회원제</t>
        </is>
      </c>
      <c r="E5" s="105" t="inlineStr">
        <is>
          <t>埼玉県川越市笠幡4459</t>
        </is>
      </c>
      <c r="F5" s="101" t="n">
        <v>36</v>
      </c>
      <c r="G5" s="101" t="n">
        <v>144</v>
      </c>
      <c r="H5" s="128" t="n">
        <v>4.4</v>
      </c>
      <c r="I5" s="128" t="n">
        <v>4.5</v>
      </c>
      <c r="J5" s="128" t="n">
        <v>4.6</v>
      </c>
      <c r="K5" s="139" t="n">
        <v>3.5</v>
      </c>
      <c r="L5" s="127" t="n">
        <v>4.8</v>
      </c>
      <c r="M5" s="129">
        <f>ROUND(AVERAGE(H5:L5),2)</f>
        <v/>
      </c>
      <c r="N5" s="101" t="n">
        <v>134</v>
      </c>
      <c r="O5" s="109" t="n">
        <v>72.7</v>
      </c>
      <c r="P5" s="162" t="inlineStr">
        <is>
          <t>상급</t>
        </is>
      </c>
      <c r="Q5" s="138" t="inlineStr">
        <is>
          <t>https://www.kasumigasekicc.or.jp</t>
        </is>
      </c>
      <c r="T5" s="111" t="n"/>
    </row>
    <row r="6" ht="19.5" customHeight="1" s="97">
      <c r="A6" s="112" t="n">
        <v>4</v>
      </c>
      <c r="B6" s="113" t="inlineStr">
        <is>
          <t>일본·간토</t>
        </is>
      </c>
      <c r="C6" s="122" t="inlineStr">
        <is>
          <t>가와나 호텔 골프코스</t>
        </is>
      </c>
      <c r="D6" s="115" t="inlineStr">
        <is>
          <t>회원제</t>
        </is>
      </c>
      <c r="E6" s="116" t="inlineStr">
        <is>
          <t>静岡県伊東市川奈1459</t>
        </is>
      </c>
      <c r="F6" s="112" t="n">
        <v>18</v>
      </c>
      <c r="G6" s="112" t="n">
        <v>72</v>
      </c>
      <c r="H6" s="128" t="n">
        <v>4.2</v>
      </c>
      <c r="I6" s="128" t="n">
        <v>4.3</v>
      </c>
      <c r="J6" s="128" t="n">
        <v>4.5</v>
      </c>
      <c r="K6" s="139" t="n">
        <v>4.1</v>
      </c>
      <c r="L6" s="127" t="n">
        <v>4.9</v>
      </c>
      <c r="M6" s="129">
        <f>ROUND(AVERAGE(H6:L6),2)</f>
        <v/>
      </c>
      <c r="N6" s="112" t="n">
        <v>126</v>
      </c>
      <c r="O6" s="119" t="n">
        <v>71.3</v>
      </c>
      <c r="P6" s="130" t="inlineStr">
        <is>
          <t>중급</t>
        </is>
      </c>
      <c r="Q6" s="132" t="inlineStr">
        <is>
          <t>https://www.princehotels.com/kawana/facilities/kawanagolf/</t>
        </is>
      </c>
      <c r="T6" s="121" t="n"/>
    </row>
    <row r="7" ht="19.5" customHeight="1" s="97">
      <c r="A7" s="101" t="n">
        <v>5</v>
      </c>
      <c r="B7" s="102" t="inlineStr">
        <is>
          <t>일본·큐슈</t>
        </is>
      </c>
      <c r="C7" s="123" t="inlineStr">
        <is>
          <t>고가 골프 클럽</t>
        </is>
      </c>
      <c r="D7" s="115" t="inlineStr">
        <is>
          <t>회원제</t>
        </is>
      </c>
      <c r="E7" s="105" t="inlineStr">
        <is>
          <t>福岡県古賀市青柳1635</t>
        </is>
      </c>
      <c r="F7" s="101" t="n">
        <v>18</v>
      </c>
      <c r="G7" s="101" t="n">
        <v>72</v>
      </c>
      <c r="H7" s="139" t="n">
        <v>4.1</v>
      </c>
      <c r="I7" s="128" t="n">
        <v>4.2</v>
      </c>
      <c r="J7" s="128" t="n">
        <v>4.4</v>
      </c>
      <c r="K7" s="128" t="n">
        <v>4.3</v>
      </c>
      <c r="L7" s="127" t="n">
        <v>4.8</v>
      </c>
      <c r="M7" s="129">
        <f>ROUND(AVERAGE(H7:L7),2)</f>
        <v/>
      </c>
      <c r="N7" s="101" t="n">
        <v>121</v>
      </c>
      <c r="O7" s="109" t="n">
        <v>70.7</v>
      </c>
      <c r="P7" s="130" t="inlineStr">
        <is>
          <t>중급</t>
        </is>
      </c>
      <c r="Q7" s="138" t="inlineStr">
        <is>
          <t>https://www.kogagolfclub.jp</t>
        </is>
      </c>
      <c r="T7" s="111" t="n"/>
    </row>
    <row r="8" ht="19.5" customHeight="1" s="97">
      <c r="A8" s="112" t="n">
        <v>6</v>
      </c>
      <c r="B8" s="113" t="inlineStr">
        <is>
          <t>일본·오키나와</t>
        </is>
      </c>
      <c r="C8" s="114" t="inlineStr">
        <is>
          <t>PGM 골프 리조트 오키나와</t>
        </is>
      </c>
      <c r="D8" s="104" t="inlineStr">
        <is>
          <t>대중제</t>
        </is>
      </c>
      <c r="E8" s="116" t="inlineStr">
        <is>
          <t>沖縄県国頭郡恩納村冨着1043</t>
        </is>
      </c>
      <c r="F8" s="112" t="n">
        <v>27</v>
      </c>
      <c r="G8" s="112" t="n">
        <v>108</v>
      </c>
      <c r="H8" s="128" t="n">
        <v>4.3</v>
      </c>
      <c r="I8" s="128" t="n">
        <v>4.4</v>
      </c>
      <c r="J8" s="128" t="n">
        <v>4.5</v>
      </c>
      <c r="K8" s="139" t="n">
        <v>3.5</v>
      </c>
      <c r="L8" s="128" t="n">
        <v>4.5</v>
      </c>
      <c r="M8" s="129">
        <f>ROUND(AVERAGE(H8:L8),2)</f>
        <v/>
      </c>
      <c r="N8" s="112" t="n">
        <v>118</v>
      </c>
      <c r="O8" s="119" t="n">
        <v>70.09999999999999</v>
      </c>
      <c r="P8" s="130" t="inlineStr">
        <is>
          <t>중급</t>
        </is>
      </c>
      <c r="Q8" s="132" t="inlineStr">
        <is>
          <t>http://www.pacificgolf.co.jp/okinawa/</t>
        </is>
      </c>
      <c r="T8" s="121" t="n"/>
    </row>
    <row r="9" ht="19.5" customHeight="1" s="97">
      <c r="A9" s="101" t="n">
        <v>7</v>
      </c>
      <c r="B9" s="102" t="inlineStr">
        <is>
          <t>일본·간토</t>
        </is>
      </c>
      <c r="C9" s="123" t="inlineStr">
        <is>
          <t>가루이자와 72 골프</t>
        </is>
      </c>
      <c r="D9" s="104" t="inlineStr">
        <is>
          <t>대중제</t>
        </is>
      </c>
      <c r="E9" s="105" t="inlineStr">
        <is>
          <t>長野県北佐久郡軽井沢町大字長倉字塩沢2148</t>
        </is>
      </c>
      <c r="F9" s="101" t="n">
        <v>72</v>
      </c>
      <c r="G9" s="101" t="n">
        <v>288</v>
      </c>
      <c r="H9" s="139" t="n">
        <v>3.6</v>
      </c>
      <c r="I9" s="139" t="n">
        <v>3.7</v>
      </c>
      <c r="J9" s="139" t="n">
        <v>3.9</v>
      </c>
      <c r="K9" s="128" t="n">
        <v>4.3</v>
      </c>
      <c r="L9" s="139" t="n">
        <v>4</v>
      </c>
      <c r="M9" s="140">
        <f>ROUND(AVERAGE(H9:L9),2)</f>
        <v/>
      </c>
      <c r="N9" s="101" t="n">
        <v>120</v>
      </c>
      <c r="O9" s="109" t="n">
        <v>70.5</v>
      </c>
      <c r="P9" s="130" t="inlineStr">
        <is>
          <t>중급</t>
        </is>
      </c>
      <c r="Q9" s="138" t="inlineStr">
        <is>
          <t>https://www.princehotels.com/en/golf/karu72/</t>
        </is>
      </c>
      <c r="T9" s="111" t="n"/>
    </row>
    <row r="10" ht="19.5" customHeight="1" s="97">
      <c r="A10" s="112" t="n">
        <v>8</v>
      </c>
      <c r="B10" s="113" t="inlineStr">
        <is>
          <t>일본·간토</t>
        </is>
      </c>
      <c r="C10" s="122" t="inlineStr">
        <is>
          <t>도쿄 골프 클럽</t>
        </is>
      </c>
      <c r="D10" s="115" t="inlineStr">
        <is>
          <t>회원제</t>
        </is>
      </c>
      <c r="E10" s="116" t="inlineStr">
        <is>
          <t>埼玉県狭山市柏原1984</t>
        </is>
      </c>
      <c r="F10" s="112" t="n">
        <v>18</v>
      </c>
      <c r="G10" s="112" t="n">
        <v>72</v>
      </c>
      <c r="H10" s="128" t="n">
        <v>4.5</v>
      </c>
      <c r="I10" s="128" t="n">
        <v>4.6</v>
      </c>
      <c r="J10" s="127" t="n">
        <v>4.7</v>
      </c>
      <c r="K10" s="139" t="n">
        <v>4</v>
      </c>
      <c r="L10" s="127" t="n">
        <v>4.9</v>
      </c>
      <c r="M10" s="129">
        <f>ROUND(AVERAGE(H10:L10),2)</f>
        <v/>
      </c>
      <c r="N10" s="112" t="n">
        <v>136</v>
      </c>
      <c r="O10" s="119" t="n">
        <v>73.09999999999999</v>
      </c>
      <c r="P10" s="162" t="inlineStr">
        <is>
          <t>상급</t>
        </is>
      </c>
      <c r="Q10" s="132" t="inlineStr">
        <is>
          <t>https://www.tokyogolfclub.jp</t>
        </is>
      </c>
      <c r="T10" s="121" t="n"/>
    </row>
    <row r="11" ht="19.5" customHeight="1" s="97">
      <c r="A11" s="101" t="n">
        <v>9</v>
      </c>
      <c r="B11" s="102" t="inlineStr">
        <is>
          <t>일본·간사이</t>
        </is>
      </c>
      <c r="C11" s="123" t="inlineStr">
        <is>
          <t>비와코 컨트리클럽</t>
        </is>
      </c>
      <c r="D11" s="115" t="inlineStr">
        <is>
          <t>회원제</t>
        </is>
      </c>
      <c r="E11" s="105" t="inlineStr">
        <is>
          <t>滋賀県栗東市出庭513</t>
        </is>
      </c>
      <c r="F11" s="101" t="n">
        <v>63</v>
      </c>
      <c r="G11" s="101" t="n">
        <v>252</v>
      </c>
      <c r="H11" s="139" t="n">
        <v>3.8</v>
      </c>
      <c r="I11" s="139" t="n">
        <v>3.9</v>
      </c>
      <c r="J11" s="139" t="n">
        <v>4.1</v>
      </c>
      <c r="K11" s="139" t="n">
        <v>4</v>
      </c>
      <c r="L11" s="128" t="n">
        <v>4.4</v>
      </c>
      <c r="M11" s="140">
        <f>ROUND(AVERAGE(H11:L11),2)</f>
        <v/>
      </c>
      <c r="N11" s="101" t="n">
        <v>125</v>
      </c>
      <c r="O11" s="109" t="n">
        <v>71.2</v>
      </c>
      <c r="P11" s="130" t="inlineStr">
        <is>
          <t>중급</t>
        </is>
      </c>
      <c r="Q11" s="138" t="inlineStr">
        <is>
          <t>https://www.biwakocc.com</t>
        </is>
      </c>
      <c r="T11" s="111" t="n"/>
    </row>
    <row r="12" ht="19.5" customHeight="1" s="97">
      <c r="A12" s="112" t="n">
        <v>10</v>
      </c>
      <c r="B12" s="113" t="inlineStr">
        <is>
          <t>일본·간토</t>
        </is>
      </c>
      <c r="C12" s="122" t="inlineStr">
        <is>
          <t>아코다 골프 클럽 나라시노</t>
        </is>
      </c>
      <c r="D12" s="104" t="inlineStr">
        <is>
          <t>대중제</t>
        </is>
      </c>
      <c r="E12" s="116" t="inlineStr">
        <is>
          <t>千葉県習志野市茜浜3丁目1-1</t>
        </is>
      </c>
      <c r="F12" s="112" t="n">
        <v>18</v>
      </c>
      <c r="G12" s="112" t="n">
        <v>72</v>
      </c>
      <c r="H12" s="128" t="n">
        <v>4.3</v>
      </c>
      <c r="I12" s="128" t="n">
        <v>4.4</v>
      </c>
      <c r="J12" s="128" t="n">
        <v>4.6</v>
      </c>
      <c r="K12" s="139" t="n">
        <v>3.8</v>
      </c>
      <c r="L12" s="127" t="n">
        <v>4.7</v>
      </c>
      <c r="M12" s="129">
        <f>ROUND(AVERAGE(H12:L12),2)</f>
        <v/>
      </c>
      <c r="N12" s="112" t="n">
        <v>130</v>
      </c>
      <c r="O12" s="119" t="n">
        <v>72</v>
      </c>
      <c r="P12" s="162" t="inlineStr">
        <is>
          <t>상급</t>
        </is>
      </c>
      <c r="Q12" s="132" t="inlineStr">
        <is>
          <t>https://www.accordia-golf.com/course/akodanarashinogolf/</t>
        </is>
      </c>
      <c r="T12" s="121" t="n"/>
    </row>
    <row r="13" ht="15" customHeight="1" s="97">
      <c r="A13" s="101" t="n">
        <v>11</v>
      </c>
      <c r="B13" s="102" t="inlineStr">
        <is>
          <t>일본·간사이</t>
        </is>
      </c>
      <c r="C13" s="183" t="inlineStr">
        <is>
          <t>Hirono Golf Club (廣野ゴルフ倶楽部)</t>
        </is>
      </c>
      <c r="D13" s="115" t="n"/>
      <c r="E13" s="184" t="inlineStr">
        <is>
          <t>Hyogo, Miki</t>
        </is>
      </c>
      <c r="F13" s="101" t="n">
        <v>18</v>
      </c>
      <c r="G13" s="101">
        <f>F13/18*72</f>
        <v/>
      </c>
      <c r="H13" s="128" t="n"/>
      <c r="I13" s="127" t="n"/>
      <c r="J13" s="127" t="n"/>
      <c r="K13" s="139" t="n"/>
      <c r="L13" s="127" t="n"/>
      <c r="M13" s="129" t="n"/>
      <c r="N13" s="101" t="n"/>
      <c r="O13" s="109" t="n"/>
      <c r="P13" s="162" t="n"/>
      <c r="Q13" s="138" t="inlineStr">
        <is>
          <t>https://www.hirono-gc.or.jp/</t>
        </is>
      </c>
      <c r="R13" s="96" t="n">
        <v>1932</v>
      </c>
      <c r="T13" s="125" t="inlineStr">
        <is>
          <t>Consistently ranked Japan #1 course</t>
        </is>
      </c>
    </row>
    <row r="14" ht="15" customHeight="1" s="97">
      <c r="A14" s="101" t="n">
        <v>12</v>
      </c>
      <c r="B14" s="102" t="inlineStr">
        <is>
          <t>일본·간사이</t>
        </is>
      </c>
      <c r="C14" s="183" t="inlineStr">
        <is>
          <t>Naruo Golf Club (鳴尾ゴルフ倶楽部)</t>
        </is>
      </c>
      <c r="D14" s="115" t="n"/>
      <c r="E14" s="184" t="inlineStr">
        <is>
          <t>Hyogo, Kawanishi</t>
        </is>
      </c>
      <c r="F14" s="101" t="n">
        <v>18</v>
      </c>
      <c r="G14" s="101">
        <f>F14/18*72</f>
        <v/>
      </c>
      <c r="H14" s="128" t="n"/>
      <c r="I14" s="127" t="n"/>
      <c r="J14" s="127" t="n"/>
      <c r="K14" s="139" t="n"/>
      <c r="L14" s="127" t="n"/>
      <c r="M14" s="129" t="n"/>
      <c r="N14" s="101" t="n"/>
      <c r="O14" s="109" t="n"/>
      <c r="P14" s="162" t="n"/>
      <c r="Q14" s="138" t="inlineStr">
        <is>
          <t>https://www.naruogolf.or.jp/</t>
        </is>
      </c>
      <c r="R14" s="96" t="n">
        <v>1920</v>
      </c>
      <c r="T14" s="125" t="inlineStr">
        <is>
          <t>One of Japan's oldest and most prestigious clubs</t>
        </is>
      </c>
    </row>
    <row r="15" ht="15" customHeight="1" s="97">
      <c r="A15" s="101" t="n">
        <v>13</v>
      </c>
      <c r="B15" s="102" t="inlineStr">
        <is>
          <t>일본·간토</t>
        </is>
      </c>
      <c r="C15" s="183" t="inlineStr">
        <is>
          <t>Kawana Hotel Golf Course - Fuji Course (川奈ホテルゴルフコース 富士コース)</t>
        </is>
      </c>
      <c r="D15" s="115" t="n"/>
      <c r="E15" s="184" t="inlineStr">
        <is>
          <t>Shizuoka, Ito</t>
        </is>
      </c>
      <c r="F15" s="101" t="n">
        <v>18</v>
      </c>
      <c r="G15" s="101">
        <f>F15/18*72</f>
        <v/>
      </c>
      <c r="H15" s="128" t="n"/>
      <c r="I15" s="127" t="n"/>
      <c r="J15" s="127" t="n"/>
      <c r="K15" s="139" t="n"/>
      <c r="L15" s="127" t="n"/>
      <c r="M15" s="129" t="n"/>
      <c r="N15" s="101" t="n"/>
      <c r="O15" s="109" t="n"/>
      <c r="P15" s="162" t="n"/>
      <c r="Q15" s="138" t="inlineStr">
        <is>
          <t>https://www.princehotels.co.jp/kawana/golf/</t>
        </is>
      </c>
      <c r="R15" s="96" t="n">
        <v>1936</v>
      </c>
      <c r="T15" s="125" t="inlineStr">
        <is>
          <t>Iconic cliff-top resort course with Pacific Ocean views</t>
        </is>
      </c>
    </row>
    <row r="16" ht="15" customHeight="1" s="97">
      <c r="A16" s="101" t="n">
        <v>14</v>
      </c>
      <c r="B16" s="102" t="inlineStr">
        <is>
          <t>일본·간토</t>
        </is>
      </c>
      <c r="C16" s="183" t="inlineStr">
        <is>
          <t>Kawana Hotel Golf Course - Oshima Course (川奈ホテルゴルフコース 大島コース)</t>
        </is>
      </c>
      <c r="D16" s="115" t="n"/>
      <c r="E16" s="184" t="inlineStr">
        <is>
          <t>Shizuoka, Ito</t>
        </is>
      </c>
      <c r="F16" s="101" t="n">
        <v>18</v>
      </c>
      <c r="G16" s="101">
        <f>F16/18*72</f>
        <v/>
      </c>
      <c r="H16" s="128" t="n"/>
      <c r="I16" s="127" t="n"/>
      <c r="J16" s="127" t="n"/>
      <c r="K16" s="139" t="n"/>
      <c r="L16" s="127" t="n"/>
      <c r="M16" s="129" t="n"/>
      <c r="N16" s="101" t="n"/>
      <c r="O16" s="109" t="n"/>
      <c r="P16" s="162" t="n"/>
      <c r="Q16" s="138" t="inlineStr">
        <is>
          <t>https://www.princehotels.co.jp/kawana/golf/</t>
        </is>
      </c>
      <c r="R16" s="96" t="n">
        <v>1928</v>
      </c>
      <c r="T16" s="125" t="inlineStr">
        <is>
          <t>Oldest course at Kawana Hotel</t>
        </is>
      </c>
    </row>
    <row r="17" ht="15" customHeight="1" s="97">
      <c r="A17" s="101" t="n">
        <v>15</v>
      </c>
      <c r="B17" s="102" t="inlineStr">
        <is>
          <t>일본·간토</t>
        </is>
      </c>
      <c r="C17" s="183" t="inlineStr">
        <is>
          <t>Tokyo Golf Club (東京ゴルフ倶楽部)</t>
        </is>
      </c>
      <c r="D17" s="115" t="n"/>
      <c r="E17" s="184" t="inlineStr">
        <is>
          <t>Saitama, Sayama</t>
        </is>
      </c>
      <c r="F17" s="101" t="n">
        <v>18</v>
      </c>
      <c r="G17" s="101">
        <f>F17/18*72</f>
        <v/>
      </c>
      <c r="H17" s="128" t="n"/>
      <c r="I17" s="127" t="n"/>
      <c r="J17" s="127" t="n"/>
      <c r="K17" s="139" t="n"/>
      <c r="L17" s="127" t="n"/>
      <c r="M17" s="129" t="n"/>
      <c r="N17" s="101" t="n"/>
      <c r="O17" s="109" t="n"/>
      <c r="P17" s="162" t="n"/>
      <c r="Q17" s="138" t="inlineStr">
        <is>
          <t>https://www.tokyogolfclub.jp/</t>
        </is>
      </c>
      <c r="R17" s="96" t="n">
        <v>1914</v>
      </c>
      <c r="T17" s="125" t="inlineStr">
        <is>
          <t>Oldest Japanese-founded golf club</t>
        </is>
      </c>
    </row>
    <row r="18" ht="15" customHeight="1" s="97">
      <c r="A18" s="101" t="n">
        <v>16</v>
      </c>
      <c r="B18" s="102" t="inlineStr">
        <is>
          <t>일본·간토</t>
        </is>
      </c>
      <c r="C18" s="183" t="inlineStr">
        <is>
          <t>Kasumigaseki Country Club - East Course (霞ヶ関カンツリー倶楽部 東コース)</t>
        </is>
      </c>
      <c r="D18" s="115" t="n"/>
      <c r="E18" s="184" t="inlineStr">
        <is>
          <t>Saitama, Kawagoe</t>
        </is>
      </c>
      <c r="F18" s="101" t="n">
        <v>18</v>
      </c>
      <c r="G18" s="101">
        <f>F18/18*72</f>
        <v/>
      </c>
      <c r="H18" s="128" t="n"/>
      <c r="I18" s="127" t="n"/>
      <c r="J18" s="127" t="n"/>
      <c r="K18" s="139" t="n"/>
      <c r="L18" s="127" t="n"/>
      <c r="M18" s="129" t="n"/>
      <c r="N18" s="101" t="n"/>
      <c r="O18" s="109" t="n"/>
      <c r="P18" s="162" t="n"/>
      <c r="Q18" s="138" t="inlineStr">
        <is>
          <t>https://www.kasumigasekicc.or.jp/</t>
        </is>
      </c>
      <c r="R18" s="96" t="n">
        <v>1929</v>
      </c>
      <c r="T18" s="125" t="inlineStr">
        <is>
          <t>Host of 2020 Tokyo Olympics golf competition</t>
        </is>
      </c>
    </row>
    <row r="19" ht="15" customHeight="1" s="97">
      <c r="A19" s="101" t="n">
        <v>17</v>
      </c>
      <c r="B19" s="102" t="inlineStr">
        <is>
          <t>일본·간토</t>
        </is>
      </c>
      <c r="C19" s="183" t="inlineStr">
        <is>
          <t>Kasumigaseki Country Club - West Course (霞ヶ関カンツリー倶楽部 西コース)</t>
        </is>
      </c>
      <c r="D19" s="115" t="n"/>
      <c r="E19" s="184" t="inlineStr">
        <is>
          <t>Saitama, Kawagoe</t>
        </is>
      </c>
      <c r="F19" s="101" t="n">
        <v>18</v>
      </c>
      <c r="G19" s="101">
        <f>F19/18*72</f>
        <v/>
      </c>
      <c r="H19" s="128" t="n"/>
      <c r="I19" s="127" t="n"/>
      <c r="J19" s="127" t="n"/>
      <c r="K19" s="139" t="n"/>
      <c r="L19" s="127" t="n"/>
      <c r="M19" s="129" t="n"/>
      <c r="N19" s="101" t="n"/>
      <c r="O19" s="109" t="n"/>
      <c r="P19" s="162" t="n"/>
      <c r="Q19" s="138" t="inlineStr">
        <is>
          <t>https://www.kasumigasekicc.or.jp/</t>
        </is>
      </c>
      <c r="R19" s="96" t="n">
        <v>1931</v>
      </c>
      <c r="T19" s="125" t="inlineStr">
        <is>
          <t>Companion course to the East</t>
        </is>
      </c>
    </row>
    <row r="20" ht="15" customHeight="1" s="97">
      <c r="A20" s="101" t="n">
        <v>18</v>
      </c>
      <c r="B20" s="102" t="inlineStr">
        <is>
          <t>일본·간토</t>
        </is>
      </c>
      <c r="C20" s="183" t="inlineStr">
        <is>
          <t>Oarai Golf Club (大洗ゴルフ倶楽部)</t>
        </is>
      </c>
      <c r="D20" s="115" t="n"/>
      <c r="E20" s="184" t="inlineStr">
        <is>
          <t>Ibaraki, Oarai</t>
        </is>
      </c>
      <c r="F20" s="101" t="n">
        <v>18</v>
      </c>
      <c r="G20" s="101">
        <f>F20/18*72</f>
        <v/>
      </c>
      <c r="H20" s="128" t="n"/>
      <c r="I20" s="127" t="n"/>
      <c r="J20" s="127" t="n"/>
      <c r="K20" s="139" t="n"/>
      <c r="L20" s="127" t="n"/>
      <c r="M20" s="129" t="n"/>
      <c r="N20" s="101" t="n"/>
      <c r="O20" s="109" t="n"/>
      <c r="P20" s="162" t="n"/>
      <c r="Q20" s="138" t="inlineStr">
        <is>
          <t>https://www.oaraigc.or.jp/</t>
        </is>
      </c>
      <c r="R20" s="96" t="n">
        <v>1953</v>
      </c>
      <c r="T20" s="125" t="inlineStr">
        <is>
          <t>Links-style course on the Pacific coast</t>
        </is>
      </c>
    </row>
    <row r="21" ht="15" customHeight="1" s="97">
      <c r="A21" s="101" t="n">
        <v>19</v>
      </c>
      <c r="B21" s="102" t="inlineStr">
        <is>
          <t>일본·간사이</t>
        </is>
      </c>
      <c r="C21" s="183" t="inlineStr">
        <is>
          <t>Kobe Golf Club (神戸ゴルフ倶楽部)</t>
        </is>
      </c>
      <c r="D21" s="115" t="n"/>
      <c r="E21" s="184" t="inlineStr">
        <is>
          <t>Hyogo, Kobe</t>
        </is>
      </c>
      <c r="F21" s="101" t="n">
        <v>9</v>
      </c>
      <c r="G21" s="101">
        <f>F21/18*72</f>
        <v/>
      </c>
      <c r="H21" s="128" t="n"/>
      <c r="I21" s="127" t="n"/>
      <c r="J21" s="127" t="n"/>
      <c r="K21" s="139" t="n"/>
      <c r="L21" s="127" t="n"/>
      <c r="M21" s="129" t="n"/>
      <c r="N21" s="101" t="n"/>
      <c r="O21" s="109" t="n"/>
      <c r="P21" s="162" t="n"/>
      <c r="Q21" s="138" t="inlineStr">
        <is>
          <t>https://www.kobegolfclub.com/</t>
        </is>
      </c>
      <c r="R21" s="96" t="n">
        <v>1903</v>
      </c>
      <c r="T21" s="125" t="inlineStr">
        <is>
          <t>Japan's first golf club, on Mt. Rokko</t>
        </is>
      </c>
    </row>
    <row r="22" ht="15" customHeight="1" s="97">
      <c r="A22" s="101" t="n">
        <v>20</v>
      </c>
      <c r="B22" s="102" t="inlineStr">
        <is>
          <t>일본·큐슈</t>
        </is>
      </c>
      <c r="C22" s="183" t="inlineStr">
        <is>
          <t>Phoenix Country Club (フェニックスカントリークラブ)</t>
        </is>
      </c>
      <c r="D22" s="115" t="n"/>
      <c r="E22" s="184" t="inlineStr">
        <is>
          <t>Miyazaki, Miyazaki</t>
        </is>
      </c>
      <c r="F22" s="101" t="n">
        <v>27</v>
      </c>
      <c r="G22" s="101">
        <f>F22/18*72</f>
        <v/>
      </c>
      <c r="H22" s="128" t="n"/>
      <c r="I22" s="127" t="n"/>
      <c r="J22" s="127" t="n"/>
      <c r="K22" s="139" t="n"/>
      <c r="L22" s="127" t="n"/>
      <c r="M22" s="129" t="n"/>
      <c r="N22" s="101" t="n"/>
      <c r="O22" s="109" t="n"/>
      <c r="P22" s="162" t="n"/>
      <c r="Q22" s="138" t="inlineStr">
        <is>
          <t>https://seagaia.co.jp/golf/phoenix/</t>
        </is>
      </c>
      <c r="R22" s="96" t="n">
        <v>1971</v>
      </c>
      <c r="T22" s="125" t="inlineStr">
        <is>
          <t>Host of Dunlop Phoenix Tournament; part of Sheraton Grande Ocean Resort (Seagaia)</t>
        </is>
      </c>
    </row>
    <row r="23" ht="15" customHeight="1" s="97">
      <c r="A23" s="101" t="n">
        <v>21</v>
      </c>
      <c r="B23" s="102" t="inlineStr">
        <is>
          <t>일본·큐슈</t>
        </is>
      </c>
      <c r="C23" s="183" t="inlineStr">
        <is>
          <t>Tom Watson Golf Course (Phoenix Seagaia) (トム・ワトソンゴルフコース)</t>
        </is>
      </c>
      <c r="D23" s="115" t="n"/>
      <c r="E23" s="184" t="inlineStr">
        <is>
          <t>Miyazaki, Miyazaki</t>
        </is>
      </c>
      <c r="F23" s="101" t="n">
        <v>18</v>
      </c>
      <c r="G23" s="101">
        <f>F23/18*72</f>
        <v/>
      </c>
      <c r="H23" s="128" t="n"/>
      <c r="I23" s="127" t="n"/>
      <c r="J23" s="127" t="n"/>
      <c r="K23" s="139" t="n"/>
      <c r="L23" s="127" t="n"/>
      <c r="M23" s="129" t="n"/>
      <c r="N23" s="101" t="n"/>
      <c r="O23" s="109" t="n"/>
      <c r="P23" s="162" t="n"/>
      <c r="Q23" s="138" t="inlineStr">
        <is>
          <t>https://seagaia.co.jp/golf/tomwatson/</t>
        </is>
      </c>
      <c r="R23" s="96" t="n">
        <v>2001</v>
      </c>
      <c r="T23" s="125" t="inlineStr">
        <is>
          <t>Links-style course at Seagaia Resort</t>
        </is>
      </c>
    </row>
    <row r="24" ht="15" customHeight="1" s="97">
      <c r="A24" s="101" t="n">
        <v>22</v>
      </c>
      <c r="B24" s="102" t="inlineStr">
        <is>
          <t>일본·간사이</t>
        </is>
      </c>
      <c r="C24" s="183" t="inlineStr">
        <is>
          <t>Ibaraki Golf Club - East Course (茨木カンツリー倶楽部 東コース)</t>
        </is>
      </c>
      <c r="D24" s="115" t="n"/>
      <c r="E24" s="184" t="inlineStr">
        <is>
          <t>Osaka, Ibaraki</t>
        </is>
      </c>
      <c r="F24" s="101" t="n">
        <v>18</v>
      </c>
      <c r="G24" s="101">
        <f>F24/18*72</f>
        <v/>
      </c>
      <c r="H24" s="128" t="n"/>
      <c r="I24" s="127" t="n"/>
      <c r="J24" s="127" t="n"/>
      <c r="K24" s="139" t="n"/>
      <c r="L24" s="127" t="n"/>
      <c r="M24" s="129" t="n"/>
      <c r="N24" s="101" t="n"/>
      <c r="O24" s="109" t="n"/>
      <c r="P24" s="162" t="n"/>
      <c r="Q24" s="138" t="inlineStr">
        <is>
          <t>https://www.ibarakicc.or.jp/</t>
        </is>
      </c>
      <c r="R24" s="96" t="n">
        <v>1923</v>
      </c>
      <c r="T24" s="125" t="inlineStr">
        <is>
          <t>Host of Panasonic Open</t>
        </is>
      </c>
    </row>
    <row r="25" ht="15" customHeight="1" s="97">
      <c r="A25" s="101" t="n">
        <v>23</v>
      </c>
      <c r="B25" s="102" t="inlineStr">
        <is>
          <t>일본·간사이</t>
        </is>
      </c>
      <c r="C25" s="183" t="inlineStr">
        <is>
          <t>Ibaraki Golf Club - West Course (茨木カンツリー倶楽部 西コース)</t>
        </is>
      </c>
      <c r="D25" s="115" t="n"/>
      <c r="E25" s="184" t="inlineStr">
        <is>
          <t>Osaka, Ibaraki</t>
        </is>
      </c>
      <c r="F25" s="101" t="n">
        <v>18</v>
      </c>
      <c r="G25" s="101">
        <f>F25/18*72</f>
        <v/>
      </c>
      <c r="H25" s="128" t="n"/>
      <c r="I25" s="127" t="n"/>
      <c r="J25" s="127" t="n"/>
      <c r="K25" s="139" t="n"/>
      <c r="L25" s="127" t="n"/>
      <c r="M25" s="129" t="n"/>
      <c r="N25" s="101" t="n"/>
      <c r="O25" s="109" t="n"/>
      <c r="P25" s="162" t="n"/>
      <c r="Q25" s="138" t="inlineStr">
        <is>
          <t>https://www.ibarakicc.or.jp/</t>
        </is>
      </c>
      <c r="R25" s="96" t="n">
        <v>1960</v>
      </c>
      <c r="T25" s="125" t="inlineStr">
        <is>
          <t>Companion course</t>
        </is>
      </c>
    </row>
    <row r="26" ht="15" customHeight="1" s="97">
      <c r="A26" s="101" t="n">
        <v>24</v>
      </c>
      <c r="B26" s="102" t="inlineStr">
        <is>
          <t>일본·간토</t>
        </is>
      </c>
      <c r="C26" s="183" t="inlineStr">
        <is>
          <t>Hodogaya Country Club (保土ヶ谷カントリー倶楽部)</t>
        </is>
      </c>
      <c r="D26" s="115" t="n"/>
      <c r="E26" s="184" t="inlineStr">
        <is>
          <t>Kanagawa, Yokohama</t>
        </is>
      </c>
      <c r="F26" s="101" t="n">
        <v>18</v>
      </c>
      <c r="G26" s="101">
        <f>F26/18*72</f>
        <v/>
      </c>
      <c r="H26" s="128" t="n"/>
      <c r="I26" s="127" t="n"/>
      <c r="J26" s="127" t="n"/>
      <c r="K26" s="139" t="n"/>
      <c r="L26" s="127" t="n"/>
      <c r="M26" s="129" t="n"/>
      <c r="N26" s="101" t="n"/>
      <c r="O26" s="109" t="n"/>
      <c r="P26" s="162" t="n"/>
      <c r="Q26" s="138" t="inlineStr">
        <is>
          <t>https://www.hodogayacc.or.jp/</t>
        </is>
      </c>
      <c r="R26" s="96" t="n">
        <v>1922</v>
      </c>
      <c r="T26" s="125" t="inlineStr">
        <is>
          <t>Historic parkland course</t>
        </is>
      </c>
    </row>
    <row r="27" ht="15" customHeight="1" s="97">
      <c r="A27" s="101" t="n">
        <v>25</v>
      </c>
      <c r="B27" s="102" t="inlineStr">
        <is>
          <t>일본·간토</t>
        </is>
      </c>
      <c r="C27" s="183" t="inlineStr">
        <is>
          <t>Sagami Country Club (相模カンツリー倶楽部)</t>
        </is>
      </c>
      <c r="D27" s="115" t="n"/>
      <c r="E27" s="184" t="inlineStr">
        <is>
          <t>Kanagawa, Ebina</t>
        </is>
      </c>
      <c r="F27" s="101" t="n">
        <v>18</v>
      </c>
      <c r="G27" s="101">
        <f>F27/18*72</f>
        <v/>
      </c>
      <c r="H27" s="128" t="n"/>
      <c r="I27" s="127" t="n"/>
      <c r="J27" s="127" t="n"/>
      <c r="K27" s="139" t="n"/>
      <c r="L27" s="127" t="n"/>
      <c r="M27" s="129" t="n"/>
      <c r="N27" s="101" t="n"/>
      <c r="O27" s="109" t="n"/>
      <c r="P27" s="162" t="n"/>
      <c r="Q27" s="138" t="inlineStr">
        <is>
          <t>https://www.sagamicc.or.jp/</t>
        </is>
      </c>
      <c r="R27" s="96" t="n">
        <v>1931</v>
      </c>
      <c r="T27" s="125" t="inlineStr">
        <is>
          <t>Host of Mitsui Sumitomo VISA Taiheiyo Masters predecessor events</t>
        </is>
      </c>
    </row>
    <row r="28" ht="15" customHeight="1" s="97">
      <c r="A28" s="101" t="n">
        <v>26</v>
      </c>
      <c r="B28" s="102" t="inlineStr">
        <is>
          <t>일본·주부</t>
        </is>
      </c>
      <c r="C28" s="183" t="inlineStr">
        <is>
          <t>Kasugai Country Club (春日井カントリー倶楽部)</t>
        </is>
      </c>
      <c r="D28" s="115" t="n"/>
      <c r="E28" s="184" t="inlineStr">
        <is>
          <t>Aichi, Kasugai</t>
        </is>
      </c>
      <c r="F28" s="101" t="n">
        <v>36</v>
      </c>
      <c r="G28" s="101">
        <f>F28/18*72</f>
        <v/>
      </c>
      <c r="H28" s="128" t="n"/>
      <c r="I28" s="127" t="n"/>
      <c r="J28" s="127" t="n"/>
      <c r="K28" s="139" t="n"/>
      <c r="L28" s="127" t="n"/>
      <c r="M28" s="129" t="n"/>
      <c r="N28" s="101" t="n"/>
      <c r="O28" s="109" t="n"/>
      <c r="P28" s="162" t="n"/>
      <c r="Q28" s="138" t="inlineStr">
        <is>
          <t>https://www.kasugaicc.com/</t>
        </is>
      </c>
      <c r="R28" s="96" t="n">
        <v>1958</v>
      </c>
      <c r="T28" s="125" t="inlineStr">
        <is>
          <t>East and West courses</t>
        </is>
      </c>
    </row>
    <row r="29" ht="15" customHeight="1" s="97">
      <c r="A29" s="101" t="n">
        <v>27</v>
      </c>
      <c r="B29" s="102" t="inlineStr">
        <is>
          <t>일본·주부</t>
        </is>
      </c>
      <c r="C29" s="183" t="inlineStr">
        <is>
          <t>Nagoya Golf Club - Wago Course (名古屋ゴルフ倶楽部 和合コース)</t>
        </is>
      </c>
      <c r="D29" s="115" t="n"/>
      <c r="E29" s="184" t="inlineStr">
        <is>
          <t>Aichi, Togo</t>
        </is>
      </c>
      <c r="F29" s="101" t="n">
        <v>18</v>
      </c>
      <c r="G29" s="101">
        <f>F29/18*72</f>
        <v/>
      </c>
      <c r="H29" s="128" t="n"/>
      <c r="I29" s="127" t="n"/>
      <c r="J29" s="127" t="n"/>
      <c r="K29" s="139" t="n"/>
      <c r="L29" s="127" t="n"/>
      <c r="M29" s="129" t="n"/>
      <c r="N29" s="101" t="n"/>
      <c r="O29" s="109" t="n"/>
      <c r="P29" s="162" t="n"/>
      <c r="Q29" s="138" t="inlineStr">
        <is>
          <t>https://www.nagoyagolf.jp/</t>
        </is>
      </c>
      <c r="R29" s="96" t="n">
        <v>1953</v>
      </c>
      <c r="T29" s="125" t="inlineStr">
        <is>
          <t>Historic Chubu region club</t>
        </is>
      </c>
    </row>
    <row r="30" ht="15" customHeight="1" s="97">
      <c r="A30" s="101" t="n">
        <v>28</v>
      </c>
      <c r="B30" s="102" t="inlineStr">
        <is>
          <t>일본·간토</t>
        </is>
      </c>
      <c r="C30" s="183" t="inlineStr">
        <is>
          <t>Yokohama Country Club (横浜カントリークラブ)</t>
        </is>
      </c>
      <c r="D30" s="115" t="n"/>
      <c r="E30" s="184" t="inlineStr">
        <is>
          <t>Kanagawa, Yokohama</t>
        </is>
      </c>
      <c r="F30" s="101" t="n">
        <v>36</v>
      </c>
      <c r="G30" s="101">
        <f>F30/18*72</f>
        <v/>
      </c>
      <c r="H30" s="128" t="n"/>
      <c r="I30" s="127" t="n"/>
      <c r="J30" s="127" t="n"/>
      <c r="K30" s="139" t="n"/>
      <c r="L30" s="127" t="n"/>
      <c r="M30" s="129" t="n"/>
      <c r="N30" s="101" t="n"/>
      <c r="O30" s="109" t="n"/>
      <c r="P30" s="162" t="n"/>
      <c r="Q30" s="138" t="inlineStr">
        <is>
          <t>https://www.yokohamacc.or.jp/</t>
        </is>
      </c>
      <c r="R30" s="96" t="n">
        <v>1960</v>
      </c>
      <c r="T30" s="125" t="inlineStr">
        <is>
          <t>Host of LPGA Hisako Higuchi Pro-Am</t>
        </is>
      </c>
    </row>
    <row r="31" ht="15" customHeight="1" s="97">
      <c r="A31" s="101" t="n">
        <v>29</v>
      </c>
      <c r="B31" s="102" t="inlineStr">
        <is>
          <t>일본·간토</t>
        </is>
      </c>
      <c r="C31" s="183" t="inlineStr">
        <is>
          <t>Sobu Country Club (総武カントリークラブ)</t>
        </is>
      </c>
      <c r="D31" s="115" t="n"/>
      <c r="E31" s="184" t="inlineStr">
        <is>
          <t>Chiba, Yachimata</t>
        </is>
      </c>
      <c r="F31" s="101" t="n">
        <v>36</v>
      </c>
      <c r="G31" s="101">
        <f>F31/18*72</f>
        <v/>
      </c>
      <c r="H31" s="128" t="n"/>
      <c r="I31" s="127" t="n"/>
      <c r="J31" s="127" t="n"/>
      <c r="K31" s="139" t="n"/>
      <c r="L31" s="127" t="n"/>
      <c r="M31" s="129" t="n"/>
      <c r="N31" s="101" t="n"/>
      <c r="O31" s="109" t="n"/>
      <c r="P31" s="162" t="n"/>
      <c r="Q31" s="138" t="inlineStr">
        <is>
          <t>https://www.sobucc.co.jp/</t>
        </is>
      </c>
      <c r="R31" s="96" t="n">
        <v>1961</v>
      </c>
      <c r="T31" s="125" t="inlineStr">
        <is>
          <t>Hosted Japan PGA Championship</t>
        </is>
      </c>
    </row>
    <row r="32" ht="15" customHeight="1" s="97">
      <c r="A32" s="101" t="n">
        <v>30</v>
      </c>
      <c r="B32" s="102" t="inlineStr">
        <is>
          <t>일본·간토</t>
        </is>
      </c>
      <c r="C32" s="183" t="inlineStr">
        <is>
          <t>Taiheiyo Club Gotemba Course (太平洋クラブ御殿場コース)</t>
        </is>
      </c>
      <c r="D32" s="115" t="n"/>
      <c r="E32" s="184" t="inlineStr">
        <is>
          <t>Shizuoka, Gotemba</t>
        </is>
      </c>
      <c r="F32" s="101" t="n">
        <v>18</v>
      </c>
      <c r="G32" s="101">
        <f>F32/18*72</f>
        <v/>
      </c>
      <c r="H32" s="128" t="n"/>
      <c r="I32" s="127" t="n"/>
      <c r="J32" s="127" t="n"/>
      <c r="K32" s="139" t="n"/>
      <c r="L32" s="127" t="n"/>
      <c r="M32" s="129" t="n"/>
      <c r="N32" s="101" t="n"/>
      <c r="O32" s="109" t="n"/>
      <c r="P32" s="162" t="n"/>
      <c r="Q32" s="138" t="inlineStr">
        <is>
          <t>https://www.taiheiyoclub.co.jp/gotemba/</t>
        </is>
      </c>
      <c r="R32" s="96" t="n">
        <v>1977</v>
      </c>
      <c r="T32" s="125" t="inlineStr">
        <is>
          <t>Host of Mitsui Sumitomo VISA Taiheiyo Masters; views of Mt. Fuji</t>
        </is>
      </c>
    </row>
    <row r="33" ht="15" customHeight="1" s="97">
      <c r="A33" s="101" t="n">
        <v>31</v>
      </c>
      <c r="B33" s="102" t="inlineStr">
        <is>
          <t>일본·간토</t>
        </is>
      </c>
      <c r="C33" s="183" t="inlineStr">
        <is>
          <t>Taiheiyo Club Gotemba West Course (太平洋クラブ御殿場ウエストコース)</t>
        </is>
      </c>
      <c r="D33" s="115" t="n"/>
      <c r="E33" s="184" t="inlineStr">
        <is>
          <t>Shizuoka, Gotemba</t>
        </is>
      </c>
      <c r="F33" s="101" t="n">
        <v>18</v>
      </c>
      <c r="G33" s="101">
        <f>F33/18*72</f>
        <v/>
      </c>
      <c r="H33" s="128" t="n"/>
      <c r="I33" s="127" t="n"/>
      <c r="J33" s="127" t="n"/>
      <c r="K33" s="139" t="n"/>
      <c r="L33" s="127" t="n"/>
      <c r="M33" s="129" t="n"/>
      <c r="N33" s="101" t="n"/>
      <c r="O33" s="109" t="n"/>
      <c r="P33" s="162" t="n"/>
      <c r="Q33" s="138" t="inlineStr">
        <is>
          <t>https://www.taiheiyoclub.co.jp/gotembawest/</t>
        </is>
      </c>
      <c r="R33" s="96" t="n">
        <v>1991</v>
      </c>
      <c r="T33" s="125" t="inlineStr">
        <is>
          <t>Taiheiyo Club flagship area</t>
        </is>
      </c>
    </row>
    <row r="34" ht="15" customHeight="1" s="97">
      <c r="A34" s="101" t="n">
        <v>32</v>
      </c>
      <c r="B34" s="102" t="inlineStr">
        <is>
          <t>일본·간토</t>
        </is>
      </c>
      <c r="C34" s="183" t="inlineStr">
        <is>
          <t>Taiheiyo Club Karuizawa Resort (太平洋クラブ軽井沢リゾート)</t>
        </is>
      </c>
      <c r="D34" s="115" t="n"/>
      <c r="E34" s="184" t="inlineStr">
        <is>
          <t>Nagano, Karuizawa</t>
        </is>
      </c>
      <c r="F34" s="101" t="n">
        <v>18</v>
      </c>
      <c r="G34" s="101">
        <f>F34/18*72</f>
        <v/>
      </c>
      <c r="H34" s="128" t="n"/>
      <c r="I34" s="127" t="n"/>
      <c r="J34" s="127" t="n"/>
      <c r="K34" s="139" t="n"/>
      <c r="L34" s="127" t="n"/>
      <c r="M34" s="129" t="n"/>
      <c r="N34" s="101" t="n"/>
      <c r="O34" s="109" t="n"/>
      <c r="P34" s="162" t="n"/>
      <c r="Q34" s="138" t="inlineStr">
        <is>
          <t>https://www.taiheiyoclub.co.jp/karuizawa/</t>
        </is>
      </c>
      <c r="R34" s="96" t="n">
        <v>1977</v>
      </c>
      <c r="T34" s="125" t="inlineStr">
        <is>
          <t>Highland resort course</t>
        </is>
      </c>
    </row>
    <row r="35" ht="15" customHeight="1" s="97">
      <c r="A35" s="101" t="n">
        <v>33</v>
      </c>
      <c r="B35" s="102" t="inlineStr">
        <is>
          <t>일본·간사이</t>
        </is>
      </c>
      <c r="C35" s="183" t="inlineStr">
        <is>
          <t>Taiheiyo Club Rokko Course (太平洋クラブ六甲コース)</t>
        </is>
      </c>
      <c r="D35" s="115" t="n"/>
      <c r="E35" s="184" t="inlineStr">
        <is>
          <t>Hyogo, Kobe</t>
        </is>
      </c>
      <c r="F35" s="101" t="n">
        <v>18</v>
      </c>
      <c r="G35" s="101">
        <f>F35/18*72</f>
        <v/>
      </c>
      <c r="H35" s="128" t="n"/>
      <c r="I35" s="127" t="n"/>
      <c r="J35" s="127" t="n"/>
      <c r="K35" s="139" t="n"/>
      <c r="L35" s="127" t="n"/>
      <c r="M35" s="129" t="n"/>
      <c r="N35" s="101" t="n"/>
      <c r="O35" s="109" t="n"/>
      <c r="P35" s="162" t="n"/>
      <c r="Q35" s="138" t="inlineStr">
        <is>
          <t>https://www.taiheiyoclub.co.jp/rokko/</t>
        </is>
      </c>
      <c r="R35" s="96" t="n">
        <v>1977</v>
      </c>
      <c r="T35" s="125" t="inlineStr">
        <is>
          <t>Mountain course near Kobe</t>
        </is>
      </c>
    </row>
    <row r="36" ht="15" customHeight="1" s="97">
      <c r="A36" s="101" t="n">
        <v>34</v>
      </c>
      <c r="B36" s="102" t="inlineStr">
        <is>
          <t>일본·간토</t>
        </is>
      </c>
      <c r="C36" s="183" t="inlineStr">
        <is>
          <t>Taiheiyo Club Sayama Course (太平洋クラブ佐野ヒルクレストコース)</t>
        </is>
      </c>
      <c r="D36" s="115" t="n"/>
      <c r="E36" s="184" t="inlineStr">
        <is>
          <t>Tochigi, Sano</t>
        </is>
      </c>
      <c r="F36" s="101" t="n">
        <v>18</v>
      </c>
      <c r="G36" s="101">
        <f>F36/18*72</f>
        <v/>
      </c>
      <c r="H36" s="128" t="n"/>
      <c r="I36" s="127" t="n"/>
      <c r="J36" s="127" t="n"/>
      <c r="K36" s="139" t="n"/>
      <c r="L36" s="127" t="n"/>
      <c r="M36" s="129" t="n"/>
      <c r="N36" s="101" t="n"/>
      <c r="O36" s="109" t="n"/>
      <c r="P36" s="162" t="n"/>
      <c r="Q36" s="138" t="inlineStr">
        <is>
          <t>https://www.taiheiyoclub.co.jp/sanohill/</t>
        </is>
      </c>
      <c r="T36" s="111" t="inlineStr">
        <is>
          <t>Taiheiyo Club member course</t>
        </is>
      </c>
    </row>
    <row r="37" ht="15" customHeight="1" s="97">
      <c r="A37" s="101" t="n">
        <v>35</v>
      </c>
      <c r="B37" s="102" t="inlineStr">
        <is>
          <t>일본·간토</t>
        </is>
      </c>
      <c r="C37" s="183" t="inlineStr">
        <is>
          <t>Taiheiyo Club Minori Course (太平洋クラブ美野里コース)</t>
        </is>
      </c>
      <c r="D37" s="115" t="n"/>
      <c r="E37" s="184" t="inlineStr">
        <is>
          <t>Ibaraki, Omitama</t>
        </is>
      </c>
      <c r="F37" s="101" t="n">
        <v>18</v>
      </c>
      <c r="G37" s="101">
        <f>F37/18*72</f>
        <v/>
      </c>
      <c r="H37" s="128" t="n"/>
      <c r="I37" s="127" t="n"/>
      <c r="J37" s="127" t="n"/>
      <c r="K37" s="139" t="n"/>
      <c r="L37" s="127" t="n"/>
      <c r="M37" s="129" t="n"/>
      <c r="N37" s="101" t="n"/>
      <c r="O37" s="109" t="n"/>
      <c r="P37" s="162" t="n"/>
      <c r="Q37" s="138" t="inlineStr">
        <is>
          <t>https://www.taiheiyoclub.co.jp/minori/</t>
        </is>
      </c>
      <c r="T37" s="111" t="inlineStr">
        <is>
          <t>Ibaraki Taiheiyo Club course</t>
        </is>
      </c>
    </row>
    <row r="38" ht="15" customHeight="1" s="97">
      <c r="A38" s="101" t="n">
        <v>36</v>
      </c>
      <c r="B38" s="102" t="inlineStr">
        <is>
          <t>일본·간토</t>
        </is>
      </c>
      <c r="C38" s="183" t="inlineStr">
        <is>
          <t>Taiheiyo Club Shimotsuke Course (太平洋クラブ下野コース)</t>
        </is>
      </c>
      <c r="D38" s="115" t="n"/>
      <c r="E38" s="184" t="inlineStr">
        <is>
          <t>Tochigi, Tochigi</t>
        </is>
      </c>
      <c r="F38" s="101" t="n">
        <v>18</v>
      </c>
      <c r="G38" s="101">
        <f>F38/18*72</f>
        <v/>
      </c>
      <c r="H38" s="128" t="n"/>
      <c r="I38" s="127" t="n"/>
      <c r="J38" s="127" t="n"/>
      <c r="K38" s="139" t="n"/>
      <c r="L38" s="127" t="n"/>
      <c r="M38" s="129" t="n"/>
      <c r="N38" s="101" t="n"/>
      <c r="O38" s="109" t="n"/>
      <c r="P38" s="162" t="n"/>
      <c r="Q38" s="138" t="inlineStr">
        <is>
          <t>https://www.taiheiyoclub.co.jp/shimotsuke/</t>
        </is>
      </c>
      <c r="T38" s="111" t="inlineStr">
        <is>
          <t>Tochigi region course</t>
        </is>
      </c>
    </row>
    <row r="39" ht="15" customHeight="1" s="97">
      <c r="A39" s="101" t="n">
        <v>37</v>
      </c>
      <c r="B39" s="102" t="inlineStr">
        <is>
          <t>일본·간토</t>
        </is>
      </c>
      <c r="C39" s="183" t="inlineStr">
        <is>
          <t>Taiheiyo Club Masters Gotemba (太平洋クラブ マスターズコース)</t>
        </is>
      </c>
      <c r="D39" s="115" t="n"/>
      <c r="E39" s="184" t="inlineStr">
        <is>
          <t>Shizuoka, Gotemba</t>
        </is>
      </c>
      <c r="F39" s="101" t="n">
        <v>18</v>
      </c>
      <c r="G39" s="101">
        <f>F39/18*72</f>
        <v/>
      </c>
      <c r="H39" s="128" t="n"/>
      <c r="I39" s="127" t="n"/>
      <c r="J39" s="127" t="n"/>
      <c r="K39" s="139" t="n"/>
      <c r="L39" s="127" t="n"/>
      <c r="M39" s="129" t="n"/>
      <c r="N39" s="101" t="n"/>
      <c r="O39" s="109" t="n"/>
      <c r="P39" s="162" t="n"/>
      <c r="Q39" s="138" t="inlineStr">
        <is>
          <t>https://www.taiheiyoclub.co.jp/</t>
        </is>
      </c>
      <c r="T39" s="111" t="inlineStr">
        <is>
          <t>Taiheiyo Club</t>
        </is>
      </c>
    </row>
    <row r="40" ht="15" customHeight="1" s="97">
      <c r="A40" s="101" t="n">
        <v>38</v>
      </c>
      <c r="B40" s="102" t="inlineStr">
        <is>
          <t>일본·간토</t>
        </is>
      </c>
      <c r="C40" s="183" t="inlineStr">
        <is>
          <t>Taiheiyo Club Mashiko Course (太平洋クラブ益子PGAコース)</t>
        </is>
      </c>
      <c r="D40" s="115" t="n"/>
      <c r="E40" s="184" t="inlineStr">
        <is>
          <t>Tochigi, Mashiko</t>
        </is>
      </c>
      <c r="F40" s="101" t="n">
        <v>18</v>
      </c>
      <c r="G40" s="101">
        <f>F40/18*72</f>
        <v/>
      </c>
      <c r="H40" s="128" t="n"/>
      <c r="I40" s="127" t="n"/>
      <c r="J40" s="127" t="n"/>
      <c r="K40" s="139" t="n"/>
      <c r="L40" s="127" t="n"/>
      <c r="M40" s="129" t="n"/>
      <c r="N40" s="101" t="n"/>
      <c r="O40" s="109" t="n"/>
      <c r="P40" s="162" t="n"/>
      <c r="Q40" s="138" t="inlineStr">
        <is>
          <t>https://www.taiheiyoclub.co.jp/mashiko/</t>
        </is>
      </c>
      <c r="T40" s="111" t="inlineStr">
        <is>
          <t>PGA designated course</t>
        </is>
      </c>
    </row>
    <row r="41" ht="15" customHeight="1" s="97">
      <c r="A41" s="101" t="n">
        <v>39</v>
      </c>
      <c r="B41" s="102" t="inlineStr">
        <is>
          <t>일본·간사이</t>
        </is>
      </c>
      <c r="C41" s="183" t="inlineStr">
        <is>
          <t>Taiheiyo Club Arima Course (太平洋クラブ有馬コース)</t>
        </is>
      </c>
      <c r="D41" s="115" t="n"/>
      <c r="E41" s="184" t="inlineStr">
        <is>
          <t>Hyogo, Sanda</t>
        </is>
      </c>
      <c r="F41" s="101" t="n">
        <v>18</v>
      </c>
      <c r="G41" s="101">
        <f>F41/18*72</f>
        <v/>
      </c>
      <c r="H41" s="128" t="n"/>
      <c r="I41" s="127" t="n"/>
      <c r="J41" s="127" t="n"/>
      <c r="K41" s="139" t="n"/>
      <c r="L41" s="127" t="n"/>
      <c r="M41" s="129" t="n"/>
      <c r="N41" s="101" t="n"/>
      <c r="O41" s="109" t="n"/>
      <c r="P41" s="162" t="n"/>
      <c r="Q41" s="138" t="inlineStr">
        <is>
          <t>https://www.taiheiyoclub.co.jp/arima/</t>
        </is>
      </c>
      <c r="T41" s="111" t="inlineStr">
        <is>
          <t>Near Arima Onsen</t>
        </is>
      </c>
    </row>
    <row r="42" ht="15" customHeight="1" s="97">
      <c r="A42" s="101" t="n">
        <v>40</v>
      </c>
      <c r="B42" s="102" t="inlineStr">
        <is>
          <t>일본·주부</t>
        </is>
      </c>
      <c r="C42" s="183" t="inlineStr">
        <is>
          <t>Taiheiyo Club Mihama Course (太平洋クラブ御浜コース)</t>
        </is>
      </c>
      <c r="D42" s="115" t="n"/>
      <c r="E42" s="184" t="inlineStr">
        <is>
          <t>Mie, Mihama</t>
        </is>
      </c>
      <c r="F42" s="101" t="n">
        <v>18</v>
      </c>
      <c r="G42" s="101">
        <f>F42/18*72</f>
        <v/>
      </c>
      <c r="H42" s="128" t="n"/>
      <c r="I42" s="127" t="n"/>
      <c r="J42" s="127" t="n"/>
      <c r="K42" s="139" t="n"/>
      <c r="L42" s="127" t="n"/>
      <c r="M42" s="129" t="n"/>
      <c r="N42" s="101" t="n"/>
      <c r="O42" s="109" t="n"/>
      <c r="P42" s="162" t="n"/>
      <c r="Q42" s="138" t="inlineStr">
        <is>
          <t>https://www.taiheiyoclub.co.jp/mihama/</t>
        </is>
      </c>
      <c r="T42" s="111" t="inlineStr">
        <is>
          <t>Mie prefecture coast</t>
        </is>
      </c>
    </row>
    <row r="43" ht="15" customHeight="1" s="97">
      <c r="A43" s="101" t="n">
        <v>41</v>
      </c>
      <c r="B43" s="102" t="inlineStr">
        <is>
          <t>일본·간토</t>
        </is>
      </c>
      <c r="C43" s="183" t="inlineStr">
        <is>
          <t>Taiheiyo Club Chiba Minori Course (太平洋クラブ市原コース)</t>
        </is>
      </c>
      <c r="D43" s="115" t="n"/>
      <c r="E43" s="184" t="inlineStr">
        <is>
          <t>Chiba, Ichihara</t>
        </is>
      </c>
      <c r="F43" s="101" t="n">
        <v>18</v>
      </c>
      <c r="G43" s="101">
        <f>F43/18*72</f>
        <v/>
      </c>
      <c r="H43" s="128" t="n"/>
      <c r="I43" s="127" t="n"/>
      <c r="J43" s="127" t="n"/>
      <c r="K43" s="139" t="n"/>
      <c r="L43" s="127" t="n"/>
      <c r="M43" s="129" t="n"/>
      <c r="N43" s="101" t="n"/>
      <c r="O43" s="109" t="n"/>
      <c r="P43" s="162" t="n"/>
      <c r="Q43" s="138" t="inlineStr">
        <is>
          <t>https://www.taiheiyoclub.co.jp/ichihara/</t>
        </is>
      </c>
      <c r="T43" s="111" t="inlineStr">
        <is>
          <t>Chiba area Taiheiyo course</t>
        </is>
      </c>
    </row>
    <row r="44" ht="15" customHeight="1" s="97">
      <c r="A44" s="101" t="n">
        <v>42</v>
      </c>
      <c r="B44" s="102" t="inlineStr">
        <is>
          <t>일본·간토</t>
        </is>
      </c>
      <c r="C44" s="183" t="inlineStr">
        <is>
          <t>Taiheiyo Club Cherry Hills (太平洋クラブ 成田コース)</t>
        </is>
      </c>
      <c r="D44" s="115" t="n"/>
      <c r="E44" s="184" t="inlineStr">
        <is>
          <t>Chiba, Narita</t>
        </is>
      </c>
      <c r="F44" s="101" t="n">
        <v>18</v>
      </c>
      <c r="G44" s="101">
        <f>F44/18*72</f>
        <v/>
      </c>
      <c r="H44" s="128" t="n"/>
      <c r="I44" s="127" t="n"/>
      <c r="J44" s="127" t="n"/>
      <c r="K44" s="139" t="n"/>
      <c r="L44" s="127" t="n"/>
      <c r="M44" s="129" t="n"/>
      <c r="N44" s="101" t="n"/>
      <c r="O44" s="109" t="n"/>
      <c r="P44" s="162" t="n"/>
      <c r="Q44" s="138" t="inlineStr">
        <is>
          <t>https://www.taiheiyoclub.co.jp/narita/</t>
        </is>
      </c>
      <c r="T44" s="111" t="inlineStr">
        <is>
          <t>Near Narita</t>
        </is>
      </c>
    </row>
    <row r="45" ht="15" customHeight="1" s="97">
      <c r="A45" s="101" t="n">
        <v>43</v>
      </c>
      <c r="B45" s="102" t="inlineStr">
        <is>
          <t>일본·간토</t>
        </is>
      </c>
      <c r="C45" s="183" t="inlineStr">
        <is>
          <t>Taiheiyo Club Saiko Course (太平洋クラブ 西湖コース)</t>
        </is>
      </c>
      <c r="D45" s="115" t="n"/>
      <c r="E45" s="184" t="inlineStr">
        <is>
          <t>Yamanashi, Fujikawaguchiko</t>
        </is>
      </c>
      <c r="F45" s="101" t="n">
        <v>18</v>
      </c>
      <c r="G45" s="101">
        <f>F45/18*72</f>
        <v/>
      </c>
      <c r="H45" s="128" t="n"/>
      <c r="I45" s="127" t="n"/>
      <c r="J45" s="127" t="n"/>
      <c r="K45" s="139" t="n"/>
      <c r="L45" s="127" t="n"/>
      <c r="M45" s="129" t="n"/>
      <c r="N45" s="101" t="n"/>
      <c r="O45" s="109" t="n"/>
      <c r="P45" s="162" t="n"/>
      <c r="Q45" s="138" t="inlineStr">
        <is>
          <t>https://www.taiheiyoclub.co.jp/saiko/</t>
        </is>
      </c>
      <c r="T45" s="111" t="inlineStr">
        <is>
          <t>Mt. Fuji area</t>
        </is>
      </c>
    </row>
    <row r="46" ht="15" customHeight="1" s="97">
      <c r="A46" s="101" t="n">
        <v>44</v>
      </c>
      <c r="B46" s="102" t="inlineStr">
        <is>
          <t>일본·간토</t>
        </is>
      </c>
      <c r="C46" s="183" t="inlineStr">
        <is>
          <t>Taiheiyo Club Hakuba Course (太平洋クラブ白馬コース)</t>
        </is>
      </c>
      <c r="D46" s="115" t="n"/>
      <c r="E46" s="184" t="inlineStr">
        <is>
          <t>Nagano, Hakuba</t>
        </is>
      </c>
      <c r="F46" s="101" t="n">
        <v>18</v>
      </c>
      <c r="G46" s="101">
        <f>F46/18*72</f>
        <v/>
      </c>
      <c r="H46" s="128" t="n"/>
      <c r="I46" s="127" t="n"/>
      <c r="J46" s="127" t="n"/>
      <c r="K46" s="139" t="n"/>
      <c r="L46" s="127" t="n"/>
      <c r="M46" s="129" t="n"/>
      <c r="N46" s="101" t="n"/>
      <c r="O46" s="109" t="n"/>
      <c r="P46" s="162" t="n"/>
      <c r="Q46" s="138" t="inlineStr">
        <is>
          <t>https://www.taiheiyoclub.co.jp/hakuba/</t>
        </is>
      </c>
      <c r="T46" s="111" t="inlineStr">
        <is>
          <t>Alpine resort</t>
        </is>
      </c>
    </row>
    <row r="47" ht="15" customHeight="1" s="97">
      <c r="A47" s="101" t="n">
        <v>45</v>
      </c>
      <c r="B47" s="102" t="inlineStr">
        <is>
          <t>일본·간사이</t>
        </is>
      </c>
      <c r="C47" s="183" t="inlineStr">
        <is>
          <t>Taiheiyo Club Awaji Course (太平洋クラブ淡路コース)</t>
        </is>
      </c>
      <c r="D47" s="115" t="n"/>
      <c r="E47" s="184" t="inlineStr">
        <is>
          <t>Hyogo, Awaji</t>
        </is>
      </c>
      <c r="F47" s="101" t="n">
        <v>18</v>
      </c>
      <c r="G47" s="101">
        <f>F47/18*72</f>
        <v/>
      </c>
      <c r="H47" s="128" t="n"/>
      <c r="I47" s="127" t="n"/>
      <c r="J47" s="127" t="n"/>
      <c r="K47" s="139" t="n"/>
      <c r="L47" s="127" t="n"/>
      <c r="M47" s="129" t="n"/>
      <c r="N47" s="101" t="n"/>
      <c r="O47" s="109" t="n"/>
      <c r="P47" s="162" t="n"/>
      <c r="Q47" s="138" t="inlineStr">
        <is>
          <t>https://www.taiheiyoclub.co.jp/awaji/</t>
        </is>
      </c>
      <c r="T47" s="111" t="inlineStr">
        <is>
          <t>Awaji Island course</t>
        </is>
      </c>
    </row>
    <row r="48" ht="15" customHeight="1" s="97">
      <c r="A48" s="101" t="n">
        <v>46</v>
      </c>
      <c r="B48" s="102" t="inlineStr">
        <is>
          <t>일본·주고쿠/시코쿠</t>
        </is>
      </c>
      <c r="C48" s="183" t="inlineStr">
        <is>
          <t>Taiheiyo Club Takamatsu Course (太平洋クラブ高松コース)</t>
        </is>
      </c>
      <c r="D48" s="115" t="n"/>
      <c r="E48" s="184" t="inlineStr">
        <is>
          <t>Kagawa, Takamatsu</t>
        </is>
      </c>
      <c r="F48" s="101" t="n">
        <v>18</v>
      </c>
      <c r="G48" s="101">
        <f>F48/18*72</f>
        <v/>
      </c>
      <c r="H48" s="128" t="n"/>
      <c r="I48" s="127" t="n"/>
      <c r="J48" s="127" t="n"/>
      <c r="K48" s="139" t="n"/>
      <c r="L48" s="127" t="n"/>
      <c r="M48" s="129" t="n"/>
      <c r="N48" s="101" t="n"/>
      <c r="O48" s="109" t="n"/>
      <c r="P48" s="162" t="n"/>
      <c r="Q48" s="138" t="inlineStr">
        <is>
          <t>https://www.taiheiyoclub.co.jp/takamatsu/</t>
        </is>
      </c>
      <c r="T48" s="111" t="inlineStr">
        <is>
          <t>Shikoku Taiheiyo course</t>
        </is>
      </c>
    </row>
    <row r="49" ht="15" customHeight="1" s="97">
      <c r="A49" s="101" t="n">
        <v>47</v>
      </c>
      <c r="B49" s="102" t="inlineStr">
        <is>
          <t>일본·간토</t>
        </is>
      </c>
      <c r="C49" s="183" t="inlineStr">
        <is>
          <t>Taiheiyo Club Ryugasaki Course (太平洋クラブ龍ヶ崎コース)</t>
        </is>
      </c>
      <c r="D49" s="115" t="n"/>
      <c r="E49" s="184" t="inlineStr">
        <is>
          <t>Ibaraki, Ryugasaki</t>
        </is>
      </c>
      <c r="F49" s="101" t="n">
        <v>18</v>
      </c>
      <c r="G49" s="101">
        <f>F49/18*72</f>
        <v/>
      </c>
      <c r="H49" s="128" t="n"/>
      <c r="I49" s="127" t="n"/>
      <c r="J49" s="127" t="n"/>
      <c r="K49" s="139" t="n"/>
      <c r="L49" s="127" t="n"/>
      <c r="M49" s="129" t="n"/>
      <c r="N49" s="101" t="n"/>
      <c r="O49" s="109" t="n"/>
      <c r="P49" s="162" t="n"/>
      <c r="Q49" s="138" t="inlineStr">
        <is>
          <t>https://www.taiheiyoclub.co.jp/ryugasaki/</t>
        </is>
      </c>
      <c r="T49" s="111" t="inlineStr">
        <is>
          <t>Ibaraki Taiheiyo course</t>
        </is>
      </c>
    </row>
    <row r="50" ht="15" customHeight="1" s="97">
      <c r="A50" s="101" t="n">
        <v>48</v>
      </c>
      <c r="B50" s="102" t="inlineStr">
        <is>
          <t>일본·큐슈</t>
        </is>
      </c>
      <c r="C50" s="183" t="inlineStr">
        <is>
          <t>Phoenix Seagaia Country Club (フェニックス・シーガイア・カントリークラブ)</t>
        </is>
      </c>
      <c r="D50" s="115" t="n"/>
      <c r="E50" s="184" t="inlineStr">
        <is>
          <t>Miyazaki, Miyazaki</t>
        </is>
      </c>
      <c r="F50" s="101" t="n">
        <v>18</v>
      </c>
      <c r="G50" s="101">
        <f>F50/18*72</f>
        <v/>
      </c>
      <c r="H50" s="128" t="n"/>
      <c r="I50" s="127" t="n"/>
      <c r="J50" s="127" t="n"/>
      <c r="K50" s="139" t="n"/>
      <c r="L50" s="127" t="n"/>
      <c r="M50" s="129" t="n"/>
      <c r="N50" s="101" t="n"/>
      <c r="O50" s="109" t="n"/>
      <c r="P50" s="162" t="n"/>
      <c r="Q50" s="138" t="inlineStr">
        <is>
          <t>https://seagaia.co.jp/</t>
        </is>
      </c>
      <c r="R50" s="96" t="n">
        <v>1990</v>
      </c>
      <c r="T50" s="125" t="inlineStr">
        <is>
          <t>Seagaia resort complex</t>
        </is>
      </c>
    </row>
    <row r="51" ht="15" customHeight="1" s="97">
      <c r="A51" s="101" t="n">
        <v>49</v>
      </c>
      <c r="B51" s="102" t="inlineStr">
        <is>
          <t>일본·큐슈</t>
        </is>
      </c>
      <c r="C51" s="183" t="inlineStr">
        <is>
          <t>Dunlop Phoenix Course (フェニックスCC)</t>
        </is>
      </c>
      <c r="D51" s="115" t="n"/>
      <c r="E51" s="184" t="inlineStr">
        <is>
          <t>Miyazaki, Miyazaki</t>
        </is>
      </c>
      <c r="F51" s="101" t="n">
        <v>18</v>
      </c>
      <c r="G51" s="101">
        <f>F51/18*72</f>
        <v/>
      </c>
      <c r="H51" s="128" t="n"/>
      <c r="I51" s="127" t="n"/>
      <c r="J51" s="127" t="n"/>
      <c r="K51" s="139" t="n"/>
      <c r="L51" s="127" t="n"/>
      <c r="M51" s="129" t="n"/>
      <c r="N51" s="101" t="n"/>
      <c r="O51" s="109" t="n"/>
      <c r="P51" s="162" t="n"/>
      <c r="Q51" s="138" t="inlineStr">
        <is>
          <t>https://seagaia.co.jp/golf/phoenix/</t>
        </is>
      </c>
      <c r="R51" s="96" t="n">
        <v>1971</v>
      </c>
      <c r="T51" s="125" t="inlineStr">
        <is>
          <t>Hosts Dunlop Phoenix Tournament</t>
        </is>
      </c>
    </row>
    <row r="52" ht="15" customHeight="1" s="97">
      <c r="A52" s="101" t="n">
        <v>50</v>
      </c>
      <c r="B52" s="102" t="inlineStr">
        <is>
          <t>일본·간토</t>
        </is>
      </c>
      <c r="C52" s="183" t="inlineStr">
        <is>
          <t>Gotemba Golf Club (御殿場ゴルフ倶楽部)</t>
        </is>
      </c>
      <c r="D52" s="115" t="n"/>
      <c r="E52" s="184" t="inlineStr">
        <is>
          <t>Shizuoka, Gotemba</t>
        </is>
      </c>
      <c r="F52" s="101" t="n">
        <v>18</v>
      </c>
      <c r="G52" s="101">
        <f>F52/18*72</f>
        <v/>
      </c>
      <c r="H52" s="128" t="n"/>
      <c r="I52" s="127" t="n"/>
      <c r="J52" s="127" t="n"/>
      <c r="K52" s="139" t="n"/>
      <c r="L52" s="127" t="n"/>
      <c r="M52" s="129" t="n"/>
      <c r="N52" s="101" t="n"/>
      <c r="O52" s="109" t="n"/>
      <c r="P52" s="162" t="n"/>
      <c r="Q52" s="138" t="inlineStr">
        <is>
          <t>https://www.gotembagc.co.jp/</t>
        </is>
      </c>
      <c r="R52" s="96" t="n">
        <v>1975</v>
      </c>
      <c r="T52" s="125" t="inlineStr">
        <is>
          <t>Views of Mt. Fuji</t>
        </is>
      </c>
    </row>
    <row r="53" ht="15" customHeight="1" s="97">
      <c r="A53" s="101" t="n">
        <v>51</v>
      </c>
      <c r="B53" s="102" t="inlineStr">
        <is>
          <t>일본·간토</t>
        </is>
      </c>
      <c r="C53" s="183" t="inlineStr">
        <is>
          <t>Fuji Country Club (富士カントリークラブ)</t>
        </is>
      </c>
      <c r="D53" s="115" t="n"/>
      <c r="E53" s="184" t="inlineStr">
        <is>
          <t>Shizuoka, Susono</t>
        </is>
      </c>
      <c r="F53" s="101" t="n">
        <v>18</v>
      </c>
      <c r="G53" s="101">
        <f>F53/18*72</f>
        <v/>
      </c>
      <c r="H53" s="128" t="n"/>
      <c r="I53" s="127" t="n"/>
      <c r="J53" s="127" t="n"/>
      <c r="K53" s="139" t="n"/>
      <c r="L53" s="127" t="n"/>
      <c r="M53" s="129" t="n"/>
      <c r="N53" s="101" t="n"/>
      <c r="O53" s="109" t="n"/>
      <c r="P53" s="162" t="n"/>
      <c r="Q53" s="138" t="inlineStr">
        <is>
          <t>https://www.fuji-cc.co.jp/</t>
        </is>
      </c>
      <c r="R53" s="96" t="n">
        <v>1961</v>
      </c>
      <c r="T53" s="125" t="inlineStr">
        <is>
          <t>At the base of Mt. Fuji</t>
        </is>
      </c>
    </row>
    <row r="54" ht="15" customHeight="1" s="97">
      <c r="A54" s="101" t="n">
        <v>52</v>
      </c>
      <c r="B54" s="102" t="inlineStr">
        <is>
          <t>일본·간토</t>
        </is>
      </c>
      <c r="C54" s="183" t="inlineStr">
        <is>
          <t>Fuji Classic (フジクラシック)</t>
        </is>
      </c>
      <c r="D54" s="115" t="n"/>
      <c r="E54" s="184" t="inlineStr">
        <is>
          <t>Yamanashi, Tsuru</t>
        </is>
      </c>
      <c r="F54" s="101" t="n">
        <v>18</v>
      </c>
      <c r="G54" s="101">
        <f>F54/18*72</f>
        <v/>
      </c>
      <c r="H54" s="128" t="n"/>
      <c r="I54" s="127" t="n"/>
      <c r="J54" s="127" t="n"/>
      <c r="K54" s="139" t="n"/>
      <c r="L54" s="127" t="n"/>
      <c r="M54" s="129" t="n"/>
      <c r="N54" s="101" t="n"/>
      <c r="O54" s="109" t="n"/>
      <c r="P54" s="162" t="n"/>
      <c r="Q54" s="138" t="inlineStr">
        <is>
          <t>https://www.fujiclassic.jp/</t>
        </is>
      </c>
      <c r="R54" s="96" t="n">
        <v>1989</v>
      </c>
      <c r="T54" s="125" t="inlineStr">
        <is>
          <t>Highland course in Yamanashi</t>
        </is>
      </c>
    </row>
    <row r="55" ht="15" customHeight="1" s="97">
      <c r="A55" s="101" t="n">
        <v>53</v>
      </c>
      <c r="B55" s="102" t="inlineStr">
        <is>
          <t>일본·간사이</t>
        </is>
      </c>
      <c r="C55" s="183" t="inlineStr">
        <is>
          <t>Pine Lake Golf Club (パインレークゴルフクラブ)</t>
        </is>
      </c>
      <c r="D55" s="115" t="n"/>
      <c r="E55" s="184" t="inlineStr">
        <is>
          <t>Hyogo, Miki</t>
        </is>
      </c>
      <c r="F55" s="101" t="n">
        <v>18</v>
      </c>
      <c r="G55" s="101">
        <f>F55/18*72</f>
        <v/>
      </c>
      <c r="H55" s="128" t="n"/>
      <c r="I55" s="127" t="n"/>
      <c r="J55" s="127" t="n"/>
      <c r="K55" s="139" t="n"/>
      <c r="L55" s="127" t="n"/>
      <c r="M55" s="129" t="n"/>
      <c r="N55" s="101" t="n"/>
      <c r="O55" s="109" t="n"/>
      <c r="P55" s="162" t="n"/>
      <c r="Q55" s="138" t="inlineStr">
        <is>
          <t>https://www.pinelake.co.jp/</t>
        </is>
      </c>
      <c r="R55" s="96" t="n">
        <v>1973</v>
      </c>
      <c r="T55" s="125" t="inlineStr">
        <is>
          <t>Miki area</t>
        </is>
      </c>
    </row>
    <row r="56" ht="15" customHeight="1" s="97">
      <c r="A56" s="101" t="n">
        <v>54</v>
      </c>
      <c r="B56" s="102" t="inlineStr">
        <is>
          <t>일본·주부</t>
        </is>
      </c>
      <c r="C56" s="183" t="inlineStr">
        <is>
          <t>Kosugi Country Club (小杉カントリー倶楽部)</t>
        </is>
      </c>
      <c r="D56" s="115" t="n"/>
      <c r="E56" s="184" t="inlineStr">
        <is>
          <t>Toyama, Imizu</t>
        </is>
      </c>
      <c r="F56" s="101" t="n">
        <v>18</v>
      </c>
      <c r="G56" s="101">
        <f>F56/18*72</f>
        <v/>
      </c>
      <c r="H56" s="128" t="n"/>
      <c r="I56" s="127" t="n"/>
      <c r="J56" s="127" t="n"/>
      <c r="K56" s="139" t="n"/>
      <c r="L56" s="127" t="n"/>
      <c r="M56" s="129" t="n"/>
      <c r="N56" s="101" t="n"/>
      <c r="O56" s="109" t="n"/>
      <c r="P56" s="162" t="n"/>
      <c r="Q56" s="138" t="inlineStr">
        <is>
          <t>https://www.kosugicc.co.jp/</t>
        </is>
      </c>
      <c r="R56" s="96" t="n">
        <v>1966</v>
      </c>
      <c r="T56" s="125" t="inlineStr">
        <is>
          <t>Hokuriku region</t>
        </is>
      </c>
    </row>
    <row r="57" ht="15" customHeight="1" s="97">
      <c r="A57" s="101" t="n">
        <v>55</v>
      </c>
      <c r="B57" s="102" t="inlineStr">
        <is>
          <t>일본·간토</t>
        </is>
      </c>
      <c r="C57" s="183" t="inlineStr">
        <is>
          <t>Hakone Country Club (箱根カントリー倶楽部)</t>
        </is>
      </c>
      <c r="D57" s="115" t="n"/>
      <c r="E57" s="184" t="inlineStr">
        <is>
          <t>Kanagawa, Hakone</t>
        </is>
      </c>
      <c r="F57" s="101" t="n">
        <v>18</v>
      </c>
      <c r="G57" s="101">
        <f>F57/18*72</f>
        <v/>
      </c>
      <c r="H57" s="128" t="n"/>
      <c r="I57" s="127" t="n"/>
      <c r="J57" s="127" t="n"/>
      <c r="K57" s="139" t="n"/>
      <c r="L57" s="127" t="n"/>
      <c r="M57" s="129" t="n"/>
      <c r="N57" s="101" t="n"/>
      <c r="O57" s="109" t="n"/>
      <c r="P57" s="162" t="n"/>
      <c r="Q57" s="138" t="inlineStr">
        <is>
          <t>https://www.hakonecc.com/</t>
        </is>
      </c>
      <c r="R57" s="96" t="n">
        <v>1954</v>
      </c>
      <c r="T57" s="125" t="inlineStr">
        <is>
          <t>Mountain course with views</t>
        </is>
      </c>
    </row>
    <row r="58" ht="15" customHeight="1" s="97">
      <c r="A58" s="101" t="n">
        <v>56</v>
      </c>
      <c r="B58" s="102" t="inlineStr">
        <is>
          <t>일본·간토</t>
        </is>
      </c>
      <c r="C58" s="183" t="inlineStr">
        <is>
          <t>Karuizawa 72 Golf (軽井沢72ゴルフ)</t>
        </is>
      </c>
      <c r="D58" s="115" t="n"/>
      <c r="E58" s="184" t="inlineStr">
        <is>
          <t>Nagano, Karuizawa</t>
        </is>
      </c>
      <c r="F58" s="101" t="n">
        <v>72</v>
      </c>
      <c r="G58" s="101">
        <f>F58/18*72</f>
        <v/>
      </c>
      <c r="H58" s="128" t="n"/>
      <c r="I58" s="127" t="n"/>
      <c r="J58" s="127" t="n"/>
      <c r="K58" s="139" t="n"/>
      <c r="L58" s="127" t="n"/>
      <c r="M58" s="129" t="n"/>
      <c r="N58" s="101" t="n"/>
      <c r="O58" s="109" t="n"/>
      <c r="P58" s="162" t="n"/>
      <c r="Q58" s="138" t="inlineStr">
        <is>
          <t>https://www.karuizawa72.com/</t>
        </is>
      </c>
      <c r="R58" s="96" t="n">
        <v>1985</v>
      </c>
      <c r="T58" s="125" t="inlineStr">
        <is>
          <t>Four 18-hole courses</t>
        </is>
      </c>
    </row>
    <row r="59" ht="15" customHeight="1" s="97">
      <c r="A59" s="101" t="n">
        <v>57</v>
      </c>
      <c r="B59" s="102" t="inlineStr">
        <is>
          <t>일본·간토</t>
        </is>
      </c>
      <c r="C59" s="183" t="inlineStr">
        <is>
          <t>PGM Ishioka Golf Club (PGM石岡ゴルフクラブ)</t>
        </is>
      </c>
      <c r="D59" s="115" t="n"/>
      <c r="E59" s="184" t="inlineStr">
        <is>
          <t>Ibaraki, Ishioka</t>
        </is>
      </c>
      <c r="F59" s="101" t="n">
        <v>18</v>
      </c>
      <c r="G59" s="101">
        <f>F59/18*72</f>
        <v/>
      </c>
      <c r="H59" s="128" t="n"/>
      <c r="I59" s="127" t="n"/>
      <c r="J59" s="127" t="n"/>
      <c r="K59" s="139" t="n"/>
      <c r="L59" s="127" t="n"/>
      <c r="M59" s="129" t="n"/>
      <c r="N59" s="101" t="n"/>
      <c r="O59" s="109" t="n"/>
      <c r="P59" s="162" t="n"/>
      <c r="Q59" s="138" t="inlineStr">
        <is>
          <t>https://www.pacificgolf.co.jp/ishioka/</t>
        </is>
      </c>
      <c r="R59" s="96" t="n">
        <v>2004</v>
      </c>
      <c r="T59" s="125" t="inlineStr">
        <is>
          <t>Host of Fujisankei Classic</t>
        </is>
      </c>
    </row>
    <row r="60" ht="15" customHeight="1" s="97">
      <c r="A60" s="101" t="n">
        <v>58</v>
      </c>
      <c r="B60" s="102" t="inlineStr">
        <is>
          <t>일본·주고쿠/시코쿠</t>
        </is>
      </c>
      <c r="C60" s="183" t="inlineStr">
        <is>
          <t>PGM Hakuryuko Country Club (PGM白龍湖カントリークラブ)</t>
        </is>
      </c>
      <c r="D60" s="115" t="n"/>
      <c r="E60" s="184" t="inlineStr">
        <is>
          <t>Hiroshima, Mihara</t>
        </is>
      </c>
      <c r="F60" s="101" t="n">
        <v>18</v>
      </c>
      <c r="G60" s="101">
        <f>F60/18*72</f>
        <v/>
      </c>
      <c r="H60" s="128" t="n"/>
      <c r="I60" s="127" t="n"/>
      <c r="J60" s="127" t="n"/>
      <c r="K60" s="139" t="n"/>
      <c r="L60" s="127" t="n"/>
      <c r="M60" s="129" t="n"/>
      <c r="N60" s="101" t="n"/>
      <c r="O60" s="109" t="n"/>
      <c r="P60" s="162" t="n"/>
      <c r="Q60" s="138" t="inlineStr">
        <is>
          <t>https://www.pacificgolf.co.jp/hakuryuko/</t>
        </is>
      </c>
      <c r="T60" s="111" t="inlineStr">
        <is>
          <t>PGM chain course</t>
        </is>
      </c>
    </row>
    <row r="61" ht="15" customHeight="1" s="97">
      <c r="A61" s="101" t="n">
        <v>59</v>
      </c>
      <c r="B61" s="102" t="inlineStr">
        <is>
          <t>일본·간토</t>
        </is>
      </c>
      <c r="C61" s="183" t="inlineStr">
        <is>
          <t>PGM Makabe Country Club (PGM真壁カントリークラブ)</t>
        </is>
      </c>
      <c r="D61" s="115" t="n"/>
      <c r="E61" s="184" t="inlineStr">
        <is>
          <t>Ibaraki, Sakuragawa</t>
        </is>
      </c>
      <c r="F61" s="101" t="n">
        <v>18</v>
      </c>
      <c r="G61" s="101">
        <f>F61/18*72</f>
        <v/>
      </c>
      <c r="H61" s="128" t="n"/>
      <c r="I61" s="127" t="n"/>
      <c r="J61" s="127" t="n"/>
      <c r="K61" s="139" t="n"/>
      <c r="L61" s="127" t="n"/>
      <c r="M61" s="129" t="n"/>
      <c r="N61" s="101" t="n"/>
      <c r="O61" s="109" t="n"/>
      <c r="P61" s="162" t="n"/>
      <c r="Q61" s="138" t="inlineStr">
        <is>
          <t>https://www.pacificgolf.co.jp/makabe/</t>
        </is>
      </c>
      <c r="T61" s="111" t="inlineStr">
        <is>
          <t>PGM chain</t>
        </is>
      </c>
    </row>
    <row r="62" ht="15" customHeight="1" s="97">
      <c r="A62" s="101" t="n">
        <v>60</v>
      </c>
      <c r="B62" s="102" t="inlineStr">
        <is>
          <t>일본·간토</t>
        </is>
      </c>
      <c r="C62" s="183" t="inlineStr">
        <is>
          <t>Otone Country Club (大利根カントリークラブ)</t>
        </is>
      </c>
      <c r="D62" s="115" t="n"/>
      <c r="E62" s="184" t="inlineStr">
        <is>
          <t>Ibaraki, Bando</t>
        </is>
      </c>
      <c r="F62" s="101" t="n">
        <v>36</v>
      </c>
      <c r="G62" s="101">
        <f>F62/18*72</f>
        <v/>
      </c>
      <c r="H62" s="128" t="n"/>
      <c r="I62" s="127" t="n"/>
      <c r="J62" s="127" t="n"/>
      <c r="K62" s="139" t="n"/>
      <c r="L62" s="127" t="n"/>
      <c r="M62" s="129" t="n"/>
      <c r="N62" s="101" t="n"/>
      <c r="O62" s="109" t="n"/>
      <c r="P62" s="162" t="n"/>
      <c r="Q62" s="138" t="inlineStr">
        <is>
          <t>https://www.otonecc.com/</t>
        </is>
      </c>
      <c r="R62" s="96" t="n">
        <v>1960</v>
      </c>
      <c r="T62" s="125" t="inlineStr">
        <is>
          <t>Has hosted Japan Open</t>
        </is>
      </c>
    </row>
    <row r="63" ht="15" customHeight="1" s="97">
      <c r="A63" s="101" t="n">
        <v>61</v>
      </c>
      <c r="B63" s="102" t="inlineStr">
        <is>
          <t>일본·간토</t>
        </is>
      </c>
      <c r="C63" s="183" t="inlineStr">
        <is>
          <t>Ryugasaki Country Club (龍ヶ崎カントリー倶楽部)</t>
        </is>
      </c>
      <c r="D63" s="115" t="n"/>
      <c r="E63" s="184" t="inlineStr">
        <is>
          <t>Ibaraki, Ryugasaki</t>
        </is>
      </c>
      <c r="F63" s="101" t="n">
        <v>18</v>
      </c>
      <c r="G63" s="101">
        <f>F63/18*72</f>
        <v/>
      </c>
      <c r="H63" s="128" t="n"/>
      <c r="I63" s="127" t="n"/>
      <c r="J63" s="127" t="n"/>
      <c r="K63" s="139" t="n"/>
      <c r="L63" s="127" t="n"/>
      <c r="M63" s="129" t="n"/>
      <c r="N63" s="101" t="n"/>
      <c r="O63" s="109" t="n"/>
      <c r="P63" s="162" t="n"/>
      <c r="Q63" s="138" t="inlineStr">
        <is>
          <t>https://www.ryugasaki-cc.jp/</t>
        </is>
      </c>
      <c r="R63" s="96" t="n">
        <v>1958</v>
      </c>
      <c r="T63" s="125" t="inlineStr">
        <is>
          <t>Has hosted Japan Open</t>
        </is>
      </c>
    </row>
    <row r="64" ht="15" customHeight="1" s="97">
      <c r="A64" s="101" t="n">
        <v>62</v>
      </c>
      <c r="B64" s="102" t="inlineStr">
        <is>
          <t>일본·간토</t>
        </is>
      </c>
      <c r="C64" s="183" t="inlineStr">
        <is>
          <t>Ranzan Country Club (嵐山カントリークラブ)</t>
        </is>
      </c>
      <c r="D64" s="115" t="n"/>
      <c r="E64" s="184" t="inlineStr">
        <is>
          <t>Saitama, Ranzan</t>
        </is>
      </c>
      <c r="F64" s="101" t="n">
        <v>18</v>
      </c>
      <c r="G64" s="101">
        <f>F64/18*72</f>
        <v/>
      </c>
      <c r="H64" s="128" t="n"/>
      <c r="I64" s="127" t="n"/>
      <c r="J64" s="127" t="n"/>
      <c r="K64" s="139" t="n"/>
      <c r="L64" s="127" t="n"/>
      <c r="M64" s="129" t="n"/>
      <c r="N64" s="101" t="n"/>
      <c r="O64" s="109" t="n"/>
      <c r="P64" s="162" t="n"/>
      <c r="Q64" s="138" t="inlineStr">
        <is>
          <t>https://www.ranzan-cc.com/</t>
        </is>
      </c>
      <c r="R64" s="96" t="n">
        <v>1964</v>
      </c>
      <c r="T64" s="125" t="inlineStr">
        <is>
          <t>Saitama classic</t>
        </is>
      </c>
    </row>
    <row r="65" ht="15" customHeight="1" s="97">
      <c r="A65" s="101" t="n">
        <v>63</v>
      </c>
      <c r="B65" s="102" t="inlineStr">
        <is>
          <t>일본·간토</t>
        </is>
      </c>
      <c r="C65" s="183" t="inlineStr">
        <is>
          <t>Abiko Golf Club (我孫子ゴルフ倶楽部)</t>
        </is>
      </c>
      <c r="D65" s="115" t="n"/>
      <c r="E65" s="184" t="inlineStr">
        <is>
          <t>Chiba, Abiko</t>
        </is>
      </c>
      <c r="F65" s="101" t="n">
        <v>18</v>
      </c>
      <c r="G65" s="101">
        <f>F65/18*72</f>
        <v/>
      </c>
      <c r="H65" s="128" t="n"/>
      <c r="I65" s="127" t="n"/>
      <c r="J65" s="127" t="n"/>
      <c r="K65" s="139" t="n"/>
      <c r="L65" s="127" t="n"/>
      <c r="M65" s="129" t="n"/>
      <c r="N65" s="101" t="n"/>
      <c r="O65" s="109" t="n"/>
      <c r="P65" s="162" t="n"/>
      <c r="Q65" s="138" t="inlineStr">
        <is>
          <t>https://www.abikogolf.com/</t>
        </is>
      </c>
      <c r="R65" s="96" t="n">
        <v>1930</v>
      </c>
      <c r="T65" s="125" t="inlineStr">
        <is>
          <t>One of Japan's historic clubs</t>
        </is>
      </c>
    </row>
    <row r="66" ht="15" customHeight="1" s="97">
      <c r="A66" s="101" t="n">
        <v>64</v>
      </c>
      <c r="B66" s="102" t="inlineStr">
        <is>
          <t>일본·간토</t>
        </is>
      </c>
      <c r="C66" s="183" t="inlineStr">
        <is>
          <t>Programme Country Club (プログラムカントリークラブ)</t>
        </is>
      </c>
      <c r="D66" s="115" t="n"/>
      <c r="E66" s="184" t="inlineStr">
        <is>
          <t>Chiba, Ichihara</t>
        </is>
      </c>
      <c r="F66" s="101" t="n">
        <v>18</v>
      </c>
      <c r="G66" s="101">
        <f>F66/18*72</f>
        <v/>
      </c>
      <c r="H66" s="128" t="n"/>
      <c r="I66" s="127" t="n"/>
      <c r="J66" s="127" t="n"/>
      <c r="K66" s="139" t="n"/>
      <c r="L66" s="127" t="n"/>
      <c r="M66" s="129" t="n"/>
      <c r="N66" s="101" t="n"/>
      <c r="O66" s="109" t="n"/>
      <c r="P66" s="162" t="n"/>
      <c r="Q66" s="138" t="n"/>
      <c r="T66" s="111" t="inlineStr">
        <is>
          <t>Chiba parkland</t>
        </is>
      </c>
    </row>
    <row r="67" ht="15" customHeight="1" s="97">
      <c r="A67" s="101" t="n">
        <v>65</v>
      </c>
      <c r="B67" s="102" t="inlineStr">
        <is>
          <t>일본·큐슈</t>
        </is>
      </c>
      <c r="C67" s="183" t="inlineStr">
        <is>
          <t>Keya Golf Club (芥屋ゴルフ倶楽部)</t>
        </is>
      </c>
      <c r="D67" s="115" t="n"/>
      <c r="E67" s="184" t="inlineStr">
        <is>
          <t>Fukuoka, Itoshima</t>
        </is>
      </c>
      <c r="F67" s="101" t="n">
        <v>18</v>
      </c>
      <c r="G67" s="101">
        <f>F67/18*72</f>
        <v/>
      </c>
      <c r="H67" s="128" t="n"/>
      <c r="I67" s="127" t="n"/>
      <c r="J67" s="127" t="n"/>
      <c r="K67" s="139" t="n"/>
      <c r="L67" s="127" t="n"/>
      <c r="M67" s="129" t="n"/>
      <c r="N67" s="101" t="n"/>
      <c r="O67" s="109" t="n"/>
      <c r="P67" s="162" t="n"/>
      <c r="Q67" s="138" t="inlineStr">
        <is>
          <t>https://www.keyagolfclub.com/</t>
        </is>
      </c>
      <c r="R67" s="96" t="n">
        <v>1959</v>
      </c>
      <c r="T67" s="125" t="inlineStr">
        <is>
          <t>Seaside course on Genkai Sea</t>
        </is>
      </c>
    </row>
    <row r="68" ht="15" customHeight="1" s="97">
      <c r="A68" s="101" t="n">
        <v>66</v>
      </c>
      <c r="B68" s="102" t="inlineStr">
        <is>
          <t>일본·큐슈</t>
        </is>
      </c>
      <c r="C68" s="183" t="inlineStr">
        <is>
          <t>Fukuoka Country Club Wajiro Course (福岡カンツリー倶楽部 和白コース)</t>
        </is>
      </c>
      <c r="D68" s="115" t="n"/>
      <c r="E68" s="184" t="inlineStr">
        <is>
          <t>Fukuoka, Fukuoka</t>
        </is>
      </c>
      <c r="F68" s="101" t="n">
        <v>18</v>
      </c>
      <c r="G68" s="101">
        <f>F68/18*72</f>
        <v/>
      </c>
      <c r="H68" s="128" t="n"/>
      <c r="I68" s="127" t="n"/>
      <c r="J68" s="127" t="n"/>
      <c r="K68" s="139" t="n"/>
      <c r="L68" s="127" t="n"/>
      <c r="M68" s="129" t="n"/>
      <c r="N68" s="101" t="n"/>
      <c r="O68" s="109" t="n"/>
      <c r="P68" s="162" t="n"/>
      <c r="Q68" s="138" t="inlineStr">
        <is>
          <t>https://www.fukuokacc.jp/</t>
        </is>
      </c>
      <c r="R68" s="96" t="n">
        <v>1953</v>
      </c>
      <c r="T68" s="125" t="inlineStr">
        <is>
          <t>Historic Kyushu course</t>
        </is>
      </c>
    </row>
    <row r="69" ht="15" customHeight="1" s="97">
      <c r="A69" s="101" t="n">
        <v>67</v>
      </c>
      <c r="B69" s="102" t="inlineStr">
        <is>
          <t>일본·큐슈</t>
        </is>
      </c>
      <c r="C69" s="183" t="inlineStr">
        <is>
          <t>Kokura Country Club (小倉カンツリークラブ)</t>
        </is>
      </c>
      <c r="D69" s="115" t="n"/>
      <c r="E69" s="184" t="inlineStr">
        <is>
          <t>Fukuoka, Kitakyushu</t>
        </is>
      </c>
      <c r="F69" s="101" t="n">
        <v>18</v>
      </c>
      <c r="G69" s="101">
        <f>F69/18*72</f>
        <v/>
      </c>
      <c r="H69" s="128" t="n"/>
      <c r="I69" s="127" t="n"/>
      <c r="J69" s="127" t="n"/>
      <c r="K69" s="139" t="n"/>
      <c r="L69" s="127" t="n"/>
      <c r="M69" s="129" t="n"/>
      <c r="N69" s="101" t="n"/>
      <c r="O69" s="109" t="n"/>
      <c r="P69" s="162" t="n"/>
      <c r="Q69" s="138" t="inlineStr">
        <is>
          <t>https://www.kokuracc.com/</t>
        </is>
      </c>
      <c r="R69" s="96" t="n">
        <v>1959</v>
      </c>
      <c r="T69" s="125" t="inlineStr">
        <is>
          <t>Northern Kyushu classic</t>
        </is>
      </c>
    </row>
    <row r="70" ht="15" customHeight="1" s="97">
      <c r="A70" s="101" t="n">
        <v>68</v>
      </c>
      <c r="B70" s="102" t="inlineStr">
        <is>
          <t>일본·큐슈</t>
        </is>
      </c>
      <c r="C70" s="183" t="inlineStr">
        <is>
          <t>Aso Prince Hotel Golf Course (阿蘇プリンスホテルゴルフコース)</t>
        </is>
      </c>
      <c r="D70" s="115" t="n"/>
      <c r="E70" s="184" t="inlineStr">
        <is>
          <t>Kumamoto, Aso</t>
        </is>
      </c>
      <c r="F70" s="101" t="n">
        <v>18</v>
      </c>
      <c r="G70" s="101">
        <f>F70/18*72</f>
        <v/>
      </c>
      <c r="H70" s="128" t="n"/>
      <c r="I70" s="127" t="n"/>
      <c r="J70" s="127" t="n"/>
      <c r="K70" s="139" t="n"/>
      <c r="L70" s="127" t="n"/>
      <c r="M70" s="129" t="n"/>
      <c r="N70" s="101" t="n"/>
      <c r="O70" s="109" t="n"/>
      <c r="P70" s="162" t="n"/>
      <c r="Q70" s="138" t="inlineStr">
        <is>
          <t>https://www.princehotels.co.jp/golf/aso/</t>
        </is>
      </c>
      <c r="R70" s="96" t="n">
        <v>1973</v>
      </c>
      <c r="T70" s="125" t="inlineStr">
        <is>
          <t>Resort course near Mt. Aso</t>
        </is>
      </c>
    </row>
    <row r="71" ht="15" customHeight="1" s="97">
      <c r="A71" s="101" t="n">
        <v>69</v>
      </c>
      <c r="B71" s="102" t="inlineStr">
        <is>
          <t>일본·큐슈</t>
        </is>
      </c>
      <c r="C71" s="183" t="inlineStr">
        <is>
          <t>Kagoshima Golf Resort (鹿児島ゴルフリゾート)</t>
        </is>
      </c>
      <c r="D71" s="115" t="n"/>
      <c r="E71" s="184" t="inlineStr">
        <is>
          <t>Kagoshima, Kirishima</t>
        </is>
      </c>
      <c r="F71" s="101" t="n">
        <v>36</v>
      </c>
      <c r="G71" s="101">
        <f>F71/18*72</f>
        <v/>
      </c>
      <c r="H71" s="128" t="n"/>
      <c r="I71" s="127" t="n"/>
      <c r="J71" s="127" t="n"/>
      <c r="K71" s="139" t="n"/>
      <c r="L71" s="127" t="n"/>
      <c r="M71" s="129" t="n"/>
      <c r="N71" s="101" t="n"/>
      <c r="O71" s="109" t="n"/>
      <c r="P71" s="162" t="n"/>
      <c r="Q71" s="138" t="inlineStr">
        <is>
          <t>https://www.kagoshima-gr.com/</t>
        </is>
      </c>
      <c r="T71" s="111" t="inlineStr">
        <is>
          <t>Kyushu resort</t>
        </is>
      </c>
    </row>
    <row r="72" ht="15" customHeight="1" s="97">
      <c r="A72" s="101" t="n">
        <v>70</v>
      </c>
      <c r="B72" s="102" t="inlineStr">
        <is>
          <t>일본·큐슈</t>
        </is>
      </c>
      <c r="C72" s="183" t="inlineStr">
        <is>
          <t>Kirishima Golf Club (霧島ゴルフクラブ)</t>
        </is>
      </c>
      <c r="D72" s="115" t="n"/>
      <c r="E72" s="184" t="inlineStr">
        <is>
          <t>Kagoshima, Kirishima</t>
        </is>
      </c>
      <c r="F72" s="101" t="n">
        <v>18</v>
      </c>
      <c r="G72" s="101">
        <f>F72/18*72</f>
        <v/>
      </c>
      <c r="H72" s="128" t="n"/>
      <c r="I72" s="127" t="n"/>
      <c r="J72" s="127" t="n"/>
      <c r="K72" s="139" t="n"/>
      <c r="L72" s="127" t="n"/>
      <c r="M72" s="129" t="n"/>
      <c r="N72" s="101" t="n"/>
      <c r="O72" s="109" t="n"/>
      <c r="P72" s="162" t="n"/>
      <c r="Q72" s="138" t="n"/>
      <c r="T72" s="111" t="inlineStr">
        <is>
          <t>Kirishima highlands</t>
        </is>
      </c>
    </row>
    <row r="73" ht="15" customHeight="1" s="97">
      <c r="A73" s="101" t="n">
        <v>71</v>
      </c>
      <c r="B73" s="102" t="inlineStr">
        <is>
          <t>일본·주고쿠/시코쿠</t>
        </is>
      </c>
      <c r="C73" s="183" t="inlineStr">
        <is>
          <t>JFE Setonaikai Golf Club (JFE瀬戸内海ゴルフ倶楽部)</t>
        </is>
      </c>
      <c r="D73" s="115" t="n"/>
      <c r="E73" s="184" t="inlineStr">
        <is>
          <t>Okayama, Kurashiki</t>
        </is>
      </c>
      <c r="F73" s="101" t="n">
        <v>18</v>
      </c>
      <c r="G73" s="101">
        <f>F73/18*72</f>
        <v/>
      </c>
      <c r="H73" s="128" t="n"/>
      <c r="I73" s="127" t="n"/>
      <c r="J73" s="127" t="n"/>
      <c r="K73" s="139" t="n"/>
      <c r="L73" s="127" t="n"/>
      <c r="M73" s="129" t="n"/>
      <c r="N73" s="101" t="n"/>
      <c r="O73" s="109" t="n"/>
      <c r="P73" s="162" t="n"/>
      <c r="Q73" s="138" t="inlineStr">
        <is>
          <t>https://www.jfe-golf.co.jp/</t>
        </is>
      </c>
      <c r="T73" s="111" t="inlineStr">
        <is>
          <t>Seto Inland Sea views</t>
        </is>
      </c>
    </row>
    <row r="74" ht="15" customHeight="1" s="97">
      <c r="A74" s="101" t="n">
        <v>72</v>
      </c>
      <c r="B74" s="102" t="inlineStr">
        <is>
          <t>일본·간사이</t>
        </is>
      </c>
      <c r="C74" s="183" t="inlineStr">
        <is>
          <t>Rokko Kokusai Golf Club (六甲国際ゴルフ倶楽部)</t>
        </is>
      </c>
      <c r="D74" s="115" t="n"/>
      <c r="E74" s="184" t="inlineStr">
        <is>
          <t>Hyogo, Kobe</t>
        </is>
      </c>
      <c r="F74" s="101" t="n">
        <v>27</v>
      </c>
      <c r="G74" s="101">
        <f>F74/18*72</f>
        <v/>
      </c>
      <c r="H74" s="128" t="n"/>
      <c r="I74" s="127" t="n"/>
      <c r="J74" s="127" t="n"/>
      <c r="K74" s="139" t="n"/>
      <c r="L74" s="127" t="n"/>
      <c r="M74" s="129" t="n"/>
      <c r="N74" s="101" t="n"/>
      <c r="O74" s="109" t="n"/>
      <c r="P74" s="162" t="n"/>
      <c r="Q74" s="138" t="inlineStr">
        <is>
          <t>https://www.rokkokokusai.co.jp/</t>
        </is>
      </c>
      <c r="R74" s="96" t="n">
        <v>1959</v>
      </c>
      <c r="T74" s="125" t="inlineStr">
        <is>
          <t>Mt. Rokko area</t>
        </is>
      </c>
    </row>
    <row r="75" ht="15" customHeight="1" s="97">
      <c r="A75" s="101" t="n">
        <v>73</v>
      </c>
      <c r="B75" s="102" t="inlineStr">
        <is>
          <t>일본·간사이</t>
        </is>
      </c>
      <c r="C75" s="183" t="inlineStr">
        <is>
          <t>Hanna Country Club (奈良国際ゴルフ倶楽部)</t>
        </is>
      </c>
      <c r="D75" s="115" t="n"/>
      <c r="E75" s="184" t="inlineStr">
        <is>
          <t>Nara, Ikoma</t>
        </is>
      </c>
      <c r="F75" s="101" t="n">
        <v>27</v>
      </c>
      <c r="G75" s="101">
        <f>F75/18*72</f>
        <v/>
      </c>
      <c r="H75" s="128" t="n"/>
      <c r="I75" s="127" t="n"/>
      <c r="J75" s="127" t="n"/>
      <c r="K75" s="139" t="n"/>
      <c r="L75" s="127" t="n"/>
      <c r="M75" s="129" t="n"/>
      <c r="N75" s="101" t="n"/>
      <c r="O75" s="109" t="n"/>
      <c r="P75" s="162" t="n"/>
      <c r="Q75" s="138" t="inlineStr">
        <is>
          <t>https://www.nara-kokusai.co.jp/</t>
        </is>
      </c>
      <c r="T75" s="111" t="inlineStr">
        <is>
          <t>Nara region</t>
        </is>
      </c>
    </row>
    <row r="76" ht="15" customHeight="1" s="97">
      <c r="A76" s="101" t="n">
        <v>74</v>
      </c>
      <c r="B76" s="102" t="inlineStr">
        <is>
          <t>일본·간토</t>
        </is>
      </c>
      <c r="C76" s="183" t="inlineStr">
        <is>
          <t>Yomiuri Country Club (よみうりカントリークラブ)</t>
        </is>
      </c>
      <c r="D76" s="115" t="n"/>
      <c r="E76" s="184" t="inlineStr">
        <is>
          <t>Tokyo, Inagi</t>
        </is>
      </c>
      <c r="F76" s="101" t="n">
        <v>18</v>
      </c>
      <c r="G76" s="101">
        <f>F76/18*72</f>
        <v/>
      </c>
      <c r="H76" s="128" t="n"/>
      <c r="I76" s="127" t="n"/>
      <c r="J76" s="127" t="n"/>
      <c r="K76" s="139" t="n"/>
      <c r="L76" s="127" t="n"/>
      <c r="M76" s="129" t="n"/>
      <c r="N76" s="101" t="n"/>
      <c r="O76" s="109" t="n"/>
      <c r="P76" s="162" t="n"/>
      <c r="Q76" s="138" t="inlineStr">
        <is>
          <t>https://www.yomiuricc.co.jp/</t>
        </is>
      </c>
      <c r="R76" s="96" t="n">
        <v>1961</v>
      </c>
      <c r="T76" s="125" t="inlineStr">
        <is>
          <t>Host of Nippon Series JT Cup</t>
        </is>
      </c>
    </row>
    <row r="77" ht="15" customHeight="1" s="97">
      <c r="A77" s="101" t="n">
        <v>75</v>
      </c>
      <c r="B77" s="102" t="inlineStr">
        <is>
          <t>일본·간사이</t>
        </is>
      </c>
      <c r="C77" s="183" t="inlineStr">
        <is>
          <t>Yomiuri Golf Club (Hyogo) (よみうりゴルフ倶楽部)</t>
        </is>
      </c>
      <c r="D77" s="115" t="n"/>
      <c r="E77" s="184" t="inlineStr">
        <is>
          <t>Hyogo, Nishinomiya</t>
        </is>
      </c>
      <c r="F77" s="101" t="n">
        <v>18</v>
      </c>
      <c r="G77" s="101">
        <f>F77/18*72</f>
        <v/>
      </c>
      <c r="H77" s="128" t="n"/>
      <c r="I77" s="127" t="n"/>
      <c r="J77" s="127" t="n"/>
      <c r="K77" s="139" t="n"/>
      <c r="L77" s="127" t="n"/>
      <c r="M77" s="129" t="n"/>
      <c r="N77" s="101" t="n"/>
      <c r="O77" s="109" t="n"/>
      <c r="P77" s="162" t="n"/>
      <c r="Q77" s="138" t="inlineStr">
        <is>
          <t>https://www.yomiurigolf.co.jp/</t>
        </is>
      </c>
      <c r="R77" s="96" t="n">
        <v>1961</v>
      </c>
      <c r="T77" s="111" t="inlineStr">
        <is>
          <t>Kansai branch</t>
        </is>
      </c>
    </row>
    <row r="78" ht="15" customHeight="1" s="97">
      <c r="A78" s="101" t="n">
        <v>76</v>
      </c>
      <c r="B78" s="102" t="inlineStr">
        <is>
          <t>일본·간토</t>
        </is>
      </c>
      <c r="C78" s="183" t="inlineStr">
        <is>
          <t>Kasumigaura Country Club (霞ヶ浦カントリー倶楽部)</t>
        </is>
      </c>
      <c r="D78" s="115" t="n"/>
      <c r="E78" s="184" t="inlineStr">
        <is>
          <t>Ibaraki, Kasumigaura</t>
        </is>
      </c>
      <c r="F78" s="101" t="n">
        <v>18</v>
      </c>
      <c r="G78" s="101">
        <f>F78/18*72</f>
        <v/>
      </c>
      <c r="H78" s="128" t="n"/>
      <c r="I78" s="127" t="n"/>
      <c r="J78" s="127" t="n"/>
      <c r="K78" s="139" t="n"/>
      <c r="L78" s="127" t="n"/>
      <c r="M78" s="129" t="n"/>
      <c r="N78" s="101" t="n"/>
      <c r="O78" s="109" t="n"/>
      <c r="P78" s="162" t="n"/>
      <c r="Q78" s="138" t="inlineStr">
        <is>
          <t>https://www.kasumigaura-cc.com/</t>
        </is>
      </c>
      <c r="T78" s="111" t="inlineStr">
        <is>
          <t>Lake Kasumigaura area</t>
        </is>
      </c>
    </row>
    <row r="79" ht="15" customHeight="1" s="97">
      <c r="A79" s="101" t="n">
        <v>77</v>
      </c>
      <c r="B79" s="102" t="inlineStr">
        <is>
          <t>일본·간토</t>
        </is>
      </c>
      <c r="C79" s="183" t="inlineStr">
        <is>
          <t>Nikko Country Club (日光カンツリー倶楽部)</t>
        </is>
      </c>
      <c r="D79" s="115" t="n"/>
      <c r="E79" s="184" t="inlineStr">
        <is>
          <t>Tochigi, Nikko</t>
        </is>
      </c>
      <c r="F79" s="101" t="n">
        <v>18</v>
      </c>
      <c r="G79" s="101">
        <f>F79/18*72</f>
        <v/>
      </c>
      <c r="H79" s="128" t="n"/>
      <c r="I79" s="127" t="n"/>
      <c r="J79" s="127" t="n"/>
      <c r="K79" s="139" t="n"/>
      <c r="L79" s="127" t="n"/>
      <c r="M79" s="129" t="n"/>
      <c r="N79" s="101" t="n"/>
      <c r="O79" s="109" t="n"/>
      <c r="P79" s="162" t="n"/>
      <c r="Q79" s="138" t="inlineStr">
        <is>
          <t>https://www.nikkocc.or.jp/</t>
        </is>
      </c>
      <c r="R79" s="96" t="n">
        <v>1929</v>
      </c>
      <c r="T79" s="125" t="inlineStr">
        <is>
          <t>Historic highland course</t>
        </is>
      </c>
    </row>
    <row r="80" ht="15" customHeight="1" s="97">
      <c r="A80" s="101" t="n">
        <v>78</v>
      </c>
      <c r="B80" s="102" t="inlineStr">
        <is>
          <t>일본·간토</t>
        </is>
      </c>
      <c r="C80" s="183" t="inlineStr">
        <is>
          <t>Naeba Golf Course (苗場ゴルフコース)</t>
        </is>
      </c>
      <c r="D80" s="115" t="n"/>
      <c r="E80" s="184" t="inlineStr">
        <is>
          <t>Niigata, Yuzawa</t>
        </is>
      </c>
      <c r="F80" s="101" t="n">
        <v>18</v>
      </c>
      <c r="G80" s="101">
        <f>F80/18*72</f>
        <v/>
      </c>
      <c r="H80" s="128" t="n"/>
      <c r="I80" s="127" t="n"/>
      <c r="J80" s="127" t="n"/>
      <c r="K80" s="139" t="n"/>
      <c r="L80" s="127" t="n"/>
      <c r="M80" s="129" t="n"/>
      <c r="N80" s="101" t="n"/>
      <c r="O80" s="109" t="n"/>
      <c r="P80" s="162" t="n"/>
      <c r="Q80" s="138" t="inlineStr">
        <is>
          <t>https://www.princehotels.co.jp/golf/naeba/</t>
        </is>
      </c>
      <c r="R80" s="96" t="n">
        <v>1976</v>
      </c>
      <c r="T80" s="125" t="inlineStr">
        <is>
          <t>Prince Hotel resort course</t>
        </is>
      </c>
    </row>
    <row r="81" ht="15" customHeight="1" s="97">
      <c r="A81" s="101" t="n">
        <v>79</v>
      </c>
      <c r="B81" s="102" t="inlineStr">
        <is>
          <t>일본·홋카이도</t>
        </is>
      </c>
      <c r="C81" s="183" t="inlineStr">
        <is>
          <t>Sapporo Golf Club - Wattsu Course (札幌ゴルフ倶楽部 輪厚コース)</t>
        </is>
      </c>
      <c r="D81" s="115" t="n"/>
      <c r="E81" s="184" t="inlineStr">
        <is>
          <t>Hokkaido, Kitahiroshima</t>
        </is>
      </c>
      <c r="F81" s="101" t="n">
        <v>18</v>
      </c>
      <c r="G81" s="101">
        <f>F81/18*72</f>
        <v/>
      </c>
      <c r="H81" s="128" t="n"/>
      <c r="I81" s="127" t="n"/>
      <c r="J81" s="127" t="n"/>
      <c r="K81" s="139" t="n"/>
      <c r="L81" s="127" t="n"/>
      <c r="M81" s="129" t="n"/>
      <c r="N81" s="101" t="n"/>
      <c r="O81" s="109" t="n"/>
      <c r="P81" s="162" t="n"/>
      <c r="Q81" s="138" t="inlineStr">
        <is>
          <t>https://www.sapporogc.com/</t>
        </is>
      </c>
      <c r="R81" s="96" t="n">
        <v>1961</v>
      </c>
      <c r="T81" s="125" t="inlineStr">
        <is>
          <t>Host of Sun Chlorella Classic</t>
        </is>
      </c>
    </row>
    <row r="82" ht="15" customHeight="1" s="97">
      <c r="A82" s="101" t="n">
        <v>80</v>
      </c>
      <c r="B82" s="102" t="inlineStr">
        <is>
          <t>일본·홋카이도</t>
        </is>
      </c>
      <c r="C82" s="183" t="inlineStr">
        <is>
          <t>Hokkaido Classic Golf Club (北海道クラシックゴルフクラブ)</t>
        </is>
      </c>
      <c r="D82" s="115" t="n"/>
      <c r="E82" s="184" t="inlineStr">
        <is>
          <t>Hokkaido, Chitose</t>
        </is>
      </c>
      <c r="F82" s="101" t="n">
        <v>18</v>
      </c>
      <c r="G82" s="101">
        <f>F82/18*72</f>
        <v/>
      </c>
      <c r="H82" s="128" t="n"/>
      <c r="I82" s="127" t="n"/>
      <c r="J82" s="127" t="n"/>
      <c r="K82" s="139" t="n"/>
      <c r="L82" s="127" t="n"/>
      <c r="M82" s="129" t="n"/>
      <c r="N82" s="101" t="n"/>
      <c r="O82" s="109" t="n"/>
      <c r="P82" s="162" t="n"/>
      <c r="Q82" s="138" t="inlineStr">
        <is>
          <t>https://www.hokkaido-classic.co.jp/</t>
        </is>
      </c>
      <c r="R82" s="96" t="n">
        <v>1991</v>
      </c>
      <c r="T82" s="125" t="inlineStr">
        <is>
          <t>Nicklaus-designed championship course</t>
        </is>
      </c>
    </row>
    <row r="83" ht="15" customHeight="1" s="97">
      <c r="A83" s="101" t="n">
        <v>81</v>
      </c>
      <c r="B83" s="102" t="inlineStr">
        <is>
          <t>일본·홋카이도</t>
        </is>
      </c>
      <c r="C83" s="183" t="inlineStr">
        <is>
          <t>The North Country Golf Club (ザ・ノースカントリーゴルフクラブ)</t>
        </is>
      </c>
      <c r="D83" s="115" t="n"/>
      <c r="E83" s="184" t="inlineStr">
        <is>
          <t>Hokkaido, Chitose</t>
        </is>
      </c>
      <c r="F83" s="101" t="n">
        <v>18</v>
      </c>
      <c r="G83" s="101">
        <f>F83/18*72</f>
        <v/>
      </c>
      <c r="H83" s="128" t="n"/>
      <c r="I83" s="127" t="n"/>
      <c r="J83" s="127" t="n"/>
      <c r="K83" s="139" t="n"/>
      <c r="L83" s="127" t="n"/>
      <c r="M83" s="129" t="n"/>
      <c r="N83" s="101" t="n"/>
      <c r="O83" s="109" t="n"/>
      <c r="P83" s="162" t="n"/>
      <c r="Q83" s="138" t="inlineStr">
        <is>
          <t>https://www.thenorthcountry.jp/</t>
        </is>
      </c>
      <c r="R83" s="96" t="n">
        <v>1996</v>
      </c>
      <c r="T83" s="125" t="inlineStr">
        <is>
          <t>Host of Japan Women's Open 2011</t>
        </is>
      </c>
    </row>
    <row r="84" ht="15" customHeight="1" s="97">
      <c r="A84" s="101" t="n">
        <v>82</v>
      </c>
      <c r="B84" s="102" t="inlineStr">
        <is>
          <t>일본·홋카이도</t>
        </is>
      </c>
      <c r="C84" s="183" t="inlineStr">
        <is>
          <t>Rusutsu Resort Golf Courses (ルスツリゾートゴルフ)</t>
        </is>
      </c>
      <c r="D84" s="115" t="n"/>
      <c r="E84" s="184" t="inlineStr">
        <is>
          <t>Hokkaido, Rusutsu</t>
        </is>
      </c>
      <c r="F84" s="101" t="n">
        <v>54</v>
      </c>
      <c r="G84" s="101">
        <f>F84/18*72</f>
        <v/>
      </c>
      <c r="H84" s="128" t="n"/>
      <c r="I84" s="127" t="n"/>
      <c r="J84" s="127" t="n"/>
      <c r="K84" s="139" t="n"/>
      <c r="L84" s="127" t="n"/>
      <c r="M84" s="129" t="n"/>
      <c r="N84" s="101" t="n"/>
      <c r="O84" s="109" t="n"/>
      <c r="P84" s="162" t="n"/>
      <c r="Q84" s="138" t="inlineStr">
        <is>
          <t>https://rusutsu.com/golf/</t>
        </is>
      </c>
      <c r="R84" s="96" t="n">
        <v>1978</v>
      </c>
      <c r="T84" s="125" t="inlineStr">
        <is>
          <t>Three 18-hole courses at Rusutsu Resort</t>
        </is>
      </c>
    </row>
    <row r="85" ht="15" customHeight="1" s="97">
      <c r="A85" s="101" t="n">
        <v>83</v>
      </c>
      <c r="B85" s="102" t="inlineStr">
        <is>
          <t>일본·홋카이도</t>
        </is>
      </c>
      <c r="C85" s="183" t="inlineStr">
        <is>
          <t>Hokkaido Brooks Country Club (北海道ブルックスカントリークラブ)</t>
        </is>
      </c>
      <c r="D85" s="115" t="n"/>
      <c r="E85" s="184" t="inlineStr">
        <is>
          <t>Hokkaido, Eniwa</t>
        </is>
      </c>
      <c r="F85" s="101" t="n">
        <v>18</v>
      </c>
      <c r="G85" s="101">
        <f>F85/18*72</f>
        <v/>
      </c>
      <c r="H85" s="128" t="n"/>
      <c r="I85" s="127" t="n"/>
      <c r="J85" s="127" t="n"/>
      <c r="K85" s="139" t="n"/>
      <c r="L85" s="127" t="n"/>
      <c r="M85" s="129" t="n"/>
      <c r="N85" s="101" t="n"/>
      <c r="O85" s="109" t="n"/>
      <c r="P85" s="162" t="n"/>
      <c r="Q85" s="138" t="inlineStr">
        <is>
          <t>https://www.brookscc.co.jp/</t>
        </is>
      </c>
      <c r="T85" s="111" t="inlineStr">
        <is>
          <t>Scenic Hokkaido course</t>
        </is>
      </c>
    </row>
    <row r="86" ht="15" customHeight="1" s="97">
      <c r="A86" s="101" t="n">
        <v>84</v>
      </c>
      <c r="B86" s="102" t="inlineStr">
        <is>
          <t>일본·홋카이도</t>
        </is>
      </c>
      <c r="C86" s="183" t="inlineStr">
        <is>
          <t>Otaru Country Club (小樽カントリー倶楽部)</t>
        </is>
      </c>
      <c r="D86" s="115" t="n"/>
      <c r="E86" s="184" t="inlineStr">
        <is>
          <t>Hokkaido, Otaru</t>
        </is>
      </c>
      <c r="F86" s="101" t="n">
        <v>18</v>
      </c>
      <c r="G86" s="101">
        <f>F86/18*72</f>
        <v/>
      </c>
      <c r="H86" s="128" t="n"/>
      <c r="I86" s="127" t="n"/>
      <c r="J86" s="127" t="n"/>
      <c r="K86" s="139" t="n"/>
      <c r="L86" s="127" t="n"/>
      <c r="M86" s="129" t="n"/>
      <c r="N86" s="101" t="n"/>
      <c r="O86" s="109" t="n"/>
      <c r="P86" s="162" t="n"/>
      <c r="Q86" s="138" t="inlineStr">
        <is>
          <t>https://www.otarucc.com/</t>
        </is>
      </c>
      <c r="R86" s="96" t="n">
        <v>1928</v>
      </c>
      <c r="T86" s="125" t="inlineStr">
        <is>
          <t>Hokkaido's oldest club</t>
        </is>
      </c>
    </row>
    <row r="87" ht="15" customHeight="1" s="97">
      <c r="A87" s="101" t="n">
        <v>85</v>
      </c>
      <c r="B87" s="102" t="inlineStr">
        <is>
          <t>일본·홋카이도</t>
        </is>
      </c>
      <c r="C87" s="183" t="inlineStr">
        <is>
          <t>Hokkaido Golf Club (北海道ゴルフ倶楽部)</t>
        </is>
      </c>
      <c r="D87" s="115" t="n"/>
      <c r="E87" s="184" t="inlineStr">
        <is>
          <t>Hokkaido, Chitose</t>
        </is>
      </c>
      <c r="F87" s="101" t="n">
        <v>27</v>
      </c>
      <c r="G87" s="101">
        <f>F87/18*72</f>
        <v/>
      </c>
      <c r="H87" s="128" t="n"/>
      <c r="I87" s="127" t="n"/>
      <c r="J87" s="127" t="n"/>
      <c r="K87" s="139" t="n"/>
      <c r="L87" s="127" t="n"/>
      <c r="M87" s="129" t="n"/>
      <c r="N87" s="101" t="n"/>
      <c r="O87" s="109" t="n"/>
      <c r="P87" s="162" t="n"/>
      <c r="Q87" s="138" t="inlineStr">
        <is>
          <t>https://www.hokkaidogolf.jp/</t>
        </is>
      </c>
      <c r="T87" s="111" t="inlineStr">
        <is>
          <t>Chitose area</t>
        </is>
      </c>
    </row>
    <row r="88" ht="15" customHeight="1" s="97">
      <c r="A88" s="101" t="n">
        <v>86</v>
      </c>
      <c r="B88" s="102" t="inlineStr">
        <is>
          <t>일본·홋카이도</t>
        </is>
      </c>
      <c r="C88" s="183" t="inlineStr">
        <is>
          <t>Niseko Golf Club (ニセコゴルフコース)</t>
        </is>
      </c>
      <c r="D88" s="115" t="n"/>
      <c r="E88" s="184" t="inlineStr">
        <is>
          <t>Hokkaido, Niseko</t>
        </is>
      </c>
      <c r="F88" s="101" t="n">
        <v>18</v>
      </c>
      <c r="G88" s="101">
        <f>F88/18*72</f>
        <v/>
      </c>
      <c r="H88" s="128" t="n"/>
      <c r="I88" s="127" t="n"/>
      <c r="J88" s="127" t="n"/>
      <c r="K88" s="139" t="n"/>
      <c r="L88" s="127" t="n"/>
      <c r="M88" s="129" t="n"/>
      <c r="N88" s="101" t="n"/>
      <c r="O88" s="109" t="n"/>
      <c r="P88" s="162" t="n"/>
      <c r="Q88" s="138" t="inlineStr">
        <is>
          <t>https://www.niseko.ne.jp/golf/</t>
        </is>
      </c>
      <c r="T88" s="111" t="inlineStr">
        <is>
          <t>Mountain resort</t>
        </is>
      </c>
    </row>
    <row r="89" ht="15" customHeight="1" s="97">
      <c r="A89" s="101" t="n">
        <v>87</v>
      </c>
      <c r="B89" s="102" t="inlineStr">
        <is>
          <t>일본·홋카이도</t>
        </is>
      </c>
      <c r="C89" s="183" t="inlineStr">
        <is>
          <t>Tomakomai Golf Resort 72 (苫小牧ゴルフリゾート72)</t>
        </is>
      </c>
      <c r="D89" s="115" t="n"/>
      <c r="E89" s="184" t="inlineStr">
        <is>
          <t>Hokkaido, Tomakomai</t>
        </is>
      </c>
      <c r="F89" s="101" t="n">
        <v>72</v>
      </c>
      <c r="G89" s="101">
        <f>F89/18*72</f>
        <v/>
      </c>
      <c r="H89" s="128" t="n"/>
      <c r="I89" s="127" t="n"/>
      <c r="J89" s="127" t="n"/>
      <c r="K89" s="139" t="n"/>
      <c r="L89" s="127" t="n"/>
      <c r="M89" s="129" t="n"/>
      <c r="N89" s="101" t="n"/>
      <c r="O89" s="109" t="n"/>
      <c r="P89" s="162" t="n"/>
      <c r="Q89" s="138" t="n"/>
      <c r="T89" s="111" t="inlineStr">
        <is>
          <t>Four courses</t>
        </is>
      </c>
    </row>
    <row r="90" ht="15" customHeight="1" s="97">
      <c r="A90" s="101" t="n">
        <v>88</v>
      </c>
      <c r="B90" s="102" t="inlineStr">
        <is>
          <t>일본·간토</t>
        </is>
      </c>
      <c r="C90" s="183" t="inlineStr">
        <is>
          <t>Narashino Country Club (習志野カントリークラブ)</t>
        </is>
      </c>
      <c r="D90" s="115" t="n"/>
      <c r="E90" s="184" t="inlineStr">
        <is>
          <t>Chiba, Inzai</t>
        </is>
      </c>
      <c r="F90" s="101" t="n">
        <v>36</v>
      </c>
      <c r="G90" s="101">
        <f>F90/18*72</f>
        <v/>
      </c>
      <c r="H90" s="128" t="n"/>
      <c r="I90" s="127" t="n"/>
      <c r="J90" s="127" t="n"/>
      <c r="K90" s="139" t="n"/>
      <c r="L90" s="127" t="n"/>
      <c r="M90" s="129" t="n"/>
      <c r="N90" s="101" t="n"/>
      <c r="O90" s="109" t="n"/>
      <c r="P90" s="162" t="n"/>
      <c r="Q90" s="138" t="inlineStr">
        <is>
          <t>https://www.narashino-cc.or.jp/</t>
        </is>
      </c>
      <c r="R90" s="96" t="n">
        <v>1965</v>
      </c>
      <c r="T90" s="125" t="inlineStr">
        <is>
          <t>Host of Zozo Championship PGA Tour event</t>
        </is>
      </c>
    </row>
    <row r="91" ht="15" customHeight="1" s="97">
      <c r="A91" s="101" t="n">
        <v>89</v>
      </c>
      <c r="B91" s="102" t="inlineStr">
        <is>
          <t>일본·간토</t>
        </is>
      </c>
      <c r="C91" s="183" t="inlineStr">
        <is>
          <t>Accordia Golf Narashino Country Club (アコーディア・ゴルフ 習志野カントリークラブ)</t>
        </is>
      </c>
      <c r="D91" s="115" t="n"/>
      <c r="E91" s="184" t="inlineStr">
        <is>
          <t>Chiba, Inzai</t>
        </is>
      </c>
      <c r="F91" s="101" t="n">
        <v>36</v>
      </c>
      <c r="G91" s="101">
        <f>F91/18*72</f>
        <v/>
      </c>
      <c r="H91" s="128" t="n"/>
      <c r="I91" s="127" t="n"/>
      <c r="J91" s="127" t="n"/>
      <c r="K91" s="139" t="n"/>
      <c r="L91" s="127" t="n"/>
      <c r="M91" s="129" t="n"/>
      <c r="N91" s="101" t="n"/>
      <c r="O91" s="109" t="n"/>
      <c r="P91" s="162" t="n"/>
      <c r="Q91" s="138" t="inlineStr">
        <is>
          <t>https://www.narashino-cc.or.jp/</t>
        </is>
      </c>
      <c r="R91" s="96" t="n">
        <v>1965</v>
      </c>
      <c r="T91" s="125" t="inlineStr">
        <is>
          <t>Accordia-operated host of Zozo Championship</t>
        </is>
      </c>
    </row>
    <row r="92" ht="15" customHeight="1" s="97">
      <c r="A92" s="101" t="n">
        <v>90</v>
      </c>
      <c r="B92" s="102" t="inlineStr">
        <is>
          <t>일본·간토</t>
        </is>
      </c>
      <c r="C92" s="183" t="inlineStr">
        <is>
          <t>Accordia Golf Kasukabe Course (アコーディア・ゴルフ春日部コース)</t>
        </is>
      </c>
      <c r="D92" s="115" t="n"/>
      <c r="E92" s="184" t="inlineStr">
        <is>
          <t>Saitama, Kasukabe</t>
        </is>
      </c>
      <c r="F92" s="101" t="n">
        <v>18</v>
      </c>
      <c r="G92" s="101">
        <f>F92/18*72</f>
        <v/>
      </c>
      <c r="H92" s="128" t="n"/>
      <c r="I92" s="127" t="n"/>
      <c r="J92" s="127" t="n"/>
      <c r="K92" s="139" t="n"/>
      <c r="L92" s="127" t="n"/>
      <c r="M92" s="129" t="n"/>
      <c r="N92" s="101" t="n"/>
      <c r="O92" s="109" t="n"/>
      <c r="P92" s="162" t="n"/>
      <c r="Q92" s="138" t="inlineStr">
        <is>
          <t>https://www.accordiagolf.com/</t>
        </is>
      </c>
      <c r="T92" s="111" t="inlineStr">
        <is>
          <t>Accordia chain</t>
        </is>
      </c>
    </row>
    <row r="93" ht="15" customHeight="1" s="97">
      <c r="A93" s="101" t="n">
        <v>91</v>
      </c>
      <c r="B93" s="102" t="inlineStr">
        <is>
          <t>일본·간토</t>
        </is>
      </c>
      <c r="C93" s="183" t="inlineStr">
        <is>
          <t>The Royal Golf Club (ザ・ロイヤルゴルフクラブ)</t>
        </is>
      </c>
      <c r="D93" s="115" t="n"/>
      <c r="E93" s="184" t="inlineStr">
        <is>
          <t>Ibaraki, Hokota</t>
        </is>
      </c>
      <c r="F93" s="101" t="n">
        <v>18</v>
      </c>
      <c r="G93" s="101">
        <f>F93/18*72</f>
        <v/>
      </c>
      <c r="H93" s="128" t="n"/>
      <c r="I93" s="127" t="n"/>
      <c r="J93" s="127" t="n"/>
      <c r="K93" s="139" t="n"/>
      <c r="L93" s="127" t="n"/>
      <c r="M93" s="129" t="n"/>
      <c r="N93" s="101" t="n"/>
      <c r="O93" s="109" t="n"/>
      <c r="P93" s="162" t="n"/>
      <c r="Q93" s="138" t="inlineStr">
        <is>
          <t>https://www.the-royal-gc.co.jp/</t>
        </is>
      </c>
      <c r="R93" s="96" t="n">
        <v>2007</v>
      </c>
      <c r="T93" s="125" t="inlineStr">
        <is>
          <t>Nicklaus signature course</t>
        </is>
      </c>
    </row>
    <row r="94" ht="15" customHeight="1" s="97">
      <c r="A94" s="101" t="n">
        <v>92</v>
      </c>
      <c r="B94" s="102" t="inlineStr">
        <is>
          <t>일본·간토</t>
        </is>
      </c>
      <c r="C94" s="183" t="inlineStr">
        <is>
          <t>Shishido Hills Country Club (宍戸ヒルズカントリークラブ)</t>
        </is>
      </c>
      <c r="D94" s="115" t="n"/>
      <c r="E94" s="184" t="inlineStr">
        <is>
          <t>Ibaraki, Kasama</t>
        </is>
      </c>
      <c r="F94" s="101" t="n">
        <v>36</v>
      </c>
      <c r="G94" s="101">
        <f>F94/18*72</f>
        <v/>
      </c>
      <c r="H94" s="128" t="n"/>
      <c r="I94" s="127" t="n"/>
      <c r="J94" s="127" t="n"/>
      <c r="K94" s="139" t="n"/>
      <c r="L94" s="127" t="n"/>
      <c r="M94" s="129" t="n"/>
      <c r="N94" s="101" t="n"/>
      <c r="O94" s="109" t="n"/>
      <c r="P94" s="162" t="n"/>
      <c r="Q94" s="138" t="inlineStr">
        <is>
          <t>https://www.shishido-hills.co.jp/</t>
        </is>
      </c>
      <c r="R94" s="96" t="n">
        <v>1972</v>
      </c>
      <c r="T94" s="125" t="inlineStr">
        <is>
          <t>Host of Japan Open several times</t>
        </is>
      </c>
    </row>
    <row r="95" ht="15" customHeight="1" s="97">
      <c r="A95" s="101" t="n">
        <v>93</v>
      </c>
      <c r="B95" s="102" t="inlineStr">
        <is>
          <t>일본·간토</t>
        </is>
      </c>
      <c r="C95" s="183" t="inlineStr">
        <is>
          <t>Tsukuba Country Club (筑波カントリークラブ)</t>
        </is>
      </c>
      <c r="D95" s="115" t="n"/>
      <c r="E95" s="184" t="inlineStr">
        <is>
          <t>Ibaraki, Tsukuba</t>
        </is>
      </c>
      <c r="F95" s="101" t="n">
        <v>36</v>
      </c>
      <c r="G95" s="101">
        <f>F95/18*72</f>
        <v/>
      </c>
      <c r="H95" s="128" t="n"/>
      <c r="I95" s="127" t="n"/>
      <c r="J95" s="127" t="n"/>
      <c r="K95" s="139" t="n"/>
      <c r="L95" s="127" t="n"/>
      <c r="M95" s="129" t="n"/>
      <c r="N95" s="101" t="n"/>
      <c r="O95" s="109" t="n"/>
      <c r="P95" s="162" t="n"/>
      <c r="Q95" s="138" t="inlineStr">
        <is>
          <t>https://www.tsukubacc.com/</t>
        </is>
      </c>
      <c r="R95" s="96" t="n">
        <v>1960</v>
      </c>
      <c r="T95" s="125" t="inlineStr">
        <is>
          <t>Has hosted major Japan tournaments</t>
        </is>
      </c>
    </row>
    <row r="96" ht="15" customHeight="1" s="97">
      <c r="A96" s="101" t="n">
        <v>94</v>
      </c>
      <c r="B96" s="102" t="inlineStr">
        <is>
          <t>일본·간토</t>
        </is>
      </c>
      <c r="C96" s="183" t="inlineStr">
        <is>
          <t>Musashi Country Club (武蔵カントリークラブ)</t>
        </is>
      </c>
      <c r="D96" s="115" t="n"/>
      <c r="E96" s="184" t="inlineStr">
        <is>
          <t>Saitama, Hanno</t>
        </is>
      </c>
      <c r="F96" s="101" t="n">
        <v>36</v>
      </c>
      <c r="G96" s="101">
        <f>F96/18*72</f>
        <v/>
      </c>
      <c r="H96" s="128" t="n"/>
      <c r="I96" s="127" t="n"/>
      <c r="J96" s="127" t="n"/>
      <c r="K96" s="139" t="n"/>
      <c r="L96" s="127" t="n"/>
      <c r="M96" s="129" t="n"/>
      <c r="N96" s="101" t="n"/>
      <c r="O96" s="109" t="n"/>
      <c r="P96" s="162" t="n"/>
      <c r="Q96" s="138" t="inlineStr">
        <is>
          <t>https://www.musashicc.or.jp/</t>
        </is>
      </c>
      <c r="R96" s="96" t="n">
        <v>1961</v>
      </c>
      <c r="T96" s="125" t="inlineStr">
        <is>
          <t>Toyooka and Sasai courses</t>
        </is>
      </c>
    </row>
    <row r="97" ht="15" customHeight="1" s="97">
      <c r="A97" s="101" t="n">
        <v>95</v>
      </c>
      <c r="B97" s="102" t="inlineStr">
        <is>
          <t>일본·간토</t>
        </is>
      </c>
      <c r="C97" s="183" t="inlineStr">
        <is>
          <t>Kogane Country Club (小金井カントリー倶楽部)</t>
        </is>
      </c>
      <c r="D97" s="115" t="n"/>
      <c r="E97" s="184" t="inlineStr">
        <is>
          <t>Tokyo, Koganei</t>
        </is>
      </c>
      <c r="F97" s="101" t="n">
        <v>18</v>
      </c>
      <c r="G97" s="101">
        <f>F97/18*72</f>
        <v/>
      </c>
      <c r="H97" s="128" t="n"/>
      <c r="I97" s="127" t="n"/>
      <c r="J97" s="127" t="n"/>
      <c r="K97" s="139" t="n"/>
      <c r="L97" s="127" t="n"/>
      <c r="M97" s="129" t="n"/>
      <c r="N97" s="101" t="n"/>
      <c r="O97" s="109" t="n"/>
      <c r="P97" s="162" t="n"/>
      <c r="Q97" s="138" t="inlineStr">
        <is>
          <t>https://www.kogacc.or.jp/</t>
        </is>
      </c>
      <c r="R97" s="96" t="n">
        <v>1937</v>
      </c>
      <c r="T97" s="125" t="inlineStr">
        <is>
          <t>One of Tokyo's most prestigious clubs</t>
        </is>
      </c>
    </row>
    <row r="98" ht="15" customHeight="1" s="97">
      <c r="A98" s="101" t="n">
        <v>96</v>
      </c>
      <c r="B98" s="102" t="inlineStr">
        <is>
          <t>일본·간토</t>
        </is>
      </c>
      <c r="C98" s="183" t="inlineStr">
        <is>
          <t>Takanodai Country Club (鷹之台カンツリー倶楽部)</t>
        </is>
      </c>
      <c r="D98" s="115" t="n"/>
      <c r="E98" s="184" t="inlineStr">
        <is>
          <t>Chiba, Yachiyo</t>
        </is>
      </c>
      <c r="F98" s="101" t="n">
        <v>18</v>
      </c>
      <c r="G98" s="101">
        <f>F98/18*72</f>
        <v/>
      </c>
      <c r="H98" s="128" t="n"/>
      <c r="I98" s="127" t="n"/>
      <c r="J98" s="127" t="n"/>
      <c r="K98" s="139" t="n"/>
      <c r="L98" s="127" t="n"/>
      <c r="M98" s="129" t="n"/>
      <c r="N98" s="101" t="n"/>
      <c r="O98" s="109" t="n"/>
      <c r="P98" s="162" t="n"/>
      <c r="Q98" s="138" t="inlineStr">
        <is>
          <t>https://www.takanodai-cc.or.jp/</t>
        </is>
      </c>
      <c r="R98" s="96" t="n">
        <v>1956</v>
      </c>
      <c r="T98" s="125" t="inlineStr">
        <is>
          <t>Host of Japan Open multiple times</t>
        </is>
      </c>
    </row>
    <row r="99" ht="15" customHeight="1" s="97">
      <c r="A99" s="101" t="n">
        <v>97</v>
      </c>
      <c r="B99" s="102" t="inlineStr">
        <is>
          <t>일본·간토</t>
        </is>
      </c>
      <c r="C99" s="183" t="inlineStr">
        <is>
          <t>Chiba Country Club (千葉カントリークラブ)</t>
        </is>
      </c>
      <c r="D99" s="115" t="n"/>
      <c r="E99" s="184" t="inlineStr">
        <is>
          <t>Chiba, Noda</t>
        </is>
      </c>
      <c r="F99" s="101" t="n">
        <v>36</v>
      </c>
      <c r="G99" s="101">
        <f>F99/18*72</f>
        <v/>
      </c>
      <c r="H99" s="128" t="n"/>
      <c r="I99" s="127" t="n"/>
      <c r="J99" s="127" t="n"/>
      <c r="K99" s="139" t="n"/>
      <c r="L99" s="127" t="n"/>
      <c r="M99" s="129" t="n"/>
      <c r="N99" s="101" t="n"/>
      <c r="O99" s="109" t="n"/>
      <c r="P99" s="162" t="n"/>
      <c r="Q99" s="138" t="inlineStr">
        <is>
          <t>https://www.chiba-cc.co.jp/</t>
        </is>
      </c>
      <c r="R99" s="96" t="n">
        <v>1960</v>
      </c>
      <c r="T99" s="125" t="inlineStr">
        <is>
          <t>Umesato and Kawama courses</t>
        </is>
      </c>
    </row>
    <row r="100" ht="15" customHeight="1" s="97">
      <c r="A100" s="101" t="n">
        <v>98</v>
      </c>
      <c r="B100" s="102" t="inlineStr">
        <is>
          <t>일본·간토</t>
        </is>
      </c>
      <c r="C100" s="183" t="inlineStr">
        <is>
          <t>Gunma Golf Club (群馬ゴルフ倶楽部)</t>
        </is>
      </c>
      <c r="D100" s="115" t="n"/>
      <c r="E100" s="184" t="inlineStr">
        <is>
          <t>Gunma, Maebashi</t>
        </is>
      </c>
      <c r="F100" s="101" t="n">
        <v>18</v>
      </c>
      <c r="G100" s="101">
        <f>F100/18*72</f>
        <v/>
      </c>
      <c r="H100" s="128" t="n"/>
      <c r="I100" s="127" t="n"/>
      <c r="J100" s="127" t="n"/>
      <c r="K100" s="139" t="n"/>
      <c r="L100" s="127" t="n"/>
      <c r="M100" s="129" t="n"/>
      <c r="N100" s="101" t="n"/>
      <c r="O100" s="109" t="n"/>
      <c r="P100" s="162" t="n"/>
      <c r="Q100" s="138" t="inlineStr">
        <is>
          <t>https://www.gunmagc.com/</t>
        </is>
      </c>
      <c r="T100" s="111" t="inlineStr">
        <is>
          <t>Gunma classic</t>
        </is>
      </c>
    </row>
    <row r="101" ht="15" customHeight="1" s="97">
      <c r="A101" s="101" t="n">
        <v>99</v>
      </c>
      <c r="B101" s="102" t="inlineStr">
        <is>
          <t>일본·간토</t>
        </is>
      </c>
      <c r="C101" s="183" t="inlineStr">
        <is>
          <t>Prestige Country Club (プレステージカントリークラブ)</t>
        </is>
      </c>
      <c r="D101" s="115" t="n"/>
      <c r="E101" s="184" t="inlineStr">
        <is>
          <t>Gunma, Kiryu</t>
        </is>
      </c>
      <c r="F101" s="101" t="n">
        <v>18</v>
      </c>
      <c r="G101" s="101">
        <f>F101/18*72</f>
        <v/>
      </c>
      <c r="H101" s="128" t="n"/>
      <c r="I101" s="127" t="n"/>
      <c r="J101" s="127" t="n"/>
      <c r="K101" s="139" t="n"/>
      <c r="L101" s="127" t="n"/>
      <c r="M101" s="129" t="n"/>
      <c r="N101" s="101" t="n"/>
      <c r="O101" s="109" t="n"/>
      <c r="P101" s="162" t="n"/>
      <c r="Q101" s="138" t="inlineStr">
        <is>
          <t>https://www.prestigecc.co.jp/</t>
        </is>
      </c>
      <c r="T101" s="111" t="inlineStr">
        <is>
          <t>Host of Japan Open 2021</t>
        </is>
      </c>
    </row>
    <row r="102" ht="15" customHeight="1" s="97">
      <c r="A102" s="101" t="n">
        <v>100</v>
      </c>
      <c r="B102" s="102" t="inlineStr">
        <is>
          <t>일본·간토</t>
        </is>
      </c>
      <c r="C102" s="183" t="inlineStr">
        <is>
          <t>Gotohda Country Club (五島田カントリークラブ)</t>
        </is>
      </c>
      <c r="D102" s="115" t="n"/>
      <c r="E102" s="184" t="inlineStr">
        <is>
          <t>Chiba, Katsuura</t>
        </is>
      </c>
      <c r="F102" s="101" t="n">
        <v>18</v>
      </c>
      <c r="G102" s="101">
        <f>F102/18*72</f>
        <v/>
      </c>
      <c r="H102" s="128" t="n"/>
      <c r="I102" s="127" t="n"/>
      <c r="J102" s="127" t="n"/>
      <c r="K102" s="139" t="n"/>
      <c r="L102" s="127" t="n"/>
      <c r="M102" s="129" t="n"/>
      <c r="N102" s="101" t="n"/>
      <c r="O102" s="109" t="n"/>
      <c r="P102" s="162" t="n"/>
      <c r="Q102" s="138" t="n"/>
      <c r="T102" s="111" t="inlineStr">
        <is>
          <t>Boso peninsula</t>
        </is>
      </c>
    </row>
    <row r="103" ht="15" customHeight="1" s="97">
      <c r="A103" s="101" t="n">
        <v>101</v>
      </c>
      <c r="B103" s="102" t="inlineStr">
        <is>
          <t>일본·간토</t>
        </is>
      </c>
      <c r="C103" s="183" t="inlineStr">
        <is>
          <t>Japan PGA Golf Club Yoshimi Course (JGMセベバレステロスGCよしみコース)</t>
        </is>
      </c>
      <c r="D103" s="115" t="n"/>
      <c r="E103" s="184" t="inlineStr">
        <is>
          <t>Saitama, Yoshimi</t>
        </is>
      </c>
      <c r="F103" s="101" t="n">
        <v>18</v>
      </c>
      <c r="G103" s="101">
        <f>F103/18*72</f>
        <v/>
      </c>
      <c r="H103" s="128" t="n"/>
      <c r="I103" s="127" t="n"/>
      <c r="J103" s="127" t="n"/>
      <c r="K103" s="139" t="n"/>
      <c r="L103" s="127" t="n"/>
      <c r="M103" s="129" t="n"/>
      <c r="N103" s="101" t="n"/>
      <c r="O103" s="109" t="n"/>
      <c r="P103" s="162" t="n"/>
      <c r="Q103" s="138" t="n"/>
      <c r="T103" s="125" t="inlineStr">
        <is>
          <t>Ballesteros design</t>
        </is>
      </c>
    </row>
    <row r="104" ht="15" customHeight="1" s="97">
      <c r="A104" s="101" t="n">
        <v>102</v>
      </c>
      <c r="B104" s="102" t="inlineStr">
        <is>
          <t>일본·간토</t>
        </is>
      </c>
      <c r="C104" s="183" t="inlineStr">
        <is>
          <t>Shinyo Country Club (新陽カントリークラブ)</t>
        </is>
      </c>
      <c r="D104" s="115" t="n"/>
      <c r="E104" s="184" t="inlineStr">
        <is>
          <t>Ibaraki, Hitachiomiya</t>
        </is>
      </c>
      <c r="F104" s="101" t="n">
        <v>18</v>
      </c>
      <c r="G104" s="101">
        <f>F104/18*72</f>
        <v/>
      </c>
      <c r="H104" s="128" t="n"/>
      <c r="I104" s="127" t="n"/>
      <c r="J104" s="127" t="n"/>
      <c r="K104" s="139" t="n"/>
      <c r="L104" s="127" t="n"/>
      <c r="M104" s="129" t="n"/>
      <c r="N104" s="101" t="n"/>
      <c r="O104" s="109" t="n"/>
      <c r="P104" s="162" t="n"/>
      <c r="Q104" s="138" t="n"/>
      <c r="T104" s="111" t="inlineStr">
        <is>
          <t>Regional course</t>
        </is>
      </c>
    </row>
    <row r="105" ht="15" customHeight="1" s="97">
      <c r="A105" s="101" t="n">
        <v>103</v>
      </c>
      <c r="B105" s="102" t="inlineStr">
        <is>
          <t>일본·간토</t>
        </is>
      </c>
      <c r="C105" s="183" t="inlineStr">
        <is>
          <t>Kawagoe Golf Club (川越ゴルフ倶楽部)</t>
        </is>
      </c>
      <c r="D105" s="115" t="n"/>
      <c r="E105" s="184" t="inlineStr">
        <is>
          <t>Saitama, Kawagoe</t>
        </is>
      </c>
      <c r="F105" s="101" t="n">
        <v>18</v>
      </c>
      <c r="G105" s="101">
        <f>F105/18*72</f>
        <v/>
      </c>
      <c r="H105" s="128" t="n"/>
      <c r="I105" s="127" t="n"/>
      <c r="J105" s="127" t="n"/>
      <c r="K105" s="139" t="n"/>
      <c r="L105" s="127" t="n"/>
      <c r="M105" s="129" t="n"/>
      <c r="N105" s="101" t="n"/>
      <c r="O105" s="109" t="n"/>
      <c r="P105" s="162" t="n"/>
      <c r="Q105" s="138" t="n"/>
      <c r="T105" s="111" t="inlineStr">
        <is>
          <t>Saitama course</t>
        </is>
      </c>
    </row>
    <row r="106" ht="15" customHeight="1" s="97">
      <c r="A106" s="101" t="n">
        <v>104</v>
      </c>
      <c r="B106" s="102" t="inlineStr">
        <is>
          <t>일본·간토</t>
        </is>
      </c>
      <c r="C106" s="183" t="inlineStr">
        <is>
          <t>Koganei Country Club (小金井カントリー倶楽部)</t>
        </is>
      </c>
      <c r="D106" s="115" t="n"/>
      <c r="E106" s="184" t="inlineStr">
        <is>
          <t>Tokyo, Koganei</t>
        </is>
      </c>
      <c r="F106" s="101" t="n">
        <v>18</v>
      </c>
      <c r="G106" s="101">
        <f>F106/18*72</f>
        <v/>
      </c>
      <c r="H106" s="128" t="n"/>
      <c r="I106" s="127" t="n"/>
      <c r="J106" s="127" t="n"/>
      <c r="K106" s="139" t="n"/>
      <c r="L106" s="127" t="n"/>
      <c r="M106" s="129" t="n"/>
      <c r="N106" s="101" t="n"/>
      <c r="O106" s="109" t="n"/>
      <c r="P106" s="162" t="n"/>
      <c r="Q106" s="138" t="inlineStr">
        <is>
          <t>https://www.kogacc.or.jp/</t>
        </is>
      </c>
      <c r="R106" s="96" t="n">
        <v>1937</v>
      </c>
      <c r="T106" s="125" t="inlineStr">
        <is>
          <t>Tokyo prestigious club</t>
        </is>
      </c>
    </row>
    <row r="107" ht="15" customHeight="1" s="97">
      <c r="A107" s="101" t="n">
        <v>105</v>
      </c>
      <c r="B107" s="102" t="inlineStr">
        <is>
          <t>일본·간토</t>
        </is>
      </c>
      <c r="C107" s="183" t="inlineStr">
        <is>
          <t>Sodegaura Country Club (袖ヶ浦カンツリークラブ)</t>
        </is>
      </c>
      <c r="D107" s="115" t="n"/>
      <c r="E107" s="184" t="inlineStr">
        <is>
          <t>Chiba, Sodegaura</t>
        </is>
      </c>
      <c r="F107" s="101" t="n">
        <v>36</v>
      </c>
      <c r="G107" s="101">
        <f>F107/18*72</f>
        <v/>
      </c>
      <c r="H107" s="128" t="n"/>
      <c r="I107" s="127" t="n"/>
      <c r="J107" s="127" t="n"/>
      <c r="K107" s="139" t="n"/>
      <c r="L107" s="127" t="n"/>
      <c r="M107" s="129" t="n"/>
      <c r="N107" s="101" t="n"/>
      <c r="O107" s="109" t="n"/>
      <c r="P107" s="162" t="n"/>
      <c r="Q107" s="138" t="inlineStr">
        <is>
          <t>https://www.sodegauracc.co.jp/</t>
        </is>
      </c>
      <c r="R107" s="96" t="n">
        <v>1963</v>
      </c>
      <c r="T107" s="125" t="inlineStr">
        <is>
          <t>Prestigious Chiba club</t>
        </is>
      </c>
    </row>
    <row r="108" ht="15" customHeight="1" s="97">
      <c r="A108" s="101" t="n">
        <v>106</v>
      </c>
      <c r="B108" s="102" t="inlineStr">
        <is>
          <t>일본·주부</t>
        </is>
      </c>
      <c r="C108" s="183" t="inlineStr">
        <is>
          <t>Ishikawa Country Club (石川カントリークラブ)</t>
        </is>
      </c>
      <c r="D108" s="115" t="n"/>
      <c r="E108" s="184" t="inlineStr">
        <is>
          <t>Ishikawa, Kanazawa</t>
        </is>
      </c>
      <c r="F108" s="101" t="n">
        <v>18</v>
      </c>
      <c r="G108" s="101">
        <f>F108/18*72</f>
        <v/>
      </c>
      <c r="H108" s="128" t="n"/>
      <c r="I108" s="127" t="n"/>
      <c r="J108" s="127" t="n"/>
      <c r="K108" s="139" t="n"/>
      <c r="L108" s="127" t="n"/>
      <c r="M108" s="129" t="n"/>
      <c r="N108" s="101" t="n"/>
      <c r="O108" s="109" t="n"/>
      <c r="P108" s="162" t="n"/>
      <c r="Q108" s="138" t="inlineStr">
        <is>
          <t>https://www.ishikawa-cc.com/</t>
        </is>
      </c>
      <c r="R108" s="96" t="n">
        <v>1969</v>
      </c>
      <c r="T108" s="125" t="inlineStr">
        <is>
          <t>Hokuriku course</t>
        </is>
      </c>
    </row>
    <row r="109" ht="15" customHeight="1" s="97">
      <c r="A109" s="101" t="n">
        <v>107</v>
      </c>
      <c r="B109" s="102" t="inlineStr">
        <is>
          <t>일본·주부</t>
        </is>
      </c>
      <c r="C109" s="183" t="inlineStr">
        <is>
          <t>Katayamazu Golf Club (片山津ゴルフ倶楽部)</t>
        </is>
      </c>
      <c r="D109" s="115" t="n"/>
      <c r="E109" s="184" t="inlineStr">
        <is>
          <t>Ishikawa, Kaga</t>
        </is>
      </c>
      <c r="F109" s="101" t="n">
        <v>54</v>
      </c>
      <c r="G109" s="101">
        <f>F109/18*72</f>
        <v/>
      </c>
      <c r="H109" s="128" t="n"/>
      <c r="I109" s="127" t="n"/>
      <c r="J109" s="127" t="n"/>
      <c r="K109" s="139" t="n"/>
      <c r="L109" s="127" t="n"/>
      <c r="M109" s="129" t="n"/>
      <c r="N109" s="101" t="n"/>
      <c r="O109" s="109" t="n"/>
      <c r="P109" s="162" t="n"/>
      <c r="Q109" s="138" t="inlineStr">
        <is>
          <t>https://www.katayamazu-gc.co.jp/</t>
        </is>
      </c>
      <c r="T109" s="111" t="inlineStr">
        <is>
          <t>Three 18-hole courses</t>
        </is>
      </c>
    </row>
    <row r="110" ht="15" customHeight="1" s="97">
      <c r="A110" s="101" t="n">
        <v>108</v>
      </c>
      <c r="B110" s="102" t="inlineStr">
        <is>
          <t>일본·간사이</t>
        </is>
      </c>
      <c r="C110" s="183" t="inlineStr">
        <is>
          <t>Kansai Golf Club (関西ゴルフ倶楽部)</t>
        </is>
      </c>
      <c r="D110" s="115" t="n"/>
      <c r="E110" s="184" t="inlineStr">
        <is>
          <t>Hyogo, Kawanishi</t>
        </is>
      </c>
      <c r="F110" s="101" t="n">
        <v>18</v>
      </c>
      <c r="G110" s="101">
        <f>F110/18*72</f>
        <v/>
      </c>
      <c r="H110" s="128" t="n"/>
      <c r="I110" s="127" t="n"/>
      <c r="J110" s="127" t="n"/>
      <c r="K110" s="139" t="n"/>
      <c r="L110" s="127" t="n"/>
      <c r="M110" s="129" t="n"/>
      <c r="N110" s="101" t="n"/>
      <c r="O110" s="109" t="n"/>
      <c r="P110" s="162" t="n"/>
      <c r="Q110" s="138" t="inlineStr">
        <is>
          <t>https://www.kansaigc.or.jp/</t>
        </is>
      </c>
      <c r="R110" s="96" t="n">
        <v>1957</v>
      </c>
      <c r="T110" s="125" t="inlineStr">
        <is>
          <t>Kansai classic</t>
        </is>
      </c>
    </row>
    <row r="111" ht="15" customHeight="1" s="97">
      <c r="A111" s="101" t="n">
        <v>109</v>
      </c>
      <c r="B111" s="102" t="inlineStr">
        <is>
          <t>일본·간사이</t>
        </is>
      </c>
      <c r="C111" s="183" t="inlineStr">
        <is>
          <t>Hanayashiki Golf Club (花屋敷ゴルフ倶楽部)</t>
        </is>
      </c>
      <c r="D111" s="115" t="n"/>
      <c r="E111" s="184" t="inlineStr">
        <is>
          <t>Hyogo, Kawanishi</t>
        </is>
      </c>
      <c r="F111" s="101" t="n">
        <v>36</v>
      </c>
      <c r="G111" s="101">
        <f>F111/18*72</f>
        <v/>
      </c>
      <c r="H111" s="128" t="n"/>
      <c r="I111" s="127" t="n"/>
      <c r="J111" s="127" t="n"/>
      <c r="K111" s="139" t="n"/>
      <c r="L111" s="127" t="n"/>
      <c r="M111" s="129" t="n"/>
      <c r="N111" s="101" t="n"/>
      <c r="O111" s="109" t="n"/>
      <c r="P111" s="162" t="n"/>
      <c r="Q111" s="138" t="inlineStr">
        <is>
          <t>https://www.hanayashikigc.com/</t>
        </is>
      </c>
      <c r="R111" s="96" t="n">
        <v>1937</v>
      </c>
      <c r="T111" s="125" t="inlineStr">
        <is>
          <t>Yokawa and Ogino courses</t>
        </is>
      </c>
    </row>
    <row r="112" ht="15" customHeight="1" s="97">
      <c r="A112" s="101" t="n">
        <v>110</v>
      </c>
      <c r="B112" s="102" t="inlineStr">
        <is>
          <t>일본·간사이</t>
        </is>
      </c>
      <c r="C112" s="183" t="inlineStr">
        <is>
          <t>Takarazuka Golf Club (宝塚ゴルフ倶楽部)</t>
        </is>
      </c>
      <c r="D112" s="115" t="n"/>
      <c r="E112" s="184" t="inlineStr">
        <is>
          <t>Hyogo, Takarazuka</t>
        </is>
      </c>
      <c r="F112" s="101" t="n">
        <v>18</v>
      </c>
      <c r="G112" s="101">
        <f>F112/18*72</f>
        <v/>
      </c>
      <c r="H112" s="128" t="n"/>
      <c r="I112" s="127" t="n"/>
      <c r="J112" s="127" t="n"/>
      <c r="K112" s="139" t="n"/>
      <c r="L112" s="127" t="n"/>
      <c r="M112" s="129" t="n"/>
      <c r="N112" s="101" t="n"/>
      <c r="O112" s="109" t="n"/>
      <c r="P112" s="162" t="n"/>
      <c r="Q112" s="138" t="inlineStr">
        <is>
          <t>https://www.takarazuka-gc.co.jp/</t>
        </is>
      </c>
      <c r="R112" s="96" t="n">
        <v>1926</v>
      </c>
      <c r="T112" s="125" t="inlineStr">
        <is>
          <t>Historic Kansai club</t>
        </is>
      </c>
    </row>
    <row r="113" ht="15" customHeight="1" s="97">
      <c r="A113" s="101" t="n">
        <v>111</v>
      </c>
      <c r="B113" s="102" t="inlineStr">
        <is>
          <t>일본·주부</t>
        </is>
      </c>
      <c r="C113" s="183" t="inlineStr">
        <is>
          <t>Komono Country Club (菰野カントリー倶楽部)</t>
        </is>
      </c>
      <c r="D113" s="115" t="n"/>
      <c r="E113" s="184" t="inlineStr">
        <is>
          <t>Mie, Komono</t>
        </is>
      </c>
      <c r="F113" s="101" t="n">
        <v>18</v>
      </c>
      <c r="G113" s="101">
        <f>F113/18*72</f>
        <v/>
      </c>
      <c r="H113" s="128" t="n"/>
      <c r="I113" s="127" t="n"/>
      <c r="J113" s="127" t="n"/>
      <c r="K113" s="139" t="n"/>
      <c r="L113" s="127" t="n"/>
      <c r="M113" s="129" t="n"/>
      <c r="N113" s="101" t="n"/>
      <c r="O113" s="109" t="n"/>
      <c r="P113" s="162" t="n"/>
      <c r="Q113" s="138" t="inlineStr">
        <is>
          <t>https://www.komono-cc.co.jp/</t>
        </is>
      </c>
      <c r="T113" s="111" t="inlineStr">
        <is>
          <t>Mie area</t>
        </is>
      </c>
    </row>
    <row r="114" ht="15" customHeight="1" s="97">
      <c r="A114" s="101" t="n">
        <v>112</v>
      </c>
      <c r="B114" s="102" t="inlineStr">
        <is>
          <t>일본·주부</t>
        </is>
      </c>
      <c r="C114" s="183" t="inlineStr">
        <is>
          <t>Mie Country Club (三重カンツリークラブ)</t>
        </is>
      </c>
      <c r="D114" s="115" t="n"/>
      <c r="E114" s="184" t="inlineStr">
        <is>
          <t>Mie, Tsu</t>
        </is>
      </c>
      <c r="F114" s="101" t="n">
        <v>18</v>
      </c>
      <c r="G114" s="101">
        <f>F114/18*72</f>
        <v/>
      </c>
      <c r="H114" s="128" t="n"/>
      <c r="I114" s="127" t="n"/>
      <c r="J114" s="127" t="n"/>
      <c r="K114" s="139" t="n"/>
      <c r="L114" s="127" t="n"/>
      <c r="M114" s="129" t="n"/>
      <c r="N114" s="101" t="n"/>
      <c r="O114" s="109" t="n"/>
      <c r="P114" s="162" t="n"/>
      <c r="Q114" s="138" t="inlineStr">
        <is>
          <t>https://www.miecc.co.jp/</t>
        </is>
      </c>
      <c r="R114" s="96" t="n">
        <v>1959</v>
      </c>
      <c r="T114" s="125" t="inlineStr">
        <is>
          <t>Host of Chunichi Crowns</t>
        </is>
      </c>
    </row>
    <row r="115" ht="15" customHeight="1" s="97">
      <c r="A115" s="101" t="n">
        <v>113</v>
      </c>
      <c r="B115" s="102" t="inlineStr">
        <is>
          <t>일본·간토</t>
        </is>
      </c>
      <c r="C115" s="183" t="inlineStr">
        <is>
          <t>Wakasu Golf Links (若洲ゴルフリンクス)</t>
        </is>
      </c>
      <c r="D115" s="115" t="n"/>
      <c r="E115" s="184" t="inlineStr">
        <is>
          <t>Tokyo, Koto</t>
        </is>
      </c>
      <c r="F115" s="101" t="n">
        <v>18</v>
      </c>
      <c r="G115" s="101">
        <f>F115/18*72</f>
        <v/>
      </c>
      <c r="H115" s="128" t="n"/>
      <c r="I115" s="127" t="n"/>
      <c r="J115" s="127" t="n"/>
      <c r="K115" s="139" t="n"/>
      <c r="L115" s="127" t="n"/>
      <c r="M115" s="129" t="n"/>
      <c r="N115" s="101" t="n"/>
      <c r="O115" s="109" t="n"/>
      <c r="P115" s="162" t="n"/>
      <c r="Q115" s="138" t="inlineStr">
        <is>
          <t>https://www.wakasu-golf-links.com/</t>
        </is>
      </c>
      <c r="R115" s="96" t="n">
        <v>1991</v>
      </c>
      <c r="T115" s="125" t="inlineStr">
        <is>
          <t>Public Tokyo Bay course</t>
        </is>
      </c>
    </row>
    <row r="116" ht="15" customHeight="1" s="97">
      <c r="A116" s="101" t="n">
        <v>114</v>
      </c>
      <c r="B116" s="102" t="inlineStr">
        <is>
          <t>일본·간토</t>
        </is>
      </c>
      <c r="C116" s="183" t="inlineStr">
        <is>
          <t>Kosaido Akabane Golf Course (広済堂赤羽ゴルフコース)</t>
        </is>
      </c>
      <c r="D116" s="115" t="n"/>
      <c r="E116" s="184" t="inlineStr">
        <is>
          <t>Tokyo, Kita</t>
        </is>
      </c>
      <c r="F116" s="101" t="n">
        <v>18</v>
      </c>
      <c r="G116" s="101">
        <f>F116/18*72</f>
        <v/>
      </c>
      <c r="H116" s="128" t="n"/>
      <c r="I116" s="127" t="n"/>
      <c r="J116" s="127" t="n"/>
      <c r="K116" s="139" t="n"/>
      <c r="L116" s="127" t="n"/>
      <c r="M116" s="129" t="n"/>
      <c r="N116" s="101" t="n"/>
      <c r="O116" s="109" t="n"/>
      <c r="P116" s="162" t="n"/>
      <c r="Q116" s="138" t="inlineStr">
        <is>
          <t>https://www.kosaido-gps.co.jp/akabane/</t>
        </is>
      </c>
      <c r="R116" s="96" t="n">
        <v>1950</v>
      </c>
      <c r="T116" s="125" t="inlineStr">
        <is>
          <t>Tokyo metropolitan area public course</t>
        </is>
      </c>
    </row>
    <row r="117" ht="15" customHeight="1" s="97">
      <c r="A117" s="101" t="n">
        <v>115</v>
      </c>
      <c r="B117" s="102" t="inlineStr">
        <is>
          <t>일본·간토</t>
        </is>
      </c>
      <c r="C117" s="183" t="inlineStr">
        <is>
          <t>Tokyo Classic Club (東京クラシッククラブ)</t>
        </is>
      </c>
      <c r="D117" s="115" t="n"/>
      <c r="E117" s="184" t="inlineStr">
        <is>
          <t>Chiba, Sodegaura</t>
        </is>
      </c>
      <c r="F117" s="101" t="n">
        <v>18</v>
      </c>
      <c r="G117" s="101">
        <f>F117/18*72</f>
        <v/>
      </c>
      <c r="H117" s="128" t="n"/>
      <c r="I117" s="127" t="n"/>
      <c r="J117" s="127" t="n"/>
      <c r="K117" s="139" t="n"/>
      <c r="L117" s="127" t="n"/>
      <c r="M117" s="129" t="n"/>
      <c r="N117" s="101" t="n"/>
      <c r="O117" s="109" t="n"/>
      <c r="P117" s="162" t="n"/>
      <c r="Q117" s="138" t="inlineStr">
        <is>
          <t>https://www.tokyoclassicclub.com/</t>
        </is>
      </c>
      <c r="R117" s="96" t="n">
        <v>2013</v>
      </c>
      <c r="T117" s="125" t="inlineStr">
        <is>
          <t>Gary Player design in Chiba</t>
        </is>
      </c>
    </row>
    <row r="118" ht="15" customHeight="1" s="97">
      <c r="A118" s="101" t="n">
        <v>116</v>
      </c>
      <c r="B118" s="102" t="inlineStr">
        <is>
          <t>일본·간토</t>
        </is>
      </c>
      <c r="C118" s="183" t="inlineStr">
        <is>
          <t>Kasumigaseki Country Club (Saitama) (霞ヶ関カンツリー倶楽部)</t>
        </is>
      </c>
      <c r="D118" s="115" t="n"/>
      <c r="E118" s="184" t="inlineStr">
        <is>
          <t>Saitama, Kawagoe</t>
        </is>
      </c>
      <c r="F118" s="101" t="n">
        <v>36</v>
      </c>
      <c r="G118" s="101">
        <f>F118/18*72</f>
        <v/>
      </c>
      <c r="H118" s="128" t="n"/>
      <c r="I118" s="127" t="n"/>
      <c r="J118" s="127" t="n"/>
      <c r="K118" s="139" t="n"/>
      <c r="L118" s="127" t="n"/>
      <c r="M118" s="129" t="n"/>
      <c r="N118" s="101" t="n"/>
      <c r="O118" s="109" t="n"/>
      <c r="P118" s="162" t="n"/>
      <c r="Q118" s="138" t="inlineStr">
        <is>
          <t>https://www.kasumigasekicc.or.jp/</t>
        </is>
      </c>
      <c r="R118" s="96" t="n">
        <v>1929</v>
      </c>
      <c r="T118" s="125" t="inlineStr">
        <is>
          <t>Tokyo 2020 Olympics venue</t>
        </is>
      </c>
    </row>
    <row r="119" ht="15" customHeight="1" s="97">
      <c r="A119" s="101" t="n">
        <v>117</v>
      </c>
      <c r="B119" s="102" t="inlineStr">
        <is>
          <t>일본·간토</t>
        </is>
      </c>
      <c r="C119" s="183" t="inlineStr">
        <is>
          <t>Yatsugatake Country Club (八ヶ岳カントリークラブ)</t>
        </is>
      </c>
      <c r="D119" s="115" t="n"/>
      <c r="E119" s="184" t="inlineStr">
        <is>
          <t>Yamanashi, Hokuto</t>
        </is>
      </c>
      <c r="F119" s="101" t="n">
        <v>18</v>
      </c>
      <c r="G119" s="101">
        <f>F119/18*72</f>
        <v/>
      </c>
      <c r="H119" s="128" t="n"/>
      <c r="I119" s="127" t="n"/>
      <c r="J119" s="127" t="n"/>
      <c r="K119" s="139" t="n"/>
      <c r="L119" s="127" t="n"/>
      <c r="M119" s="129" t="n"/>
      <c r="N119" s="101" t="n"/>
      <c r="O119" s="109" t="n"/>
      <c r="P119" s="162" t="n"/>
      <c r="Q119" s="138" t="inlineStr">
        <is>
          <t>https://www.yatsugatakecc.co.jp/</t>
        </is>
      </c>
      <c r="T119" s="111" t="inlineStr">
        <is>
          <t>Highland resort course</t>
        </is>
      </c>
    </row>
    <row r="120" ht="15" customHeight="1" s="97">
      <c r="A120" s="101" t="n">
        <v>118</v>
      </c>
      <c r="B120" s="102" t="inlineStr">
        <is>
          <t>일본·간토</t>
        </is>
      </c>
      <c r="C120" s="183" t="inlineStr">
        <is>
          <t>Chateraise Golf Club Yatsugatake (シャトレーゼゴルフ倶楽部八ヶ岳)</t>
        </is>
      </c>
      <c r="D120" s="115" t="n"/>
      <c r="E120" s="184" t="inlineStr">
        <is>
          <t>Yamanashi, Hokuto</t>
        </is>
      </c>
      <c r="F120" s="101" t="n">
        <v>18</v>
      </c>
      <c r="G120" s="101">
        <f>F120/18*72</f>
        <v/>
      </c>
      <c r="H120" s="128" t="n"/>
      <c r="I120" s="127" t="n"/>
      <c r="J120" s="127" t="n"/>
      <c r="K120" s="139" t="n"/>
      <c r="L120" s="127" t="n"/>
      <c r="M120" s="129" t="n"/>
      <c r="N120" s="101" t="n"/>
      <c r="O120" s="109" t="n"/>
      <c r="P120" s="162" t="n"/>
      <c r="Q120" s="138" t="inlineStr">
        <is>
          <t>https://www.chateraise-golf.com/yatsugatake/</t>
        </is>
      </c>
      <c r="T120" s="111" t="inlineStr">
        <is>
          <t>Yamanashi highland</t>
        </is>
      </c>
    </row>
    <row r="121" ht="15" customHeight="1" s="97">
      <c r="A121" s="101" t="n">
        <v>119</v>
      </c>
      <c r="B121" s="102" t="inlineStr">
        <is>
          <t>일본·오키나와</t>
        </is>
      </c>
      <c r="C121" s="183" t="inlineStr">
        <is>
          <t>Okinawa Country Club (沖縄カントリークラブ)</t>
        </is>
      </c>
      <c r="D121" s="115" t="n"/>
      <c r="E121" s="184" t="inlineStr">
        <is>
          <t>Okinawa, Ginowan</t>
        </is>
      </c>
      <c r="F121" s="101" t="n">
        <v>18</v>
      </c>
      <c r="G121" s="101">
        <f>F121/18*72</f>
        <v/>
      </c>
      <c r="H121" s="128" t="n"/>
      <c r="I121" s="127" t="n"/>
      <c r="J121" s="127" t="n"/>
      <c r="K121" s="139" t="n"/>
      <c r="L121" s="127" t="n"/>
      <c r="M121" s="129" t="n"/>
      <c r="N121" s="101" t="n"/>
      <c r="O121" s="109" t="n"/>
      <c r="P121" s="162" t="n"/>
      <c r="Q121" s="138" t="inlineStr">
        <is>
          <t>https://www.okinawacc.co.jp/</t>
        </is>
      </c>
      <c r="R121" s="96" t="n">
        <v>1959</v>
      </c>
      <c r="T121" s="125" t="inlineStr">
        <is>
          <t>Okinawa's oldest golf course</t>
        </is>
      </c>
    </row>
    <row r="122" ht="15" customHeight="1" s="97">
      <c r="A122" s="101" t="n">
        <v>120</v>
      </c>
      <c r="B122" s="102" t="inlineStr">
        <is>
          <t>일본·오키나와</t>
        </is>
      </c>
      <c r="C122" s="183" t="inlineStr">
        <is>
          <t>Kanucha Bay Golf Course (カヌチャゴルフコース)</t>
        </is>
      </c>
      <c r="D122" s="115" t="n"/>
      <c r="E122" s="184" t="inlineStr">
        <is>
          <t>Okinawa, Nago</t>
        </is>
      </c>
      <c r="F122" s="101" t="n">
        <v>18</v>
      </c>
      <c r="G122" s="101">
        <f>F122/18*72</f>
        <v/>
      </c>
      <c r="H122" s="128" t="n"/>
      <c r="I122" s="127" t="n"/>
      <c r="J122" s="127" t="n"/>
      <c r="K122" s="139" t="n"/>
      <c r="L122" s="127" t="n"/>
      <c r="M122" s="129" t="n"/>
      <c r="N122" s="101" t="n"/>
      <c r="O122" s="109" t="n"/>
      <c r="P122" s="162" t="n"/>
      <c r="Q122" s="138" t="inlineStr">
        <is>
          <t>https://www.kanucha.jp/golf/</t>
        </is>
      </c>
      <c r="T122" s="111" t="inlineStr">
        <is>
          <t>Resort course on northern Okinawa</t>
        </is>
      </c>
    </row>
    <row r="123" ht="15" customHeight="1" s="97">
      <c r="A123" s="101" t="n">
        <v>121</v>
      </c>
      <c r="B123" s="102" t="inlineStr">
        <is>
          <t>일본·오키나와</t>
        </is>
      </c>
      <c r="C123" s="183" t="inlineStr">
        <is>
          <t>The Southern Links Golf Club (ザ・サザンリンクスゴルフクラブ)</t>
        </is>
      </c>
      <c r="D123" s="115" t="n"/>
      <c r="E123" s="184" t="inlineStr">
        <is>
          <t>Okinawa, Yaese</t>
        </is>
      </c>
      <c r="F123" s="101" t="n">
        <v>18</v>
      </c>
      <c r="G123" s="101">
        <f>F123/18*72</f>
        <v/>
      </c>
      <c r="H123" s="128" t="n"/>
      <c r="I123" s="127" t="n"/>
      <c r="J123" s="127" t="n"/>
      <c r="K123" s="139" t="n"/>
      <c r="L123" s="127" t="n"/>
      <c r="M123" s="129" t="n"/>
      <c r="N123" s="101" t="n"/>
      <c r="O123" s="109" t="n"/>
      <c r="P123" s="162" t="n"/>
      <c r="Q123" s="138" t="inlineStr">
        <is>
          <t>https://www.southernlinks.co.jp/</t>
        </is>
      </c>
      <c r="T123" s="111" t="inlineStr">
        <is>
          <t>Oceanside Okinawa course</t>
        </is>
      </c>
    </row>
    <row r="124" ht="15" customHeight="1" s="97">
      <c r="A124" s="101" t="n">
        <v>122</v>
      </c>
      <c r="B124" s="102" t="inlineStr">
        <is>
          <t>일본·오키나와</t>
        </is>
      </c>
      <c r="C124" s="183" t="inlineStr">
        <is>
          <t>PGM Golf Resort Okinawa (PGMゴルフリゾート沖縄)</t>
        </is>
      </c>
      <c r="D124" s="115" t="n"/>
      <c r="E124" s="184" t="inlineStr">
        <is>
          <t>Okinawa, Shimajiri</t>
        </is>
      </c>
      <c r="F124" s="101" t="n">
        <v>18</v>
      </c>
      <c r="G124" s="101">
        <f>F124/18*72</f>
        <v/>
      </c>
      <c r="H124" s="128" t="n"/>
      <c r="I124" s="127" t="n"/>
      <c r="J124" s="127" t="n"/>
      <c r="K124" s="139" t="n"/>
      <c r="L124" s="127" t="n"/>
      <c r="M124" s="129" t="n"/>
      <c r="N124" s="101" t="n"/>
      <c r="O124" s="109" t="n"/>
      <c r="P124" s="162" t="n"/>
      <c r="Q124" s="138" t="inlineStr">
        <is>
          <t>https://www.pgm-okinawa.com/</t>
        </is>
      </c>
      <c r="R124" s="96" t="n">
        <v>1979</v>
      </c>
      <c r="T124" s="125" t="inlineStr">
        <is>
          <t>Host of Daikin Orchid Ladies</t>
        </is>
      </c>
    </row>
    <row r="125" ht="15" customHeight="1" s="97">
      <c r="A125" s="101" t="n">
        <v>123</v>
      </c>
      <c r="B125" s="102" t="inlineStr">
        <is>
          <t>일본·오키나와</t>
        </is>
      </c>
      <c r="C125" s="183" t="inlineStr">
        <is>
          <t>Ryukyu Golf Club (琉球ゴルフ倶楽部)</t>
        </is>
      </c>
      <c r="D125" s="115" t="n"/>
      <c r="E125" s="184" t="inlineStr">
        <is>
          <t>Okinawa, Yaese</t>
        </is>
      </c>
      <c r="F125" s="101" t="n">
        <v>18</v>
      </c>
      <c r="G125" s="101">
        <f>F125/18*72</f>
        <v/>
      </c>
      <c r="H125" s="128" t="n"/>
      <c r="I125" s="127" t="n"/>
      <c r="J125" s="127" t="n"/>
      <c r="K125" s="139" t="n"/>
      <c r="L125" s="127" t="n"/>
      <c r="M125" s="129" t="n"/>
      <c r="N125" s="101" t="n"/>
      <c r="O125" s="109" t="n"/>
      <c r="P125" s="162" t="n"/>
      <c r="Q125" s="138" t="inlineStr">
        <is>
          <t>https://www.ryukyugolf.co.jp/</t>
        </is>
      </c>
      <c r="R125" s="96" t="n">
        <v>1992</v>
      </c>
      <c r="T125" s="125" t="inlineStr">
        <is>
          <t>Okinawa championship course</t>
        </is>
      </c>
    </row>
    <row r="126" ht="15" customHeight="1" s="97">
      <c r="A126" s="101" t="n">
        <v>124</v>
      </c>
      <c r="B126" s="102" t="inlineStr">
        <is>
          <t>일본·오키나와</t>
        </is>
      </c>
      <c r="C126" s="183" t="inlineStr">
        <is>
          <t>Belle Ver Okinawa Golf Resort (ベルビーチゴルフクラブ)</t>
        </is>
      </c>
      <c r="D126" s="115" t="n"/>
      <c r="E126" s="184" t="inlineStr">
        <is>
          <t>Okinawa, Nago</t>
        </is>
      </c>
      <c r="F126" s="101" t="n">
        <v>18</v>
      </c>
      <c r="G126" s="101">
        <f>F126/18*72</f>
        <v/>
      </c>
      <c r="H126" s="128" t="n"/>
      <c r="I126" s="127" t="n"/>
      <c r="J126" s="127" t="n"/>
      <c r="K126" s="139" t="n"/>
      <c r="L126" s="127" t="n"/>
      <c r="M126" s="129" t="n"/>
      <c r="N126" s="101" t="n"/>
      <c r="O126" s="109" t="n"/>
      <c r="P126" s="162" t="n"/>
      <c r="Q126" s="138" t="n"/>
      <c r="T126" s="111" t="inlineStr">
        <is>
          <t>Okinawa coastal</t>
        </is>
      </c>
    </row>
    <row r="127" ht="15" customHeight="1" s="97">
      <c r="A127" s="101" t="n">
        <v>125</v>
      </c>
      <c r="B127" s="102" t="inlineStr">
        <is>
          <t>일본·간토</t>
        </is>
      </c>
      <c r="C127" s="183" t="inlineStr">
        <is>
          <t>Karasuyamajo Country Club (烏山城カントリークラブ)</t>
        </is>
      </c>
      <c r="D127" s="115" t="n"/>
      <c r="E127" s="184" t="inlineStr">
        <is>
          <t>Tochigi, Nasukarasuyama</t>
        </is>
      </c>
      <c r="F127" s="101" t="n">
        <v>36</v>
      </c>
      <c r="G127" s="101">
        <f>F127/18*72</f>
        <v/>
      </c>
      <c r="H127" s="128" t="n"/>
      <c r="I127" s="127" t="n"/>
      <c r="J127" s="127" t="n"/>
      <c r="K127" s="139" t="n"/>
      <c r="L127" s="127" t="n"/>
      <c r="M127" s="129" t="n"/>
      <c r="N127" s="101" t="n"/>
      <c r="O127" s="109" t="n"/>
      <c r="P127" s="162" t="n"/>
      <c r="Q127" s="138" t="inlineStr">
        <is>
          <t>https://www.karasuyamajo.co.jp/</t>
        </is>
      </c>
      <c r="T127" s="111" t="inlineStr">
        <is>
          <t>Tochigi hilly course</t>
        </is>
      </c>
    </row>
    <row r="128" ht="15" customHeight="1" s="97">
      <c r="A128" s="101" t="n">
        <v>126</v>
      </c>
      <c r="B128" s="102" t="inlineStr">
        <is>
          <t>일본·간토</t>
        </is>
      </c>
      <c r="C128" s="183" t="inlineStr">
        <is>
          <t>Nasu Golf Club (那須ゴルフ倶楽部)</t>
        </is>
      </c>
      <c r="D128" s="115" t="n"/>
      <c r="E128" s="184" t="inlineStr">
        <is>
          <t>Tochigi, Nasu</t>
        </is>
      </c>
      <c r="F128" s="101" t="n">
        <v>18</v>
      </c>
      <c r="G128" s="101">
        <f>F128/18*72</f>
        <v/>
      </c>
      <c r="H128" s="128" t="n"/>
      <c r="I128" s="127" t="n"/>
      <c r="J128" s="127" t="n"/>
      <c r="K128" s="139" t="n"/>
      <c r="L128" s="127" t="n"/>
      <c r="M128" s="129" t="n"/>
      <c r="N128" s="101" t="n"/>
      <c r="O128" s="109" t="n"/>
      <c r="P128" s="162" t="n"/>
      <c r="Q128" s="138" t="inlineStr">
        <is>
          <t>https://www.nasugc.co.jp/</t>
        </is>
      </c>
      <c r="T128" s="111" t="inlineStr">
        <is>
          <t>Nasu resort area</t>
        </is>
      </c>
    </row>
    <row r="129" ht="15" customHeight="1" s="97">
      <c r="A129" s="101" t="n">
        <v>127</v>
      </c>
      <c r="B129" s="102" t="inlineStr">
        <is>
          <t>일본·간토</t>
        </is>
      </c>
      <c r="C129" s="183" t="inlineStr">
        <is>
          <t>Akagi Country Club (赤城カントリー倶楽部)</t>
        </is>
      </c>
      <c r="D129" s="115" t="n"/>
      <c r="E129" s="184" t="inlineStr">
        <is>
          <t>Gunma, Maebashi</t>
        </is>
      </c>
      <c r="F129" s="101" t="n">
        <v>18</v>
      </c>
      <c r="G129" s="101">
        <f>F129/18*72</f>
        <v/>
      </c>
      <c r="H129" s="128" t="n"/>
      <c r="I129" s="127" t="n"/>
      <c r="J129" s="127" t="n"/>
      <c r="K129" s="139" t="n"/>
      <c r="L129" s="127" t="n"/>
      <c r="M129" s="129" t="n"/>
      <c r="N129" s="101" t="n"/>
      <c r="O129" s="109" t="n"/>
      <c r="P129" s="162" t="n"/>
      <c r="Q129" s="138" t="inlineStr">
        <is>
          <t>https://www.akagicc.com/</t>
        </is>
      </c>
      <c r="T129" s="111" t="inlineStr">
        <is>
          <t>Mt. Akagi area</t>
        </is>
      </c>
    </row>
    <row r="130" ht="15" customHeight="1" s="97">
      <c r="A130" s="101" t="n">
        <v>128</v>
      </c>
      <c r="B130" s="102" t="inlineStr">
        <is>
          <t>일본·간토</t>
        </is>
      </c>
      <c r="C130" s="183" t="inlineStr">
        <is>
          <t>Lake Wood Golf Club (レイクウッドゴルフクラブ)</t>
        </is>
      </c>
      <c r="D130" s="115" t="n"/>
      <c r="E130" s="184" t="inlineStr">
        <is>
          <t>Kanagawa, Nakai</t>
        </is>
      </c>
      <c r="F130" s="101" t="n">
        <v>27</v>
      </c>
      <c r="G130" s="101">
        <f>F130/18*72</f>
        <v/>
      </c>
      <c r="H130" s="128" t="n"/>
      <c r="I130" s="127" t="n"/>
      <c r="J130" s="127" t="n"/>
      <c r="K130" s="139" t="n"/>
      <c r="L130" s="127" t="n"/>
      <c r="M130" s="129" t="n"/>
      <c r="N130" s="101" t="n"/>
      <c r="O130" s="109" t="n"/>
      <c r="P130" s="162" t="n"/>
      <c r="Q130" s="138" t="inlineStr">
        <is>
          <t>https://www.lakewoodgolf.co.jp/</t>
        </is>
      </c>
      <c r="R130" s="96" t="n">
        <v>1974</v>
      </c>
      <c r="T130" s="125" t="inlineStr">
        <is>
          <t>Host of some Japan Senior Open</t>
        </is>
      </c>
    </row>
    <row r="131" ht="15" customHeight="1" s="97">
      <c r="A131" s="101" t="n">
        <v>129</v>
      </c>
      <c r="B131" s="102" t="inlineStr">
        <is>
          <t>일본·간토</t>
        </is>
      </c>
      <c r="C131" s="183" t="inlineStr">
        <is>
          <t>Ishioka Golf Club (石岡ゴルフ倶楽部)</t>
        </is>
      </c>
      <c r="D131" s="115" t="n"/>
      <c r="E131" s="184" t="inlineStr">
        <is>
          <t>Ibaraki, Ishioka</t>
        </is>
      </c>
      <c r="F131" s="101" t="n">
        <v>18</v>
      </c>
      <c r="G131" s="101">
        <f>F131/18*72</f>
        <v/>
      </c>
      <c r="H131" s="128" t="n"/>
      <c r="I131" s="127" t="n"/>
      <c r="J131" s="127" t="n"/>
      <c r="K131" s="139" t="n"/>
      <c r="L131" s="127" t="n"/>
      <c r="M131" s="129" t="n"/>
      <c r="N131" s="101" t="n"/>
      <c r="O131" s="109" t="n"/>
      <c r="P131" s="162" t="n"/>
      <c r="Q131" s="138" t="inlineStr">
        <is>
          <t>https://www.ishioka-gc.com/</t>
        </is>
      </c>
      <c r="R131" s="96" t="n">
        <v>2004</v>
      </c>
      <c r="T131" s="125" t="inlineStr">
        <is>
          <t>Championship course, PGM</t>
        </is>
      </c>
    </row>
    <row r="132" ht="15" customHeight="1" s="97">
      <c r="A132" s="101" t="n">
        <v>130</v>
      </c>
      <c r="B132" s="102" t="inlineStr">
        <is>
          <t>일본·도호쿠</t>
        </is>
      </c>
      <c r="C132" s="183" t="inlineStr">
        <is>
          <t>Ajigasawa Kogen Golf Club (鯵ヶ沢高原ゴルフ倶楽部)</t>
        </is>
      </c>
      <c r="D132" s="115" t="n"/>
      <c r="E132" s="184" t="inlineStr">
        <is>
          <t>Aomori, Ajigasawa</t>
        </is>
      </c>
      <c r="F132" s="101" t="n">
        <v>18</v>
      </c>
      <c r="G132" s="101">
        <f>F132/18*72</f>
        <v/>
      </c>
      <c r="H132" s="128" t="n"/>
      <c r="I132" s="127" t="n"/>
      <c r="J132" s="127" t="n"/>
      <c r="K132" s="139" t="n"/>
      <c r="L132" s="127" t="n"/>
      <c r="M132" s="129" t="n"/>
      <c r="N132" s="101" t="n"/>
      <c r="O132" s="109" t="n"/>
      <c r="P132" s="162" t="n"/>
      <c r="Q132" s="138" t="n"/>
      <c r="T132" s="111" t="inlineStr">
        <is>
          <t>Northern Honshu</t>
        </is>
      </c>
    </row>
    <row r="133" ht="15" customHeight="1" s="97">
      <c r="A133" s="101" t="n">
        <v>131</v>
      </c>
      <c r="B133" s="102" t="inlineStr">
        <is>
          <t>일본·도호쿠</t>
        </is>
      </c>
      <c r="C133" s="183" t="inlineStr">
        <is>
          <t>Sendai Hills Country Club (仙台ヒルズゴルフ倶楽部)</t>
        </is>
      </c>
      <c r="D133" s="115" t="n"/>
      <c r="E133" s="184" t="inlineStr">
        <is>
          <t>Miyagi, Sendai</t>
        </is>
      </c>
      <c r="F133" s="101" t="n">
        <v>18</v>
      </c>
      <c r="G133" s="101">
        <f>F133/18*72</f>
        <v/>
      </c>
      <c r="H133" s="128" t="n"/>
      <c r="I133" s="127" t="n"/>
      <c r="J133" s="127" t="n"/>
      <c r="K133" s="139" t="n"/>
      <c r="L133" s="127" t="n"/>
      <c r="M133" s="129" t="n"/>
      <c r="N133" s="101" t="n"/>
      <c r="O133" s="109" t="n"/>
      <c r="P133" s="162" t="n"/>
      <c r="Q133" s="138" t="inlineStr">
        <is>
          <t>https://www.sendai-hills.com/</t>
        </is>
      </c>
      <c r="T133" s="111" t="inlineStr">
        <is>
          <t>Tohoku region</t>
        </is>
      </c>
    </row>
    <row r="134" ht="15" customHeight="1" s="97">
      <c r="A134" s="101" t="n">
        <v>132</v>
      </c>
      <c r="B134" s="102" t="inlineStr">
        <is>
          <t>일본·간사이</t>
        </is>
      </c>
      <c r="C134" s="183" t="inlineStr">
        <is>
          <t>Omigahama Country Club (近江浜カントリークラブ)</t>
        </is>
      </c>
      <c r="D134" s="115" t="n"/>
      <c r="E134" s="184" t="inlineStr">
        <is>
          <t>Shiga, Otsu</t>
        </is>
      </c>
      <c r="F134" s="101" t="n">
        <v>18</v>
      </c>
      <c r="G134" s="101">
        <f>F134/18*72</f>
        <v/>
      </c>
      <c r="H134" s="128" t="n"/>
      <c r="I134" s="127" t="n"/>
      <c r="J134" s="127" t="n"/>
      <c r="K134" s="139" t="n"/>
      <c r="L134" s="127" t="n"/>
      <c r="M134" s="129" t="n"/>
      <c r="N134" s="101" t="n"/>
      <c r="O134" s="109" t="n"/>
      <c r="P134" s="162" t="n"/>
      <c r="Q134" s="138" t="n"/>
      <c r="T134" s="111" t="inlineStr">
        <is>
          <t>Shiga region</t>
        </is>
      </c>
    </row>
    <row r="135" ht="15" customHeight="1" s="97">
      <c r="A135" s="101" t="n">
        <v>133</v>
      </c>
      <c r="B135" s="102" t="inlineStr">
        <is>
          <t>일본·간사이</t>
        </is>
      </c>
      <c r="C135" s="183" t="inlineStr">
        <is>
          <t>Biwako Country Club (琵琶湖カントリー倶楽部)</t>
        </is>
      </c>
      <c r="D135" s="115" t="n"/>
      <c r="E135" s="184" t="inlineStr">
        <is>
          <t>Shiga, Otsu</t>
        </is>
      </c>
      <c r="F135" s="101" t="n">
        <v>36</v>
      </c>
      <c r="G135" s="101">
        <f>F135/18*72</f>
        <v/>
      </c>
      <c r="H135" s="128" t="n"/>
      <c r="I135" s="127" t="n"/>
      <c r="J135" s="127" t="n"/>
      <c r="K135" s="139" t="n"/>
      <c r="L135" s="127" t="n"/>
      <c r="M135" s="129" t="n"/>
      <c r="N135" s="101" t="n"/>
      <c r="O135" s="109" t="n"/>
      <c r="P135" s="162" t="n"/>
      <c r="Q135" s="138" t="inlineStr">
        <is>
          <t>https://www.biwako-cc.co.jp/</t>
        </is>
      </c>
      <c r="R135" s="96" t="n">
        <v>1963</v>
      </c>
      <c r="T135" s="125" t="inlineStr">
        <is>
          <t>Lake Biwa views</t>
        </is>
      </c>
    </row>
    <row r="136" ht="15" customHeight="1" s="97">
      <c r="A136" s="101" t="n">
        <v>134</v>
      </c>
      <c r="B136" s="102" t="inlineStr">
        <is>
          <t>일본·간토</t>
        </is>
      </c>
      <c r="C136" s="183" t="inlineStr">
        <is>
          <t>Hamano Golf Club (浜野ゴルフクラブ)</t>
        </is>
      </c>
      <c r="D136" s="115" t="n"/>
      <c r="E136" s="184" t="inlineStr">
        <is>
          <t>Chiba, Chiba</t>
        </is>
      </c>
      <c r="F136" s="101" t="n">
        <v>18</v>
      </c>
      <c r="G136" s="101">
        <f>F136/18*72</f>
        <v/>
      </c>
      <c r="H136" s="128" t="n"/>
      <c r="I136" s="127" t="n"/>
      <c r="J136" s="127" t="n"/>
      <c r="K136" s="139" t="n"/>
      <c r="L136" s="127" t="n"/>
      <c r="M136" s="129" t="n"/>
      <c r="N136" s="101" t="n"/>
      <c r="O136" s="109" t="n"/>
      <c r="P136" s="162" t="n"/>
      <c r="Q136" s="138" t="inlineStr">
        <is>
          <t>https://www.hamano-gc.co.jp/</t>
        </is>
      </c>
      <c r="R136" s="96" t="n">
        <v>1978</v>
      </c>
      <c r="T136" s="125" t="inlineStr">
        <is>
          <t>Championship Chiba course</t>
        </is>
      </c>
    </row>
    <row r="137" ht="15" customHeight="1" s="97">
      <c r="A137" s="101" t="n">
        <v>135</v>
      </c>
      <c r="B137" s="102" t="inlineStr">
        <is>
          <t>일본·간토</t>
        </is>
      </c>
      <c r="C137" s="183" t="inlineStr">
        <is>
          <t>Chiba Sakuranosato Golf Club (千葉桜の里ゴルフクラブ)</t>
        </is>
      </c>
      <c r="D137" s="115" t="n"/>
      <c r="E137" s="184" t="inlineStr">
        <is>
          <t>Chiba, Chiba</t>
        </is>
      </c>
      <c r="F137" s="101" t="n">
        <v>18</v>
      </c>
      <c r="G137" s="101">
        <f>F137/18*72</f>
        <v/>
      </c>
      <c r="H137" s="128" t="n"/>
      <c r="I137" s="127" t="n"/>
      <c r="J137" s="127" t="n"/>
      <c r="K137" s="139" t="n"/>
      <c r="L137" s="127" t="n"/>
      <c r="M137" s="129" t="n"/>
      <c r="N137" s="101" t="n"/>
      <c r="O137" s="109" t="n"/>
      <c r="P137" s="162" t="n"/>
      <c r="Q137" s="138" t="n"/>
      <c r="T137" s="111" t="inlineStr">
        <is>
          <t>Chiba course</t>
        </is>
      </c>
    </row>
    <row r="138" ht="15" customHeight="1" s="97">
      <c r="A138" s="101" t="n">
        <v>136</v>
      </c>
      <c r="B138" s="102" t="inlineStr">
        <is>
          <t>일본·주고쿠/시코쿠</t>
        </is>
      </c>
      <c r="C138" s="183" t="inlineStr">
        <is>
          <t>Kinojo Golf Club (鬼ノ城ゴルフ倶楽部)</t>
        </is>
      </c>
      <c r="D138" s="115" t="n"/>
      <c r="E138" s="184" t="inlineStr">
        <is>
          <t>Okayama, Soja</t>
        </is>
      </c>
      <c r="F138" s="101" t="n">
        <v>36</v>
      </c>
      <c r="G138" s="101">
        <f>F138/18*72</f>
        <v/>
      </c>
      <c r="H138" s="128" t="n"/>
      <c r="I138" s="127" t="n"/>
      <c r="J138" s="127" t="n"/>
      <c r="K138" s="139" t="n"/>
      <c r="L138" s="127" t="n"/>
      <c r="M138" s="129" t="n"/>
      <c r="N138" s="101" t="n"/>
      <c r="O138" s="109" t="n"/>
      <c r="P138" s="162" t="n"/>
      <c r="Q138" s="138" t="inlineStr">
        <is>
          <t>https://www.kinojo.com/</t>
        </is>
      </c>
      <c r="T138" s="111" t="inlineStr">
        <is>
          <t>Okayama mountain course</t>
        </is>
      </c>
    </row>
    <row r="139" ht="15" customHeight="1" s="97">
      <c r="A139" s="101" t="n">
        <v>137</v>
      </c>
      <c r="B139" s="102" t="inlineStr">
        <is>
          <t>일본·주고쿠/시코쿠</t>
        </is>
      </c>
      <c r="C139" s="183" t="inlineStr">
        <is>
          <t>Hiroshima Country Club (広島カンツリー倶楽部)</t>
        </is>
      </c>
      <c r="D139" s="115" t="n"/>
      <c r="E139" s="184" t="inlineStr">
        <is>
          <t>Hiroshima, Hiroshima</t>
        </is>
      </c>
      <c r="F139" s="101" t="n">
        <v>36</v>
      </c>
      <c r="G139" s="101">
        <f>F139/18*72</f>
        <v/>
      </c>
      <c r="H139" s="128" t="n"/>
      <c r="I139" s="127" t="n"/>
      <c r="J139" s="127" t="n"/>
      <c r="K139" s="139" t="n"/>
      <c r="L139" s="127" t="n"/>
      <c r="M139" s="129" t="n"/>
      <c r="N139" s="101" t="n"/>
      <c r="O139" s="109" t="n"/>
      <c r="P139" s="162" t="n"/>
      <c r="Q139" s="138" t="inlineStr">
        <is>
          <t>https://www.hiroshimacc.com/</t>
        </is>
      </c>
      <c r="R139" s="96" t="n">
        <v>1962</v>
      </c>
      <c r="T139" s="125" t="inlineStr">
        <is>
          <t>Chugoku region</t>
        </is>
      </c>
    </row>
    <row r="140" ht="15" customHeight="1" s="97">
      <c r="A140" s="101" t="n">
        <v>138</v>
      </c>
      <c r="B140" s="102" t="inlineStr">
        <is>
          <t>일본·주고쿠/시코쿠</t>
        </is>
      </c>
      <c r="C140" s="183" t="inlineStr">
        <is>
          <t>Ube Country Club (宇部カンツリー倶楽部)</t>
        </is>
      </c>
      <c r="D140" s="115" t="n"/>
      <c r="E140" s="184" t="inlineStr">
        <is>
          <t>Yamaguchi, Ube</t>
        </is>
      </c>
      <c r="F140" s="101" t="n">
        <v>36</v>
      </c>
      <c r="G140" s="101">
        <f>F140/18*72</f>
        <v/>
      </c>
      <c r="H140" s="128" t="n"/>
      <c r="I140" s="127" t="n"/>
      <c r="J140" s="127" t="n"/>
      <c r="K140" s="139" t="n"/>
      <c r="L140" s="127" t="n"/>
      <c r="M140" s="129" t="n"/>
      <c r="N140" s="101" t="n"/>
      <c r="O140" s="109" t="n"/>
      <c r="P140" s="162" t="n"/>
      <c r="Q140" s="138" t="inlineStr">
        <is>
          <t>https://www.ubecc.co.jp/</t>
        </is>
      </c>
      <c r="R140" s="96" t="n">
        <v>1958</v>
      </c>
      <c r="T140" s="125" t="inlineStr">
        <is>
          <t>Yamaguchi classic, has hosted tour events</t>
        </is>
      </c>
    </row>
    <row r="141" ht="15" customHeight="1" s="97">
      <c r="A141" s="101" t="n">
        <v>139</v>
      </c>
      <c r="B141" s="102" t="inlineStr">
        <is>
          <t>일본·주고쿠/시코쿠</t>
        </is>
      </c>
      <c r="C141" s="183" t="inlineStr">
        <is>
          <t>Matsuyama International Golf Club (松山国際ゴルフ倶楽部)</t>
        </is>
      </c>
      <c r="D141" s="115" t="n"/>
      <c r="E141" s="184" t="inlineStr">
        <is>
          <t>Ehime, Matsuyama</t>
        </is>
      </c>
      <c r="F141" s="101" t="n">
        <v>18</v>
      </c>
      <c r="G141" s="101">
        <f>F141/18*72</f>
        <v/>
      </c>
      <c r="H141" s="128" t="n"/>
      <c r="I141" s="127" t="n"/>
      <c r="J141" s="127" t="n"/>
      <c r="K141" s="139" t="n"/>
      <c r="L141" s="127" t="n"/>
      <c r="M141" s="129" t="n"/>
      <c r="N141" s="101" t="n"/>
      <c r="O141" s="109" t="n"/>
      <c r="P141" s="162" t="n"/>
      <c r="Q141" s="138" t="inlineStr">
        <is>
          <t>https://www.matsuyama-gc.co.jp/</t>
        </is>
      </c>
      <c r="T141" s="111" t="inlineStr">
        <is>
          <t>Shikoku course</t>
        </is>
      </c>
    </row>
    <row r="142" ht="15" customHeight="1" s="97">
      <c r="A142" s="101" t="n">
        <v>140</v>
      </c>
      <c r="B142" s="102" t="inlineStr">
        <is>
          <t>일본·주고쿠/시코쿠</t>
        </is>
      </c>
      <c r="C142" s="183" t="inlineStr">
        <is>
          <t>Kochi Kuroshio Country Club (高知黒潮カントリークラブ)</t>
        </is>
      </c>
      <c r="D142" s="115" t="n"/>
      <c r="E142" s="184" t="inlineStr">
        <is>
          <t>Kochi, Geisei</t>
        </is>
      </c>
      <c r="F142" s="101" t="n">
        <v>27</v>
      </c>
      <c r="G142" s="101">
        <f>F142/18*72</f>
        <v/>
      </c>
      <c r="H142" s="128" t="n"/>
      <c r="I142" s="127" t="n"/>
      <c r="J142" s="127" t="n"/>
      <c r="K142" s="139" t="n"/>
      <c r="L142" s="127" t="n"/>
      <c r="M142" s="129" t="n"/>
      <c r="N142" s="101" t="n"/>
      <c r="O142" s="109" t="n"/>
      <c r="P142" s="162" t="n"/>
      <c r="Q142" s="138" t="inlineStr">
        <is>
          <t>https://www.kuroshio-cc.co.jp/</t>
        </is>
      </c>
      <c r="T142" s="111" t="inlineStr">
        <is>
          <t>Host of Casio World Open</t>
        </is>
      </c>
    </row>
  </sheetData>
  <mergeCells count="1">
    <mergeCell ref="A1:R1"/>
  </mergeCells>
  <hyperlinks>
    <hyperlink xmlns:r="http://schemas.openxmlformats.org/officeDocument/2006/relationships" ref="Q3" display="http://www.taiheiyoclub.com/gotemba" r:id="rId1"/>
    <hyperlink xmlns:r="http://schemas.openxmlformats.org/officeDocument/2006/relationships" ref="Q4" display="https://hironogolfclub.jp" r:id="rId2"/>
    <hyperlink xmlns:r="http://schemas.openxmlformats.org/officeDocument/2006/relationships" ref="Q5" display="https://www.kasumigasekicc.or.jp" r:id="rId3"/>
    <hyperlink xmlns:r="http://schemas.openxmlformats.org/officeDocument/2006/relationships" ref="Q6" display="https://www.princehotels.com/kawana/facilities/kawanagolf/" r:id="rId4"/>
    <hyperlink xmlns:r="http://schemas.openxmlformats.org/officeDocument/2006/relationships" ref="Q7" display="https://www.kogagolfclub.jp" r:id="rId5"/>
    <hyperlink xmlns:r="http://schemas.openxmlformats.org/officeDocument/2006/relationships" ref="Q8" display="http://www.pacificgolf.co.jp/okinawa/" r:id="rId6"/>
    <hyperlink xmlns:r="http://schemas.openxmlformats.org/officeDocument/2006/relationships" ref="Q9" display="https://www.princehotels.com/en/golf/karu72/" r:id="rId7"/>
    <hyperlink xmlns:r="http://schemas.openxmlformats.org/officeDocument/2006/relationships" ref="Q10" display="https://www.tokyogolfclub.jp" r:id="rId8"/>
    <hyperlink xmlns:r="http://schemas.openxmlformats.org/officeDocument/2006/relationships" ref="Q11" display="https://www.biwakocc.com" r:id="rId9"/>
    <hyperlink xmlns:r="http://schemas.openxmlformats.org/officeDocument/2006/relationships" ref="Q12" display="https://www.accordia-golf.com/course/akodanarashinogolf/" r:id="rId1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71484375" defaultRowHeight="15" customHeight="0" zeroHeight="0" outlineLevelRow="0"/>
  <cols>
    <col width="10" customWidth="1" style="96" min="1" max="1"/>
    <col width="6" customWidth="1" style="96" min="2" max="2"/>
    <col width="9" customWidth="1" style="96" min="3" max="4"/>
    <col width="8" customWidth="1" style="96" min="5" max="6"/>
    <col width="7" customWidth="1" style="96" min="7" max="8"/>
    <col width="8" customWidth="1" style="96" min="9" max="9"/>
  </cols>
  <sheetData>
    <row r="1" ht="27.75" customHeight="1" s="97">
      <c r="A1" s="182" t="inlineStr">
        <is>
          <t>📊 GolfNow — 지역별 골프장 집계 (국내 510개 + 일본 140개 = 총 650개)</t>
        </is>
      </c>
    </row>
    <row r="2" ht="36" customHeight="1" s="97">
      <c r="A2" s="100" t="inlineStr">
        <is>
          <t>지역</t>
        </is>
      </c>
      <c r="B2" s="100" t="inlineStr">
        <is>
          <t>국가</t>
        </is>
      </c>
      <c r="C2" s="100" t="inlineStr">
        <is>
          <t>골프장 수</t>
        </is>
      </c>
      <c r="D2" s="100" t="inlineStr">
        <is>
          <t>서비스중</t>
        </is>
      </c>
      <c r="E2" s="100" t="inlineStr">
        <is>
          <t>회원제</t>
        </is>
      </c>
      <c r="F2" s="100" t="inlineStr">
        <is>
          <t>대중제</t>
        </is>
      </c>
      <c r="G2" s="99" t="inlineStr">
        <is>
          <t>9홀</t>
        </is>
      </c>
      <c r="H2" s="99" t="inlineStr">
        <is>
          <t>18홀</t>
        </is>
      </c>
      <c r="I2" s="99" t="inlineStr">
        <is>
          <t>27홀+</t>
        </is>
      </c>
    </row>
    <row r="3" ht="19.5" customHeight="1" s="97">
      <c r="A3" s="123" t="inlineStr">
        <is>
          <t>강원</t>
        </is>
      </c>
      <c r="B3" s="102" t="inlineStr">
        <is>
          <t>한국</t>
        </is>
      </c>
      <c r="C3" s="101" t="n">
        <v>59</v>
      </c>
      <c r="D3" s="101" t="n">
        <v>1</v>
      </c>
      <c r="E3" s="101" t="n">
        <v>14</v>
      </c>
      <c r="F3" s="101" t="n">
        <v>45</v>
      </c>
      <c r="G3" s="101" t="n">
        <v>11</v>
      </c>
      <c r="H3" s="101" t="n">
        <v>31</v>
      </c>
      <c r="I3" s="101" t="n">
        <v>15</v>
      </c>
    </row>
    <row r="4" ht="19.5" customHeight="1" s="97">
      <c r="A4" s="122" t="inlineStr">
        <is>
          <t>경기</t>
        </is>
      </c>
      <c r="B4" s="113" t="inlineStr">
        <is>
          <t>한국</t>
        </is>
      </c>
      <c r="C4" s="112" t="n">
        <v>137</v>
      </c>
      <c r="D4" s="112" t="n">
        <v>4</v>
      </c>
      <c r="E4" s="112" t="n">
        <v>67</v>
      </c>
      <c r="F4" s="112" t="n">
        <v>70</v>
      </c>
      <c r="G4" s="112" t="n">
        <v>24</v>
      </c>
      <c r="H4" s="112" t="n">
        <v>57</v>
      </c>
      <c r="I4" s="112" t="n">
        <v>55</v>
      </c>
    </row>
    <row r="5" ht="19.5" customHeight="1" s="97">
      <c r="A5" s="123" t="inlineStr">
        <is>
          <t>경남</t>
        </is>
      </c>
      <c r="B5" s="102" t="inlineStr">
        <is>
          <t>한국</t>
        </is>
      </c>
      <c r="C5" s="101" t="n">
        <v>38</v>
      </c>
      <c r="D5" s="101" t="n">
        <v>1</v>
      </c>
      <c r="E5" s="101" t="n">
        <v>13</v>
      </c>
      <c r="F5" s="101" t="n">
        <v>25</v>
      </c>
      <c r="G5" s="101" t="n">
        <v>7</v>
      </c>
      <c r="H5" s="101" t="n">
        <v>16</v>
      </c>
      <c r="I5" s="101" t="n">
        <v>15</v>
      </c>
    </row>
    <row r="6" ht="19.5" customHeight="1" s="97">
      <c r="A6" s="122" t="inlineStr">
        <is>
          <t>경북</t>
        </is>
      </c>
      <c r="B6" s="113" t="inlineStr">
        <is>
          <t>한국</t>
        </is>
      </c>
      <c r="C6" s="112" t="n">
        <v>55</v>
      </c>
      <c r="D6" s="112" t="n">
        <v>1</v>
      </c>
      <c r="E6" s="112" t="n">
        <v>12</v>
      </c>
      <c r="F6" s="112" t="n">
        <v>43</v>
      </c>
      <c r="G6" s="112" t="n">
        <v>15</v>
      </c>
      <c r="H6" s="112" t="n">
        <v>26</v>
      </c>
      <c r="I6" s="112" t="n">
        <v>13</v>
      </c>
    </row>
    <row r="7" ht="19.5" customHeight="1" s="97">
      <c r="A7" s="123" t="inlineStr">
        <is>
          <t>광주</t>
        </is>
      </c>
      <c r="B7" s="102" t="inlineStr">
        <is>
          <t>한국</t>
        </is>
      </c>
      <c r="C7" s="101" t="n">
        <v>3</v>
      </c>
      <c r="D7" s="101" t="n">
        <v>0</v>
      </c>
      <c r="E7" s="101" t="n">
        <v>0</v>
      </c>
      <c r="F7" s="101" t="n">
        <v>3</v>
      </c>
      <c r="G7" s="101" t="n">
        <v>2</v>
      </c>
      <c r="H7" s="101" t="n">
        <v>0</v>
      </c>
      <c r="I7" s="101" t="n">
        <v>1</v>
      </c>
    </row>
    <row r="8" ht="19.5" customHeight="1" s="97">
      <c r="A8" s="122" t="inlineStr">
        <is>
          <t>대구</t>
        </is>
      </c>
      <c r="B8" s="113" t="inlineStr">
        <is>
          <t>한국</t>
        </is>
      </c>
      <c r="C8" s="112" t="n">
        <v>2</v>
      </c>
      <c r="D8" s="112" t="n">
        <v>0</v>
      </c>
      <c r="E8" s="112" t="n">
        <v>1</v>
      </c>
      <c r="F8" s="112" t="n">
        <v>1</v>
      </c>
      <c r="G8" s="112" t="n">
        <v>1</v>
      </c>
      <c r="H8" s="112" t="n">
        <v>1</v>
      </c>
      <c r="I8" s="112" t="n">
        <v>0</v>
      </c>
    </row>
    <row r="9" ht="19.5" customHeight="1" s="97">
      <c r="A9" s="123" t="inlineStr">
        <is>
          <t>대전</t>
        </is>
      </c>
      <c r="B9" s="102" t="inlineStr">
        <is>
          <t>한국</t>
        </is>
      </c>
      <c r="C9" s="101" t="n">
        <v>3</v>
      </c>
      <c r="D9" s="101" t="n">
        <v>1</v>
      </c>
      <c r="E9" s="101" t="n">
        <v>1</v>
      </c>
      <c r="F9" s="101" t="n">
        <v>2</v>
      </c>
      <c r="G9" s="101" t="n">
        <v>2</v>
      </c>
      <c r="H9" s="101" t="n">
        <v>1</v>
      </c>
      <c r="I9" s="101" t="n">
        <v>0</v>
      </c>
    </row>
    <row r="10" ht="19.5" customHeight="1" s="97">
      <c r="A10" s="122" t="inlineStr">
        <is>
          <t>부산</t>
        </is>
      </c>
      <c r="B10" s="113" t="inlineStr">
        <is>
          <t>한국</t>
        </is>
      </c>
      <c r="C10" s="112" t="n">
        <v>10</v>
      </c>
      <c r="D10" s="112" t="n">
        <v>0</v>
      </c>
      <c r="E10" s="112" t="n">
        <v>6</v>
      </c>
      <c r="F10" s="112" t="n">
        <v>4</v>
      </c>
      <c r="G10" s="112" t="n">
        <v>3</v>
      </c>
      <c r="H10" s="112" t="n">
        <v>4</v>
      </c>
      <c r="I10" s="112" t="n">
        <v>3</v>
      </c>
    </row>
    <row r="11" ht="19.5" customHeight="1" s="97">
      <c r="A11" s="123" t="inlineStr">
        <is>
          <t>서울</t>
        </is>
      </c>
      <c r="B11" s="102" t="inlineStr">
        <is>
          <t>한국</t>
        </is>
      </c>
      <c r="C11" s="101" t="n">
        <v>1</v>
      </c>
      <c r="D11" s="101" t="n">
        <v>0</v>
      </c>
      <c r="E11" s="101" t="n">
        <v>0</v>
      </c>
      <c r="F11" s="101" t="n">
        <v>1</v>
      </c>
      <c r="G11" s="101" t="n">
        <v>0</v>
      </c>
      <c r="H11" s="101" t="n">
        <v>0</v>
      </c>
      <c r="I11" s="101" t="n">
        <v>1</v>
      </c>
    </row>
    <row r="12" ht="19.5" customHeight="1" s="97">
      <c r="A12" s="122" t="inlineStr">
        <is>
          <t>세종</t>
        </is>
      </c>
      <c r="B12" s="113" t="inlineStr">
        <is>
          <t>한국</t>
        </is>
      </c>
      <c r="C12" s="112" t="n">
        <v>3</v>
      </c>
      <c r="D12" s="112" t="n">
        <v>0</v>
      </c>
      <c r="E12" s="112" t="n">
        <v>1</v>
      </c>
      <c r="F12" s="112" t="n">
        <v>2</v>
      </c>
      <c r="G12" s="112" t="n">
        <v>0</v>
      </c>
      <c r="H12" s="112" t="n">
        <v>1</v>
      </c>
      <c r="I12" s="112" t="n">
        <v>2</v>
      </c>
    </row>
    <row r="13" ht="19.5" customHeight="1" s="97">
      <c r="A13" s="123" t="inlineStr">
        <is>
          <t>울산</t>
        </is>
      </c>
      <c r="B13" s="102" t="inlineStr">
        <is>
          <t>한국</t>
        </is>
      </c>
      <c r="C13" s="101" t="n">
        <v>5</v>
      </c>
      <c r="D13" s="101" t="n">
        <v>0</v>
      </c>
      <c r="E13" s="101" t="n">
        <v>2</v>
      </c>
      <c r="F13" s="101" t="n">
        <v>3</v>
      </c>
      <c r="G13" s="101" t="n">
        <v>1</v>
      </c>
      <c r="H13" s="101" t="n">
        <v>2</v>
      </c>
      <c r="I13" s="101" t="n">
        <v>2</v>
      </c>
    </row>
    <row r="14" ht="19.5" customHeight="1" s="97">
      <c r="A14" s="122" t="inlineStr">
        <is>
          <t>인천</t>
        </is>
      </c>
      <c r="B14" s="113" t="inlineStr">
        <is>
          <t>한국</t>
        </is>
      </c>
      <c r="C14" s="112" t="n">
        <v>11</v>
      </c>
      <c r="D14" s="112" t="n">
        <v>0</v>
      </c>
      <c r="E14" s="112" t="n">
        <v>2</v>
      </c>
      <c r="F14" s="112" t="n">
        <v>9</v>
      </c>
      <c r="G14" s="112" t="n">
        <v>1</v>
      </c>
      <c r="H14" s="112" t="n">
        <v>7</v>
      </c>
      <c r="I14" s="112" t="n">
        <v>3</v>
      </c>
    </row>
    <row r="15" ht="19.5" customHeight="1" s="97">
      <c r="A15" s="123" t="inlineStr">
        <is>
          <t>전남</t>
        </is>
      </c>
      <c r="B15" s="102" t="inlineStr">
        <is>
          <t>한국</t>
        </is>
      </c>
      <c r="C15" s="101" t="n">
        <v>38</v>
      </c>
      <c r="D15" s="101" t="n">
        <v>0</v>
      </c>
      <c r="E15" s="101" t="n">
        <v>4</v>
      </c>
      <c r="F15" s="101" t="n">
        <v>34</v>
      </c>
      <c r="G15" s="101" t="n">
        <v>12</v>
      </c>
      <c r="H15" s="101" t="n">
        <v>12</v>
      </c>
      <c r="I15" s="101" t="n">
        <v>14</v>
      </c>
    </row>
    <row r="16" ht="19.5" customHeight="1" s="97">
      <c r="A16" s="122" t="inlineStr">
        <is>
          <t>전북</t>
        </is>
      </c>
      <c r="B16" s="113" t="inlineStr">
        <is>
          <t>한국</t>
        </is>
      </c>
      <c r="C16" s="112" t="n">
        <v>24</v>
      </c>
      <c r="D16" s="112" t="n">
        <v>0</v>
      </c>
      <c r="E16" s="112" t="n">
        <v>2</v>
      </c>
      <c r="F16" s="112" t="n">
        <v>22</v>
      </c>
      <c r="G16" s="112" t="n">
        <v>6</v>
      </c>
      <c r="H16" s="112" t="n">
        <v>13</v>
      </c>
      <c r="I16" s="112" t="n">
        <v>3</v>
      </c>
    </row>
    <row r="17" ht="19.5" customHeight="1" s="97">
      <c r="A17" s="123" t="inlineStr">
        <is>
          <t>제주</t>
        </is>
      </c>
      <c r="B17" s="102" t="inlineStr">
        <is>
          <t>한국</t>
        </is>
      </c>
      <c r="C17" s="101" t="n">
        <v>30</v>
      </c>
      <c r="D17" s="101" t="n">
        <v>1</v>
      </c>
      <c r="E17" s="101" t="n">
        <v>16</v>
      </c>
      <c r="F17" s="101" t="n">
        <v>14</v>
      </c>
      <c r="G17" s="101" t="n">
        <v>2</v>
      </c>
      <c r="H17" s="101" t="n">
        <v>21</v>
      </c>
      <c r="I17" s="101" t="n">
        <v>7</v>
      </c>
    </row>
    <row r="18" ht="19.5" customHeight="1" s="97">
      <c r="A18" s="122" t="inlineStr">
        <is>
          <t>충남</t>
        </is>
      </c>
      <c r="B18" s="113" t="inlineStr">
        <is>
          <t>한국</t>
        </is>
      </c>
      <c r="C18" s="112" t="n">
        <v>25</v>
      </c>
      <c r="D18" s="112" t="n">
        <v>1</v>
      </c>
      <c r="E18" s="112" t="n">
        <v>4</v>
      </c>
      <c r="F18" s="112" t="n">
        <v>21</v>
      </c>
      <c r="G18" s="112" t="n">
        <v>6</v>
      </c>
      <c r="H18" s="112" t="n">
        <v>15</v>
      </c>
      <c r="I18" s="112" t="n">
        <v>4</v>
      </c>
    </row>
    <row r="19" ht="19.5" customHeight="1" s="97">
      <c r="A19" s="123" t="inlineStr">
        <is>
          <t>충북</t>
        </is>
      </c>
      <c r="B19" s="102" t="inlineStr">
        <is>
          <t>한국</t>
        </is>
      </c>
      <c r="C19" s="101" t="n">
        <v>38</v>
      </c>
      <c r="D19" s="101" t="n">
        <v>0</v>
      </c>
      <c r="E19" s="101" t="n">
        <v>5</v>
      </c>
      <c r="F19" s="101" t="n">
        <v>33</v>
      </c>
      <c r="G19" s="101" t="n">
        <v>4</v>
      </c>
      <c r="H19" s="101" t="n">
        <v>20</v>
      </c>
      <c r="I19" s="101" t="n">
        <v>14</v>
      </c>
    </row>
    <row r="20" ht="19.5" customHeight="1" s="97">
      <c r="A20" s="122" t="inlineStr">
        <is>
          <t>일본·간토</t>
        </is>
      </c>
      <c r="B20" s="185" t="inlineStr">
        <is>
          <t>일본</t>
        </is>
      </c>
      <c r="C20" s="112" t="n">
        <v>6</v>
      </c>
      <c r="D20" s="112" t="n">
        <v>6</v>
      </c>
      <c r="E20" s="112" t="n">
        <v>4</v>
      </c>
      <c r="F20" s="112" t="n">
        <v>2</v>
      </c>
      <c r="G20" s="112" t="n">
        <v>0</v>
      </c>
      <c r="H20" s="112" t="n">
        <v>4</v>
      </c>
      <c r="I20" s="112" t="n">
        <v>2</v>
      </c>
    </row>
    <row r="21" ht="19.5" customHeight="1" s="97">
      <c r="A21" s="123" t="inlineStr">
        <is>
          <t>일본·간사이</t>
        </is>
      </c>
      <c r="B21" s="185" t="inlineStr">
        <is>
          <t>일본</t>
        </is>
      </c>
      <c r="C21" s="101" t="n">
        <v>2</v>
      </c>
      <c r="D21" s="101" t="n">
        <v>2</v>
      </c>
      <c r="E21" s="101" t="n">
        <v>2</v>
      </c>
      <c r="F21" s="101" t="n">
        <v>0</v>
      </c>
      <c r="G21" s="101" t="n">
        <v>0</v>
      </c>
      <c r="H21" s="101" t="n">
        <v>1</v>
      </c>
      <c r="I21" s="101" t="n">
        <v>1</v>
      </c>
    </row>
    <row r="22" ht="19.5" customHeight="1" s="97">
      <c r="A22" s="122" t="inlineStr">
        <is>
          <t>일본·큐슈</t>
        </is>
      </c>
      <c r="B22" s="185" t="inlineStr">
        <is>
          <t>일본</t>
        </is>
      </c>
      <c r="C22" s="112" t="n">
        <v>1</v>
      </c>
      <c r="D22" s="112" t="n">
        <v>1</v>
      </c>
      <c r="E22" s="112" t="n">
        <v>1</v>
      </c>
      <c r="F22" s="112" t="n">
        <v>0</v>
      </c>
      <c r="G22" s="112" t="n">
        <v>0</v>
      </c>
      <c r="H22" s="112" t="n">
        <v>1</v>
      </c>
      <c r="I22" s="112" t="n">
        <v>0</v>
      </c>
    </row>
    <row r="23" ht="19.5" customHeight="1" s="97">
      <c r="A23" s="123" t="inlineStr">
        <is>
          <t>일본·오키나와</t>
        </is>
      </c>
      <c r="B23" s="185" t="inlineStr">
        <is>
          <t>일본</t>
        </is>
      </c>
      <c r="C23" s="101" t="n">
        <v>1</v>
      </c>
      <c r="D23" s="101" t="n">
        <v>1</v>
      </c>
      <c r="E23" s="101" t="n">
        <v>0</v>
      </c>
      <c r="F23" s="101" t="n">
        <v>1</v>
      </c>
      <c r="G23" s="101" t="n">
        <v>0</v>
      </c>
      <c r="H23" s="101" t="n">
        <v>0</v>
      </c>
      <c r="I23" s="101" t="n">
        <v>1</v>
      </c>
    </row>
    <row r="25" ht="25.5" customHeight="1" s="97">
      <c r="A25" s="186" t="inlineStr">
        <is>
          <t>합계</t>
        </is>
      </c>
      <c r="B25" s="186" t="n"/>
      <c r="C25" s="187">
        <f>SUM(C3:C24)</f>
        <v/>
      </c>
      <c r="D25" s="187">
        <f>SUM(D3:D24)</f>
        <v/>
      </c>
      <c r="E25" s="187">
        <f>SUM(E3:E24)</f>
        <v/>
      </c>
      <c r="F25" s="187">
        <f>SUM(F3:F24)</f>
        <v/>
      </c>
      <c r="G25" s="187">
        <f>SUM(G3:G24)</f>
        <v/>
      </c>
      <c r="H25" s="187">
        <f>SUM(H3:H24)</f>
        <v/>
      </c>
      <c r="I25" s="187">
        <f>SUM(I3:I24)</f>
        <v/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476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71484375" defaultRowHeight="15" customHeight="0" zeroHeight="0" outlineLevelRow="0"/>
  <cols>
    <col width="5" customWidth="1" style="96" min="1" max="1"/>
    <col width="8" customWidth="1" style="96" min="2" max="2"/>
    <col width="24" customWidth="1" style="96" min="3" max="3"/>
    <col width="8" customWidth="1" style="96" min="4" max="4"/>
    <col width="6" customWidth="1" style="96" min="5" max="5"/>
    <col width="30" customWidth="1" style="96" min="6" max="6"/>
    <col width="9" customWidth="1" style="96" min="7" max="7"/>
    <col width="20" customWidth="1" style="96" min="8" max="8"/>
  </cols>
  <sheetData>
    <row r="1" ht="27.75" customHeight="1" s="97">
      <c r="A1" s="98" t="inlineStr">
        <is>
          <t>🚀 GolfNow — 서비스 확장 로드맵 (데이터수집 우선순위)</t>
        </is>
      </c>
    </row>
    <row r="2" ht="36" customHeight="1" s="97">
      <c r="A2" s="99" t="inlineStr">
        <is>
          <t>No.</t>
        </is>
      </c>
      <c r="B2" s="100" t="inlineStr">
        <is>
          <t>지역</t>
        </is>
      </c>
      <c r="C2" s="100" t="inlineStr">
        <is>
          <t>골프장명</t>
        </is>
      </c>
      <c r="D2" s="100" t="inlineStr">
        <is>
          <t>세부종류</t>
        </is>
      </c>
      <c r="E2" s="100" t="inlineStr">
        <is>
          <t>홀수</t>
        </is>
      </c>
      <c r="F2" s="100" t="inlineStr">
        <is>
          <t>소재지</t>
        </is>
      </c>
      <c r="G2" s="100" t="inlineStr">
        <is>
          <t>우선순위</t>
        </is>
      </c>
      <c r="H2" s="100" t="inlineStr">
        <is>
          <t>비고</t>
        </is>
      </c>
    </row>
    <row r="3" ht="18" customHeight="1" s="97">
      <c r="A3" s="101" t="n">
        <v>1</v>
      </c>
      <c r="B3" s="102" t="inlineStr">
        <is>
          <t>강원</t>
        </is>
      </c>
      <c r="C3" s="107" t="inlineStr">
        <is>
          <t>동강시스타대중골프장</t>
        </is>
      </c>
      <c r="D3" s="102" t="inlineStr">
        <is>
          <t>대중제</t>
        </is>
      </c>
      <c r="E3" s="101" t="n">
        <v>9</v>
      </c>
      <c r="F3" s="105" t="inlineStr">
        <is>
          <t>강원도 영월군 영월읍 사지막길 160</t>
        </is>
      </c>
      <c r="G3" s="188" t="inlineStr">
        <is>
          <t>⚪ 3순위</t>
        </is>
      </c>
      <c r="H3" s="111" t="n"/>
    </row>
    <row r="4" ht="18" customHeight="1" s="97">
      <c r="A4" s="112" t="n">
        <v>2</v>
      </c>
      <c r="B4" s="113" t="inlineStr">
        <is>
          <t>강원</t>
        </is>
      </c>
      <c r="C4" s="118" t="inlineStr">
        <is>
          <t>동서울레스피아</t>
        </is>
      </c>
      <c r="D4" s="113" t="inlineStr">
        <is>
          <t>대중제</t>
        </is>
      </c>
      <c r="E4" s="112" t="n">
        <v>9</v>
      </c>
      <c r="F4" s="116" t="inlineStr">
        <is>
          <t>강원도 원주시 지정면 신평석화로 236</t>
        </is>
      </c>
      <c r="G4" s="188" t="inlineStr">
        <is>
          <t>⚪ 3순위</t>
        </is>
      </c>
      <c r="H4" s="121" t="n"/>
    </row>
    <row r="5" ht="18" customHeight="1" s="97">
      <c r="A5" s="101" t="n">
        <v>3</v>
      </c>
      <c r="B5" s="102" t="inlineStr">
        <is>
          <t>강원</t>
        </is>
      </c>
      <c r="C5" s="107" t="inlineStr">
        <is>
          <t>센추리21퍼블릭</t>
        </is>
      </c>
      <c r="D5" s="102" t="inlineStr">
        <is>
          <t>대중제</t>
        </is>
      </c>
      <c r="E5" s="101" t="n">
        <v>9</v>
      </c>
      <c r="F5" s="105" t="inlineStr">
        <is>
          <t>강원도 원주시 문막읍 궁말길 193</t>
        </is>
      </c>
      <c r="G5" s="188" t="inlineStr">
        <is>
          <t>⚪ 3순위</t>
        </is>
      </c>
      <c r="H5" s="111" t="n"/>
    </row>
    <row r="6" ht="18" customHeight="1" s="97">
      <c r="A6" s="112" t="n">
        <v>4</v>
      </c>
      <c r="B6" s="113" t="inlineStr">
        <is>
          <t>강원</t>
        </is>
      </c>
      <c r="C6" s="118" t="inlineStr">
        <is>
          <t>소노펠리체 컨트리클럽 비발디파크 마운틴</t>
        </is>
      </c>
      <c r="D6" s="113" t="inlineStr">
        <is>
          <t>대중제</t>
        </is>
      </c>
      <c r="E6" s="112" t="n">
        <v>9</v>
      </c>
      <c r="F6" s="116" t="inlineStr">
        <is>
          <t>강원도 홍천군 서면 한치골길 262</t>
        </is>
      </c>
      <c r="G6" s="188" t="inlineStr">
        <is>
          <t>⚪ 3순위</t>
        </is>
      </c>
      <c r="H6" s="121" t="n"/>
    </row>
    <row r="7" ht="18" customHeight="1" s="97">
      <c r="A7" s="101" t="n">
        <v>5</v>
      </c>
      <c r="B7" s="102" t="inlineStr">
        <is>
          <t>강원</t>
        </is>
      </c>
      <c r="C7" s="107" t="inlineStr">
        <is>
          <t>스프링베일리조트</t>
        </is>
      </c>
      <c r="D7" s="102" t="inlineStr">
        <is>
          <t>대중제</t>
        </is>
      </c>
      <c r="E7" s="101" t="n">
        <v>9</v>
      </c>
      <c r="F7" s="105" t="inlineStr">
        <is>
          <t>강원도 춘천시 동면 금베이길 93-27</t>
        </is>
      </c>
      <c r="G7" s="188" t="inlineStr">
        <is>
          <t>⚪ 3순위</t>
        </is>
      </c>
      <c r="H7" s="111" t="n"/>
    </row>
    <row r="8" ht="18" customHeight="1" s="97">
      <c r="A8" s="112" t="n">
        <v>6</v>
      </c>
      <c r="B8" s="113" t="inlineStr">
        <is>
          <t>강원</t>
        </is>
      </c>
      <c r="C8" s="118" t="inlineStr">
        <is>
          <t>에콜리안정선골프장</t>
        </is>
      </c>
      <c r="D8" s="113" t="inlineStr">
        <is>
          <t>대중제</t>
        </is>
      </c>
      <c r="E8" s="112" t="n">
        <v>9</v>
      </c>
      <c r="F8" s="116" t="inlineStr">
        <is>
          <t>강원도 정선군 신동읍 새골길 112-49</t>
        </is>
      </c>
      <c r="G8" s="188" t="inlineStr">
        <is>
          <t>⚪ 3순위</t>
        </is>
      </c>
      <c r="H8" s="121" t="n"/>
    </row>
    <row r="9" ht="18" customHeight="1" s="97">
      <c r="A9" s="101" t="n">
        <v>7</v>
      </c>
      <c r="B9" s="102" t="inlineStr">
        <is>
          <t>강원</t>
        </is>
      </c>
      <c r="C9" s="107" t="inlineStr">
        <is>
          <t>엘리시안 강촌대중골프장</t>
        </is>
      </c>
      <c r="D9" s="102" t="inlineStr">
        <is>
          <t>대중제</t>
        </is>
      </c>
      <c r="E9" s="101" t="n">
        <v>10</v>
      </c>
      <c r="F9" s="105" t="inlineStr">
        <is>
          <t>강원도 춘천시 남산면 북한강변길 688</t>
        </is>
      </c>
      <c r="G9" s="188" t="inlineStr">
        <is>
          <t>⚪ 3순위</t>
        </is>
      </c>
      <c r="H9" s="111" t="n"/>
    </row>
    <row r="10" ht="18" customHeight="1" s="97">
      <c r="A10" s="112" t="n">
        <v>8</v>
      </c>
      <c r="B10" s="113" t="inlineStr">
        <is>
          <t>강원</t>
        </is>
      </c>
      <c r="C10" s="118" t="inlineStr">
        <is>
          <t>영랑호컨트리클럽</t>
        </is>
      </c>
      <c r="D10" s="113" t="inlineStr">
        <is>
          <t>대중제</t>
        </is>
      </c>
      <c r="E10" s="112" t="n">
        <v>9</v>
      </c>
      <c r="F10" s="116" t="inlineStr">
        <is>
          <t>강원도 속초시 영랑호반길 170</t>
        </is>
      </c>
      <c r="G10" s="188" t="inlineStr">
        <is>
          <t>⚪ 3순위</t>
        </is>
      </c>
      <c r="H10" s="121" t="n"/>
    </row>
    <row r="11" ht="18" customHeight="1" s="97">
      <c r="A11" s="101" t="n">
        <v>9</v>
      </c>
      <c r="B11" s="102" t="inlineStr">
        <is>
          <t>강원</t>
        </is>
      </c>
      <c r="C11" s="107" t="inlineStr">
        <is>
          <t>오크밸리 대중골프장</t>
        </is>
      </c>
      <c r="D11" s="102" t="inlineStr">
        <is>
          <t>대중제</t>
        </is>
      </c>
      <c r="E11" s="101" t="n">
        <v>9</v>
      </c>
      <c r="F11" s="105" t="inlineStr">
        <is>
          <t>강원도 원주시 지정면 오크밸리1길 66</t>
        </is>
      </c>
      <c r="G11" s="188" t="inlineStr">
        <is>
          <t>⚪ 3순위</t>
        </is>
      </c>
      <c r="H11" s="111" t="n"/>
    </row>
    <row r="12" ht="18" customHeight="1" s="97">
      <c r="A12" s="112" t="n">
        <v>10</v>
      </c>
      <c r="B12" s="113" t="inlineStr">
        <is>
          <t>강원</t>
        </is>
      </c>
      <c r="C12" s="118" t="inlineStr">
        <is>
          <t>오투리조트 골프</t>
        </is>
      </c>
      <c r="D12" s="113" t="inlineStr">
        <is>
          <t>대중제</t>
        </is>
      </c>
      <c r="E12" s="112" t="n">
        <v>9</v>
      </c>
      <c r="F12" s="116" t="inlineStr">
        <is>
          <t>강원도 태백시 서학로 861</t>
        </is>
      </c>
      <c r="G12" s="188" t="inlineStr">
        <is>
          <t>⚪ 3순위</t>
        </is>
      </c>
      <c r="H12" s="121" t="n"/>
    </row>
    <row r="13" ht="18" customHeight="1" s="97">
      <c r="A13" s="101" t="n">
        <v>11</v>
      </c>
      <c r="B13" s="102" t="inlineStr">
        <is>
          <t>강원</t>
        </is>
      </c>
      <c r="C13" s="107" t="inlineStr">
        <is>
          <t>용평리조트대중골프장</t>
        </is>
      </c>
      <c r="D13" s="102" t="inlineStr">
        <is>
          <t>대중제</t>
        </is>
      </c>
      <c r="E13" s="101" t="n">
        <v>9</v>
      </c>
      <c r="F13" s="105" t="inlineStr">
        <is>
          <t>강원도 평창군 대관령면 올림픽로 715</t>
        </is>
      </c>
      <c r="G13" s="188" t="inlineStr">
        <is>
          <t>⚪ 3순위</t>
        </is>
      </c>
      <c r="H13" s="111" t="n"/>
    </row>
    <row r="14" ht="18" customHeight="1" s="97">
      <c r="A14" s="112" t="n">
        <v>12</v>
      </c>
      <c r="B14" s="113" t="inlineStr">
        <is>
          <t>강원</t>
        </is>
      </c>
      <c r="C14" s="118" t="inlineStr">
        <is>
          <t>웰리힐리퍼블릭골프장</t>
        </is>
      </c>
      <c r="D14" s="113" t="inlineStr">
        <is>
          <t>대중제</t>
        </is>
      </c>
      <c r="E14" s="112" t="n">
        <v>10</v>
      </c>
      <c r="F14" s="116" t="inlineStr">
        <is>
          <t>강원도 횡성군 둔내면 고원로 451</t>
        </is>
      </c>
      <c r="G14" s="188" t="inlineStr">
        <is>
          <t>⚪ 3순위</t>
        </is>
      </c>
      <c r="H14" s="121" t="n"/>
    </row>
    <row r="15" ht="18" customHeight="1" s="97">
      <c r="A15" s="101" t="n">
        <v>13</v>
      </c>
      <c r="B15" s="102" t="inlineStr">
        <is>
          <t>강원</t>
        </is>
      </c>
      <c r="C15" s="107" t="inlineStr">
        <is>
          <t>인터불고원주골프클럽</t>
        </is>
      </c>
      <c r="D15" s="102" t="inlineStr">
        <is>
          <t>대중제</t>
        </is>
      </c>
      <c r="E15" s="101" t="n">
        <v>9</v>
      </c>
      <c r="F15" s="105" t="inlineStr">
        <is>
          <t>강원도 원주시 동부순환로 200</t>
        </is>
      </c>
      <c r="G15" s="188" t="inlineStr">
        <is>
          <t>⚪ 3순위</t>
        </is>
      </c>
      <c r="H15" s="111" t="n"/>
    </row>
    <row r="16" ht="18" customHeight="1" s="97">
      <c r="A16" s="112" t="n">
        <v>14</v>
      </c>
      <c r="B16" s="113" t="inlineStr">
        <is>
          <t>경기</t>
        </is>
      </c>
      <c r="C16" s="118" t="inlineStr">
        <is>
          <t>고양컨트리클럽</t>
        </is>
      </c>
      <c r="D16" s="113" t="inlineStr">
        <is>
          <t>대중제</t>
        </is>
      </c>
      <c r="E16" s="112" t="n">
        <v>9</v>
      </c>
      <c r="F16" s="116" t="inlineStr">
        <is>
          <t>고양시 덕양구 흥도로 304-23</t>
        </is>
      </c>
      <c r="G16" s="188" t="inlineStr">
        <is>
          <t>⚪ 3순위</t>
        </is>
      </c>
      <c r="H16" s="121" t="n"/>
    </row>
    <row r="17" ht="18" customHeight="1" s="97">
      <c r="A17" s="101" t="n">
        <v>15</v>
      </c>
      <c r="B17" s="102" t="inlineStr">
        <is>
          <t>경기</t>
        </is>
      </c>
      <c r="C17" s="107" t="inlineStr">
        <is>
          <t>골프존카운티 안성W</t>
        </is>
      </c>
      <c r="D17" s="102" t="inlineStr">
        <is>
          <t>대중제</t>
        </is>
      </c>
      <c r="E17" s="101" t="n">
        <v>9</v>
      </c>
      <c r="F17" s="105" t="inlineStr">
        <is>
          <t>안성시 양성면 교동길 19-70</t>
        </is>
      </c>
      <c r="G17" s="188" t="inlineStr">
        <is>
          <t>⚪ 3순위</t>
        </is>
      </c>
      <c r="H17" s="111" t="n"/>
    </row>
    <row r="18" ht="18" customHeight="1" s="97">
      <c r="A18" s="112" t="n">
        <v>16</v>
      </c>
      <c r="B18" s="113" t="inlineStr">
        <is>
          <t>경기</t>
        </is>
      </c>
      <c r="C18" s="118" t="inlineStr">
        <is>
          <t>글렌로스골프클럽</t>
        </is>
      </c>
      <c r="D18" s="113" t="inlineStr">
        <is>
          <t>대중제</t>
        </is>
      </c>
      <c r="E18" s="112" t="n">
        <v>9</v>
      </c>
      <c r="F18" s="116" t="inlineStr">
        <is>
          <t>용인시 처인구 포곡읍 에버랜드로 562번길 69</t>
        </is>
      </c>
      <c r="G18" s="188" t="inlineStr">
        <is>
          <t>⚪ 3순위</t>
        </is>
      </c>
      <c r="H18" s="121" t="n"/>
    </row>
    <row r="19" ht="18" customHeight="1" s="97">
      <c r="A19" s="101" t="n">
        <v>17</v>
      </c>
      <c r="B19" s="102" t="inlineStr">
        <is>
          <t>경기</t>
        </is>
      </c>
      <c r="C19" s="107" t="inlineStr">
        <is>
          <t>남양주C.C</t>
        </is>
      </c>
      <c r="D19" s="102" t="inlineStr">
        <is>
          <t>대중제</t>
        </is>
      </c>
      <c r="E19" s="101" t="n">
        <v>9</v>
      </c>
      <c r="F19" s="105" t="inlineStr">
        <is>
          <t>남양주시 오남읍 진건오남로536번길 44</t>
        </is>
      </c>
      <c r="G19" s="188" t="inlineStr">
        <is>
          <t>⚪ 3순위</t>
        </is>
      </c>
      <c r="H19" s="111" t="n"/>
    </row>
    <row r="20" ht="18" customHeight="1" s="97">
      <c r="A20" s="112" t="n">
        <v>18</v>
      </c>
      <c r="B20" s="113" t="inlineStr">
        <is>
          <t>경기</t>
        </is>
      </c>
      <c r="C20" s="118" t="inlineStr">
        <is>
          <t>더반G.C.</t>
        </is>
      </c>
      <c r="D20" s="113" t="inlineStr">
        <is>
          <t>대중제</t>
        </is>
      </c>
      <c r="E20" s="112" t="n">
        <v>9</v>
      </c>
      <c r="F20" s="116" t="inlineStr">
        <is>
          <t>이천시 대월면 대월로 627-141</t>
        </is>
      </c>
      <c r="G20" s="188" t="inlineStr">
        <is>
          <t>⚪ 3순위</t>
        </is>
      </c>
      <c r="H20" s="121" t="n"/>
    </row>
    <row r="21" ht="18" customHeight="1" s="97">
      <c r="A21" s="101" t="n">
        <v>19</v>
      </c>
      <c r="B21" s="102" t="inlineStr">
        <is>
          <t>경기</t>
        </is>
      </c>
      <c r="C21" s="107" t="inlineStr">
        <is>
          <t>라비돌대중</t>
        </is>
      </c>
      <c r="D21" s="102" t="inlineStr">
        <is>
          <t>대중제</t>
        </is>
      </c>
      <c r="E21" s="101" t="n">
        <v>9</v>
      </c>
      <c r="F21" s="105" t="inlineStr">
        <is>
          <t>화성시 정남면 세자로 286</t>
        </is>
      </c>
      <c r="G21" s="188" t="inlineStr">
        <is>
          <t>⚪ 3순위</t>
        </is>
      </c>
      <c r="H21" s="111" t="n"/>
    </row>
    <row r="22" ht="18" customHeight="1" s="97">
      <c r="A22" s="112" t="n">
        <v>20</v>
      </c>
      <c r="B22" s="113" t="inlineStr">
        <is>
          <t>경기</t>
        </is>
      </c>
      <c r="C22" s="118" t="inlineStr">
        <is>
          <t>레이크우드 골프장</t>
        </is>
      </c>
      <c r="D22" s="113" t="inlineStr">
        <is>
          <t>대중제</t>
        </is>
      </c>
      <c r="E22" s="112" t="n">
        <v>9</v>
      </c>
      <c r="F22" s="116" t="inlineStr">
        <is>
          <t>양주시 만송로 244</t>
        </is>
      </c>
      <c r="G22" s="188" t="inlineStr">
        <is>
          <t>⚪ 3순위</t>
        </is>
      </c>
      <c r="H22" s="121" t="n"/>
    </row>
    <row r="23" ht="18" customHeight="1" s="97">
      <c r="A23" s="101" t="n">
        <v>21</v>
      </c>
      <c r="B23" s="102" t="inlineStr">
        <is>
          <t>경기</t>
        </is>
      </c>
      <c r="C23" s="107" t="inlineStr">
        <is>
          <t>링크나인골프클럽</t>
        </is>
      </c>
      <c r="D23" s="102" t="inlineStr">
        <is>
          <t>대중제</t>
        </is>
      </c>
      <c r="E23" s="101" t="n">
        <v>9</v>
      </c>
      <c r="F23" s="105" t="inlineStr">
        <is>
          <t>화성시 마도면 해운로630번길 49</t>
        </is>
      </c>
      <c r="G23" s="188" t="inlineStr">
        <is>
          <t>⚪ 3순위</t>
        </is>
      </c>
      <c r="H23" s="111" t="n"/>
    </row>
    <row r="24" ht="18" customHeight="1" s="97">
      <c r="A24" s="112" t="n">
        <v>22</v>
      </c>
      <c r="B24" s="113" t="inlineStr">
        <is>
          <t>경기</t>
        </is>
      </c>
      <c r="C24" s="118" t="inlineStr">
        <is>
          <t>발리오스대중</t>
        </is>
      </c>
      <c r="D24" s="113" t="inlineStr">
        <is>
          <t>대중제</t>
        </is>
      </c>
      <c r="E24" s="112" t="n">
        <v>9</v>
      </c>
      <c r="F24" s="116" t="inlineStr">
        <is>
          <t>화성시 팔탄면 3.1만세로 641-28</t>
        </is>
      </c>
      <c r="G24" s="188" t="inlineStr">
        <is>
          <t>⚪ 3순위</t>
        </is>
      </c>
      <c r="H24" s="121" t="n"/>
    </row>
    <row r="25" ht="18" customHeight="1" s="97">
      <c r="A25" s="101" t="n">
        <v>23</v>
      </c>
      <c r="B25" s="102" t="inlineStr">
        <is>
          <t>경기</t>
        </is>
      </c>
      <c r="C25" s="107" t="inlineStr">
        <is>
          <t>베스트밸리</t>
        </is>
      </c>
      <c r="D25" s="102" t="inlineStr">
        <is>
          <t>대중제</t>
        </is>
      </c>
      <c r="E25" s="101" t="n">
        <v>9</v>
      </c>
      <c r="F25" s="105" t="inlineStr">
        <is>
          <t>파주시 광탄면 장지산로200번길 32-41</t>
        </is>
      </c>
      <c r="G25" s="188" t="inlineStr">
        <is>
          <t>⚪ 3순위</t>
        </is>
      </c>
      <c r="H25" s="111" t="n"/>
    </row>
    <row r="26" ht="18" customHeight="1" s="97">
      <c r="A26" s="112" t="n">
        <v>24</v>
      </c>
      <c r="B26" s="113" t="inlineStr">
        <is>
          <t>경기</t>
        </is>
      </c>
      <c r="C26" s="118" t="inlineStr">
        <is>
          <t>빅토리아</t>
        </is>
      </c>
      <c r="D26" s="113" t="inlineStr">
        <is>
          <t>대중제</t>
        </is>
      </c>
      <c r="E26" s="112" t="n">
        <v>9</v>
      </c>
      <c r="F26" s="116" t="inlineStr">
        <is>
          <t>여주시 가남읍 송삼로 191(가남면 송림리 214)</t>
        </is>
      </c>
      <c r="G26" s="188" t="inlineStr">
        <is>
          <t>⚪ 3순위</t>
        </is>
      </c>
      <c r="H26" s="121" t="n"/>
    </row>
    <row r="27" ht="18" customHeight="1" s="97">
      <c r="A27" s="101" t="n">
        <v>25</v>
      </c>
      <c r="B27" s="102" t="inlineStr">
        <is>
          <t>경기</t>
        </is>
      </c>
      <c r="C27" s="107" t="inlineStr">
        <is>
          <t>석천CC</t>
        </is>
      </c>
      <c r="D27" s="102" t="inlineStr">
        <is>
          <t>대중제</t>
        </is>
      </c>
      <c r="E27" s="101" t="n">
        <v>9</v>
      </c>
      <c r="F27" s="105" t="inlineStr">
        <is>
          <t>용인시 처인구 백암면 황새울로 255</t>
        </is>
      </c>
      <c r="G27" s="188" t="inlineStr">
        <is>
          <t>⚪ 3순위</t>
        </is>
      </c>
      <c r="H27" s="111" t="n"/>
    </row>
    <row r="28" ht="18" customHeight="1" s="97">
      <c r="A28" s="112" t="n">
        <v>26</v>
      </c>
      <c r="B28" s="113" t="inlineStr">
        <is>
          <t>경기</t>
        </is>
      </c>
      <c r="C28" s="118" t="inlineStr">
        <is>
          <t>신안 퍼블릭 CC</t>
        </is>
      </c>
      <c r="D28" s="113" t="inlineStr">
        <is>
          <t>대중제</t>
        </is>
      </c>
      <c r="E28" s="112" t="n">
        <v>9</v>
      </c>
      <c r="F28" s="116" t="inlineStr">
        <is>
          <t>안성시 고삼면 개울말길 149</t>
        </is>
      </c>
      <c r="G28" s="188" t="inlineStr">
        <is>
          <t>⚪ 3순위</t>
        </is>
      </c>
      <c r="H28" s="121" t="n"/>
    </row>
    <row r="29" ht="18" customHeight="1" s="97">
      <c r="A29" s="101" t="n">
        <v>27</v>
      </c>
      <c r="B29" s="102" t="inlineStr">
        <is>
          <t>경기</t>
        </is>
      </c>
      <c r="C29" s="107" t="inlineStr">
        <is>
          <t>아세코밸리골프클럽</t>
        </is>
      </c>
      <c r="D29" s="102" t="inlineStr">
        <is>
          <t>대중제</t>
        </is>
      </c>
      <c r="E29" s="101" t="n">
        <v>9</v>
      </c>
      <c r="F29" s="105" t="inlineStr">
        <is>
          <t>시흥시 마전로 307 (거모동)</t>
        </is>
      </c>
      <c r="G29" s="188" t="inlineStr">
        <is>
          <t>⚪ 3순위</t>
        </is>
      </c>
      <c r="H29" s="111" t="n"/>
    </row>
    <row r="30" ht="18" customHeight="1" s="97">
      <c r="A30" s="112" t="n">
        <v>28</v>
      </c>
      <c r="B30" s="113" t="inlineStr">
        <is>
          <t>경기</t>
        </is>
      </c>
      <c r="C30" s="118" t="inlineStr">
        <is>
          <t>안성베네스트골프클럽 일반대중홀</t>
        </is>
      </c>
      <c r="D30" s="113" t="inlineStr">
        <is>
          <t>대중제</t>
        </is>
      </c>
      <c r="E30" s="112" t="n">
        <v>9</v>
      </c>
      <c r="F30" s="116" t="inlineStr">
        <is>
          <t>안성시 금광면 삼흥로 660</t>
        </is>
      </c>
      <c r="G30" s="188" t="inlineStr">
        <is>
          <t>⚪ 3순위</t>
        </is>
      </c>
      <c r="H30" s="121" t="n"/>
    </row>
    <row r="31" ht="18" customHeight="1" s="97">
      <c r="A31" s="101" t="n">
        <v>29</v>
      </c>
      <c r="B31" s="102" t="inlineStr">
        <is>
          <t>경기</t>
        </is>
      </c>
      <c r="C31" s="107" t="inlineStr">
        <is>
          <t>여주썬밸리</t>
        </is>
      </c>
      <c r="D31" s="102" t="inlineStr">
        <is>
          <t>대중제</t>
        </is>
      </c>
      <c r="E31" s="101" t="n">
        <v>9</v>
      </c>
      <c r="F31" s="105" t="inlineStr">
        <is>
          <t>여주시 강천면 강문로 872(강천면 부평리 산109-1 일원 )</t>
        </is>
      </c>
      <c r="G31" s="188" t="inlineStr">
        <is>
          <t>⚪ 3순위</t>
        </is>
      </c>
      <c r="H31" s="111" t="n"/>
    </row>
    <row r="32" ht="18" customHeight="1" s="97">
      <c r="A32" s="112" t="n">
        <v>30</v>
      </c>
      <c r="B32" s="113" t="inlineStr">
        <is>
          <t>경기</t>
        </is>
      </c>
      <c r="C32" s="118" t="inlineStr">
        <is>
          <t>올림픽 골프장</t>
        </is>
      </c>
      <c r="D32" s="113" t="inlineStr">
        <is>
          <t>대중제</t>
        </is>
      </c>
      <c r="E32" s="112" t="n">
        <v>9</v>
      </c>
      <c r="F32" s="116" t="inlineStr">
        <is>
          <t>고양시 덕양구 혜음로 301</t>
        </is>
      </c>
      <c r="G32" s="188" t="inlineStr">
        <is>
          <t>⚪ 3순위</t>
        </is>
      </c>
      <c r="H32" s="121" t="n"/>
    </row>
    <row r="33" ht="18" customHeight="1" s="97">
      <c r="A33" s="101" t="n">
        <v>31</v>
      </c>
      <c r="B33" s="102" t="inlineStr">
        <is>
          <t>경기</t>
        </is>
      </c>
      <c r="C33" s="107" t="inlineStr">
        <is>
          <t>용인CC</t>
        </is>
      </c>
      <c r="D33" s="102" t="inlineStr">
        <is>
          <t>대중제</t>
        </is>
      </c>
      <c r="E33" s="101" t="n">
        <v>9</v>
      </c>
      <c r="F33" s="105" t="inlineStr">
        <is>
          <t>용인시 처인구 백암면 황새울로 255</t>
        </is>
      </c>
      <c r="G33" s="188" t="inlineStr">
        <is>
          <t>⚪ 3순위</t>
        </is>
      </c>
      <c r="H33" s="111" t="n"/>
    </row>
    <row r="34" ht="18" customHeight="1" s="97">
      <c r="A34" s="112" t="n">
        <v>32</v>
      </c>
      <c r="B34" s="113" t="inlineStr">
        <is>
          <t>경기</t>
        </is>
      </c>
      <c r="C34" s="118" t="inlineStr">
        <is>
          <t>일동레이크골프클럽</t>
        </is>
      </c>
      <c r="D34" s="113" t="inlineStr">
        <is>
          <t>대중제</t>
        </is>
      </c>
      <c r="E34" s="112" t="n">
        <v>9</v>
      </c>
      <c r="F34" s="116" t="inlineStr">
        <is>
          <t>포천시 일동면 화동로 738</t>
        </is>
      </c>
      <c r="G34" s="188" t="inlineStr">
        <is>
          <t>⚪ 3순위</t>
        </is>
      </c>
      <c r="H34" s="121" t="n"/>
    </row>
    <row r="35" ht="18" customHeight="1" s="97">
      <c r="A35" s="101" t="n">
        <v>33</v>
      </c>
      <c r="B35" s="102" t="inlineStr">
        <is>
          <t>경기</t>
        </is>
      </c>
      <c r="C35" s="107" t="inlineStr">
        <is>
          <t>일산스프링힐스 컨트리클럽</t>
        </is>
      </c>
      <c r="D35" s="102" t="inlineStr">
        <is>
          <t>대중제</t>
        </is>
      </c>
      <c r="E35" s="101" t="n">
        <v>9</v>
      </c>
      <c r="F35" s="105" t="inlineStr">
        <is>
          <t>고양시 일산동구 산황로 108</t>
        </is>
      </c>
      <c r="G35" s="188" t="inlineStr">
        <is>
          <t>⚪ 3순위</t>
        </is>
      </c>
      <c r="H35" s="111" t="n"/>
    </row>
    <row r="36" ht="18" customHeight="1" s="97">
      <c r="A36" s="112" t="n">
        <v>34</v>
      </c>
      <c r="B36" s="113" t="inlineStr">
        <is>
          <t>경기</t>
        </is>
      </c>
      <c r="C36" s="118" t="inlineStr">
        <is>
          <t>코리아퍼브릭</t>
        </is>
      </c>
      <c r="D36" s="113" t="inlineStr">
        <is>
          <t>대중제</t>
        </is>
      </c>
      <c r="E36" s="112" t="n">
        <v>9</v>
      </c>
      <c r="F36" s="116" t="inlineStr">
        <is>
          <t>용인시 기흥구 기흥단지로 224</t>
        </is>
      </c>
      <c r="G36" s="188" t="inlineStr">
        <is>
          <t>⚪ 3순위</t>
        </is>
      </c>
      <c r="H36" s="121" t="n"/>
    </row>
    <row r="37" ht="18" customHeight="1" s="97">
      <c r="A37" s="101" t="n">
        <v>35</v>
      </c>
      <c r="B37" s="102" t="inlineStr">
        <is>
          <t>경기</t>
        </is>
      </c>
      <c r="C37" s="107" t="inlineStr">
        <is>
          <t>한림안성</t>
        </is>
      </c>
      <c r="D37" s="102" t="inlineStr">
        <is>
          <t>대중제</t>
        </is>
      </c>
      <c r="E37" s="101" t="n">
        <v>9</v>
      </c>
      <c r="F37" s="105" t="inlineStr">
        <is>
          <t>안성시 양성면 양성로 349-61</t>
        </is>
      </c>
      <c r="G37" s="188" t="inlineStr">
        <is>
          <t>⚪ 3순위</t>
        </is>
      </c>
      <c r="H37" s="111" t="n"/>
    </row>
    <row r="38" ht="18" customHeight="1" s="97">
      <c r="A38" s="112" t="n">
        <v>36</v>
      </c>
      <c r="B38" s="113" t="inlineStr">
        <is>
          <t>경기</t>
        </is>
      </c>
      <c r="C38" s="118" t="inlineStr">
        <is>
          <t>한양컨트리클럽 대중제 9홀 골프장</t>
        </is>
      </c>
      <c r="D38" s="113" t="inlineStr">
        <is>
          <t>대중제</t>
        </is>
      </c>
      <c r="E38" s="112" t="n">
        <v>9</v>
      </c>
      <c r="F38" s="116" t="inlineStr">
        <is>
          <t>고양시 덕양구 고양대로 1591</t>
        </is>
      </c>
      <c r="G38" s="188" t="inlineStr">
        <is>
          <t>⚪ 3순위</t>
        </is>
      </c>
      <c r="H38" s="121" t="n"/>
    </row>
    <row r="39" ht="18" customHeight="1" s="97">
      <c r="A39" s="101" t="n">
        <v>37</v>
      </c>
      <c r="B39" s="102" t="inlineStr">
        <is>
          <t>경기</t>
        </is>
      </c>
      <c r="C39" s="107" t="inlineStr">
        <is>
          <t>화성골프클럽</t>
        </is>
      </c>
      <c r="D39" s="102" t="inlineStr">
        <is>
          <t>대중제</t>
        </is>
      </c>
      <c r="E39" s="101" t="n">
        <v>9</v>
      </c>
      <c r="F39" s="105" t="inlineStr">
        <is>
          <t>화성시 남양읍 화성로 1393-27</t>
        </is>
      </c>
      <c r="G39" s="188" t="inlineStr">
        <is>
          <t>⚪ 3순위</t>
        </is>
      </c>
      <c r="H39" s="111" t="n"/>
    </row>
    <row r="40" ht="18" customHeight="1" s="97">
      <c r="A40" s="112" t="n">
        <v>38</v>
      </c>
      <c r="B40" s="113" t="inlineStr">
        <is>
          <t>경남</t>
        </is>
      </c>
      <c r="C40" s="118" t="inlineStr">
        <is>
          <t>거창친환경대중골프장</t>
        </is>
      </c>
      <c r="D40" s="113" t="inlineStr">
        <is>
          <t>대중제</t>
        </is>
      </c>
      <c r="E40" s="112" t="n">
        <v>9</v>
      </c>
      <c r="F40" s="116" t="inlineStr">
        <is>
          <t>거창군 가조면 우륵길 410-284</t>
        </is>
      </c>
      <c r="G40" s="188" t="inlineStr">
        <is>
          <t>⚪ 3순위</t>
        </is>
      </c>
      <c r="H40" s="121" t="n"/>
    </row>
    <row r="41" ht="18" customHeight="1" s="97">
      <c r="A41" s="101" t="n">
        <v>39</v>
      </c>
      <c r="B41" s="102" t="inlineStr">
        <is>
          <t>경남</t>
        </is>
      </c>
      <c r="C41" s="107" t="inlineStr">
        <is>
          <t>고성컨트리클럽</t>
        </is>
      </c>
      <c r="D41" s="102" t="inlineStr">
        <is>
          <t>대중제</t>
        </is>
      </c>
      <c r="E41" s="101" t="n">
        <v>9</v>
      </c>
      <c r="F41" s="105" t="inlineStr">
        <is>
          <t>고성군 고성읍 월평3길 250</t>
        </is>
      </c>
      <c r="G41" s="188" t="inlineStr">
        <is>
          <t>⚪ 3순위</t>
        </is>
      </c>
      <c r="H41" s="111" t="n"/>
    </row>
    <row r="42" ht="18" customHeight="1" s="97">
      <c r="A42" s="112" t="n">
        <v>40</v>
      </c>
      <c r="B42" s="113" t="inlineStr">
        <is>
          <t>경남</t>
        </is>
      </c>
      <c r="C42" s="118" t="inlineStr">
        <is>
          <t>밀양컨트리클럽</t>
        </is>
      </c>
      <c r="D42" s="113" t="inlineStr">
        <is>
          <t>대중제</t>
        </is>
      </c>
      <c r="E42" s="112" t="n">
        <v>9</v>
      </c>
      <c r="F42" s="116" t="inlineStr">
        <is>
          <t>밀양시 부북면 전사포리 832</t>
        </is>
      </c>
      <c r="G42" s="188" t="inlineStr">
        <is>
          <t>⚪ 3순위</t>
        </is>
      </c>
      <c r="H42" s="121" t="n"/>
    </row>
    <row r="43" ht="18" customHeight="1" s="97">
      <c r="A43" s="101" t="n">
        <v>41</v>
      </c>
      <c r="B43" s="102" t="inlineStr">
        <is>
          <t>경남</t>
        </is>
      </c>
      <c r="C43" s="107" t="inlineStr">
        <is>
          <t>삼삼컨트리클럽</t>
        </is>
      </c>
      <c r="D43" s="102" t="inlineStr">
        <is>
          <t>대중제</t>
        </is>
      </c>
      <c r="E43" s="101" t="n">
        <v>9</v>
      </c>
      <c r="F43" s="105" t="inlineStr">
        <is>
          <t>사천시 축동면 화당산로 224</t>
        </is>
      </c>
      <c r="G43" s="188" t="inlineStr">
        <is>
          <t>⚪ 3순위</t>
        </is>
      </c>
      <c r="H43" s="111" t="n"/>
    </row>
    <row r="44" ht="18" customHeight="1" s="97">
      <c r="A44" s="112" t="n">
        <v>42</v>
      </c>
      <c r="B44" s="113" t="inlineStr">
        <is>
          <t>경남</t>
        </is>
      </c>
      <c r="C44" s="118" t="inlineStr">
        <is>
          <t>아난티남해CC</t>
        </is>
      </c>
      <c r="D44" s="113" t="inlineStr">
        <is>
          <t>대중제</t>
        </is>
      </c>
      <c r="E44" s="112" t="n">
        <v>9</v>
      </c>
      <c r="F44" s="116" t="inlineStr">
        <is>
          <t>남해군 남면 남서대로 1179번길 40-109</t>
        </is>
      </c>
      <c r="G44" s="188" t="inlineStr">
        <is>
          <t>⚪ 3순위</t>
        </is>
      </c>
      <c r="H44" s="121" t="n"/>
    </row>
    <row r="45" ht="18" customHeight="1" s="97">
      <c r="A45" s="101" t="n">
        <v>43</v>
      </c>
      <c r="B45" s="102" t="inlineStr">
        <is>
          <t>경남</t>
        </is>
      </c>
      <c r="C45" s="107" t="inlineStr">
        <is>
          <t>아난티남해GC</t>
        </is>
      </c>
      <c r="D45" s="102" t="inlineStr">
        <is>
          <t>대중제</t>
        </is>
      </c>
      <c r="E45" s="101" t="n">
        <v>9</v>
      </c>
      <c r="F45" s="105" t="inlineStr">
        <is>
          <t>남해군 남면 남서대로 1179번길 40-109</t>
        </is>
      </c>
      <c r="G45" s="188" t="inlineStr">
        <is>
          <t>⚪ 3순위</t>
        </is>
      </c>
      <c r="H45" s="111" t="n"/>
    </row>
    <row r="46" ht="18" customHeight="1" s="97">
      <c r="A46" s="112" t="n">
        <v>44</v>
      </c>
      <c r="B46" s="113" t="inlineStr">
        <is>
          <t>경남</t>
        </is>
      </c>
      <c r="C46" s="118" t="inlineStr">
        <is>
          <t>의령친환경골프장</t>
        </is>
      </c>
      <c r="D46" s="113" t="inlineStr">
        <is>
          <t>대중제</t>
        </is>
      </c>
      <c r="E46" s="112" t="n">
        <v>9</v>
      </c>
      <c r="F46" s="116" t="inlineStr">
        <is>
          <t>의령군 의령읍 남강로 417</t>
        </is>
      </c>
      <c r="G46" s="188" t="inlineStr">
        <is>
          <t>⚪ 3순위</t>
        </is>
      </c>
      <c r="H46" s="121" t="n"/>
    </row>
    <row r="47" ht="18" customHeight="1" s="97">
      <c r="A47" s="101" t="n">
        <v>45</v>
      </c>
      <c r="B47" s="102" t="inlineStr">
        <is>
          <t>경북</t>
        </is>
      </c>
      <c r="C47" s="136" t="n"/>
      <c r="D47" s="102" t="inlineStr">
        <is>
          <t>대중제</t>
        </is>
      </c>
      <c r="E47" s="101" t="n">
        <v>9</v>
      </c>
      <c r="F47" s="105" t="inlineStr">
        <is>
          <t>의성군 봉양면 농공마전길 125-78</t>
        </is>
      </c>
      <c r="G47" s="188" t="inlineStr">
        <is>
          <t>⚪ 3순위</t>
        </is>
      </c>
      <c r="H47" s="111" t="n"/>
    </row>
    <row r="48" ht="18" customHeight="1" s="97">
      <c r="A48" s="112" t="n">
        <v>46</v>
      </c>
      <c r="B48" s="113" t="inlineStr">
        <is>
          <t>경북</t>
        </is>
      </c>
      <c r="C48" s="118" t="inlineStr">
        <is>
          <t>가든골프클럽</t>
        </is>
      </c>
      <c r="D48" s="113" t="inlineStr">
        <is>
          <t>대중제</t>
        </is>
      </c>
      <c r="E48" s="112" t="n">
        <v>9</v>
      </c>
      <c r="F48" s="116" t="inlineStr">
        <is>
          <t>경주시 불국로 289-17(마동)</t>
        </is>
      </c>
      <c r="G48" s="188" t="inlineStr">
        <is>
          <t>⚪ 3순위</t>
        </is>
      </c>
      <c r="H48" s="121" t="n"/>
    </row>
    <row r="49" ht="18" customHeight="1" s="97">
      <c r="A49" s="101" t="n">
        <v>47</v>
      </c>
      <c r="B49" s="102" t="inlineStr">
        <is>
          <t>경북</t>
        </is>
      </c>
      <c r="C49" s="107" t="inlineStr">
        <is>
          <t>대가야CC</t>
        </is>
      </c>
      <c r="D49" s="102" t="inlineStr">
        <is>
          <t>대중제</t>
        </is>
      </c>
      <c r="E49" s="101" t="n">
        <v>9</v>
      </c>
      <c r="F49" s="105" t="inlineStr">
        <is>
          <t>고령군 대가야읍 대가야로 1103</t>
        </is>
      </c>
      <c r="G49" s="188" t="inlineStr">
        <is>
          <t>⚪ 3순위</t>
        </is>
      </c>
      <c r="H49" s="111" t="n"/>
    </row>
    <row r="50" ht="18" customHeight="1" s="97">
      <c r="A50" s="112" t="n">
        <v>48</v>
      </c>
      <c r="B50" s="113" t="inlineStr">
        <is>
          <t>경북</t>
        </is>
      </c>
      <c r="C50" s="118" t="inlineStr">
        <is>
          <t>마우나오션블루</t>
        </is>
      </c>
      <c r="D50" s="113" t="inlineStr">
        <is>
          <t>대중제</t>
        </is>
      </c>
      <c r="E50" s="112" t="n">
        <v>9</v>
      </c>
      <c r="F50" s="116" t="inlineStr">
        <is>
          <t>경주시 양남면 동남로 982</t>
        </is>
      </c>
      <c r="G50" s="188" t="inlineStr">
        <is>
          <t>⚪ 3순위</t>
        </is>
      </c>
      <c r="H50" s="121" t="n"/>
    </row>
    <row r="51" ht="18" customHeight="1" s="97">
      <c r="A51" s="101" t="n">
        <v>49</v>
      </c>
      <c r="B51" s="102" t="inlineStr">
        <is>
          <t>경북</t>
        </is>
      </c>
      <c r="C51" s="107" t="inlineStr">
        <is>
          <t>마이다스 구미 골프아카데미</t>
        </is>
      </c>
      <c r="D51" s="102" t="inlineStr">
        <is>
          <t>대중제</t>
        </is>
      </c>
      <c r="E51" s="101" t="n">
        <v>9</v>
      </c>
      <c r="F51" s="105" t="inlineStr">
        <is>
          <t>칠곡군 가산면 학하2길 54-171</t>
        </is>
      </c>
      <c r="G51" s="188" t="inlineStr">
        <is>
          <t>⚪ 3순위</t>
        </is>
      </c>
      <c r="H51" s="111" t="n"/>
    </row>
    <row r="52" ht="18" customHeight="1" s="97">
      <c r="A52" s="112" t="n">
        <v>50</v>
      </c>
      <c r="B52" s="113" t="inlineStr">
        <is>
          <t>경북</t>
        </is>
      </c>
      <c r="C52" s="118" t="inlineStr">
        <is>
          <t>선리치G.C</t>
        </is>
      </c>
      <c r="D52" s="113" t="inlineStr">
        <is>
          <t>대중제</t>
        </is>
      </c>
      <c r="E52" s="112" t="n">
        <v>9</v>
      </c>
      <c r="F52" s="116" t="inlineStr">
        <is>
          <t>경주시 안강읍 검단장골길 181-17</t>
        </is>
      </c>
      <c r="G52" s="188" t="inlineStr">
        <is>
          <t>⚪ 3순위</t>
        </is>
      </c>
      <c r="H52" s="121" t="n"/>
    </row>
    <row r="53" ht="18" customHeight="1" s="97">
      <c r="A53" s="101" t="n">
        <v>51</v>
      </c>
      <c r="B53" s="102" t="inlineStr">
        <is>
          <t>경북</t>
        </is>
      </c>
      <c r="C53" s="107" t="inlineStr">
        <is>
          <t>시엘G.C</t>
        </is>
      </c>
      <c r="D53" s="102" t="inlineStr">
        <is>
          <t>대중제</t>
        </is>
      </c>
      <c r="E53" s="101" t="n">
        <v>9</v>
      </c>
      <c r="F53" s="105" t="inlineStr">
        <is>
          <t>영천시 청통면 청통로 334-41</t>
        </is>
      </c>
      <c r="G53" s="188" t="inlineStr">
        <is>
          <t>⚪ 3순위</t>
        </is>
      </c>
      <c r="H53" s="111" t="n"/>
    </row>
    <row r="54" ht="18" customHeight="1" s="97">
      <c r="A54" s="112" t="n">
        <v>52</v>
      </c>
      <c r="B54" s="113" t="inlineStr">
        <is>
          <t>경북</t>
        </is>
      </c>
      <c r="C54" s="118" t="inlineStr">
        <is>
          <t>안강레전드G.C</t>
        </is>
      </c>
      <c r="D54" s="113" t="inlineStr">
        <is>
          <t>대중제</t>
        </is>
      </c>
      <c r="E54" s="112" t="n">
        <v>9</v>
      </c>
      <c r="F54" s="116" t="inlineStr">
        <is>
          <t>경주시 안강읍 낙산길 85</t>
        </is>
      </c>
      <c r="G54" s="188" t="inlineStr">
        <is>
          <t>⚪ 3순위</t>
        </is>
      </c>
      <c r="H54" s="121" t="n"/>
    </row>
    <row r="55" ht="18" customHeight="1" s="97">
      <c r="A55" s="101" t="n">
        <v>53</v>
      </c>
      <c r="B55" s="102" t="inlineStr">
        <is>
          <t>경북</t>
        </is>
      </c>
      <c r="C55" s="107" t="inlineStr">
        <is>
          <t>애플밸리C.C</t>
        </is>
      </c>
      <c r="D55" s="102" t="inlineStr">
        <is>
          <t>대중제</t>
        </is>
      </c>
      <c r="E55" s="101" t="n">
        <v>9</v>
      </c>
      <c r="F55" s="105" t="inlineStr">
        <is>
          <t>김천시 어모면 작점로 606</t>
        </is>
      </c>
      <c r="G55" s="188" t="inlineStr">
        <is>
          <t>⚪ 3순위</t>
        </is>
      </c>
      <c r="H55" s="111" t="n"/>
    </row>
    <row r="56" ht="18" customHeight="1" s="97">
      <c r="A56" s="112" t="n">
        <v>54</v>
      </c>
      <c r="B56" s="113" t="inlineStr">
        <is>
          <t>경북</t>
        </is>
      </c>
      <c r="C56" s="118" t="inlineStr">
        <is>
          <t>오션힐스포항C.C(대)</t>
        </is>
      </c>
      <c r="D56" s="113" t="inlineStr">
        <is>
          <t>대중제</t>
        </is>
      </c>
      <c r="E56" s="112" t="n">
        <v>9</v>
      </c>
      <c r="F56" s="116" t="inlineStr">
        <is>
          <t>포항시 북구 송라면 대전길 7</t>
        </is>
      </c>
      <c r="G56" s="188" t="inlineStr">
        <is>
          <t>⚪ 3순위</t>
        </is>
      </c>
      <c r="H56" s="121" t="n"/>
    </row>
    <row r="57" ht="18" customHeight="1" s="97">
      <c r="A57" s="101" t="n">
        <v>55</v>
      </c>
      <c r="B57" s="102" t="inlineStr">
        <is>
          <t>경북</t>
        </is>
      </c>
      <c r="C57" s="107" t="inlineStr">
        <is>
          <t>우리G.C</t>
        </is>
      </c>
      <c r="D57" s="102" t="inlineStr">
        <is>
          <t>대중제</t>
        </is>
      </c>
      <c r="E57" s="101" t="n">
        <v>9</v>
      </c>
      <c r="F57" s="105" t="inlineStr">
        <is>
          <t>경주시 양남면 동남로 972</t>
        </is>
      </c>
      <c r="G57" s="188" t="inlineStr">
        <is>
          <t>⚪ 3순위</t>
        </is>
      </c>
      <c r="H57" s="111" t="n"/>
    </row>
    <row r="58" ht="18" customHeight="1" s="97">
      <c r="A58" s="112" t="n">
        <v>56</v>
      </c>
      <c r="B58" s="113" t="inlineStr">
        <is>
          <t>경북</t>
        </is>
      </c>
      <c r="C58" s="118" t="inlineStr">
        <is>
          <t>유니밸리C.C</t>
        </is>
      </c>
      <c r="D58" s="113" t="inlineStr">
        <is>
          <t>대중제</t>
        </is>
      </c>
      <c r="E58" s="112" t="n">
        <v>9</v>
      </c>
      <c r="F58" s="116" t="inlineStr">
        <is>
          <t>고령군 고령읍 일량로 588</t>
        </is>
      </c>
      <c r="G58" s="188" t="inlineStr">
        <is>
          <t>⚪ 3순위</t>
        </is>
      </c>
      <c r="H58" s="121" t="n"/>
    </row>
    <row r="59" ht="18" customHeight="1" s="97">
      <c r="A59" s="101" t="n">
        <v>57</v>
      </c>
      <c r="B59" s="102" t="inlineStr">
        <is>
          <t>경북</t>
        </is>
      </c>
      <c r="C59" s="107" t="inlineStr">
        <is>
          <t>청하이스턴C.C</t>
        </is>
      </c>
      <c r="D59" s="102" t="inlineStr">
        <is>
          <t>대중제</t>
        </is>
      </c>
      <c r="E59" s="101" t="n">
        <v>9</v>
      </c>
      <c r="F59" s="105" t="inlineStr">
        <is>
          <t>포항시 청하면 용산길 94</t>
        </is>
      </c>
      <c r="G59" s="188" t="inlineStr">
        <is>
          <t>⚪ 3순위</t>
        </is>
      </c>
      <c r="H59" s="111" t="n"/>
    </row>
    <row r="60" ht="18" customHeight="1" s="97">
      <c r="A60" s="112" t="n">
        <v>58</v>
      </c>
      <c r="B60" s="113" t="inlineStr">
        <is>
          <t>경북</t>
        </is>
      </c>
      <c r="C60" s="118" t="inlineStr">
        <is>
          <t>칠곡아이위시C.C</t>
        </is>
      </c>
      <c r="D60" s="113" t="inlineStr">
        <is>
          <t>대중제</t>
        </is>
      </c>
      <c r="E60" s="112" t="n">
        <v>9</v>
      </c>
      <c r="F60" s="116" t="inlineStr">
        <is>
          <t>칠곡군 기산면 노석1길 49-112</t>
        </is>
      </c>
      <c r="G60" s="188" t="inlineStr">
        <is>
          <t>⚪ 3순위</t>
        </is>
      </c>
      <c r="H60" s="121" t="n"/>
    </row>
    <row r="61" ht="18" customHeight="1" s="97">
      <c r="A61" s="101" t="n">
        <v>59</v>
      </c>
      <c r="B61" s="102" t="inlineStr">
        <is>
          <t>경북</t>
        </is>
      </c>
      <c r="C61" s="107" t="inlineStr">
        <is>
          <t>펜타뷰골프클럽</t>
        </is>
      </c>
      <c r="D61" s="102" t="inlineStr">
        <is>
          <t>대중제</t>
        </is>
      </c>
      <c r="E61" s="101" t="n">
        <v>9</v>
      </c>
      <c r="F61" s="105" t="inlineStr">
        <is>
          <t>청도군 금천면 금천로 709</t>
        </is>
      </c>
      <c r="G61" s="188" t="inlineStr">
        <is>
          <t>⚪ 3순위</t>
        </is>
      </c>
      <c r="H61" s="111" t="n"/>
    </row>
    <row r="62" ht="18" customHeight="1" s="97">
      <c r="A62" s="112" t="n">
        <v>60</v>
      </c>
      <c r="B62" s="113" t="inlineStr">
        <is>
          <t>광주</t>
        </is>
      </c>
      <c r="C62" s="118" t="inlineStr">
        <is>
          <t>빛고을컨트리클럽</t>
        </is>
      </c>
      <c r="D62" s="113" t="inlineStr">
        <is>
          <t>대중제</t>
        </is>
      </c>
      <c r="E62" s="112" t="n">
        <v>9</v>
      </c>
      <c r="F62" s="116" t="inlineStr">
        <is>
          <t>광주광역시 남구 효우로 153(노대동)</t>
        </is>
      </c>
      <c r="G62" s="188" t="inlineStr">
        <is>
          <t>⚪ 3순위</t>
        </is>
      </c>
      <c r="H62" s="121" t="n"/>
    </row>
    <row r="63" ht="18" customHeight="1" s="97">
      <c r="A63" s="101" t="n">
        <v>61</v>
      </c>
      <c r="B63" s="102" t="inlineStr">
        <is>
          <t>광주</t>
        </is>
      </c>
      <c r="C63" s="107" t="inlineStr">
        <is>
          <t>에콜리안광산골프장</t>
        </is>
      </c>
      <c r="D63" s="102" t="inlineStr">
        <is>
          <t>대중제</t>
        </is>
      </c>
      <c r="E63" s="101" t="n">
        <v>9</v>
      </c>
      <c r="F63" s="105" t="inlineStr">
        <is>
          <t>광주광역시 광산구 오목내길 26(연산동)</t>
        </is>
      </c>
      <c r="G63" s="188" t="inlineStr">
        <is>
          <t>⚪ 3순위</t>
        </is>
      </c>
      <c r="H63" s="111" t="n"/>
    </row>
    <row r="64" ht="18" customHeight="1" s="97">
      <c r="A64" s="112" t="n">
        <v>62</v>
      </c>
      <c r="B64" s="113" t="inlineStr">
        <is>
          <t>대구</t>
        </is>
      </c>
      <c r="C64" s="118" t="inlineStr">
        <is>
          <t>냉천컨트리클럽</t>
        </is>
      </c>
      <c r="D64" s="113" t="inlineStr">
        <is>
          <t>대중제</t>
        </is>
      </c>
      <c r="E64" s="112" t="n">
        <v>9</v>
      </c>
      <c r="F64" s="116" t="inlineStr">
        <is>
          <t>대구광역시 달성군 가창면 가창로 1037-9</t>
        </is>
      </c>
      <c r="G64" s="188" t="inlineStr">
        <is>
          <t>⚪ 3순위</t>
        </is>
      </c>
      <c r="H64" s="121" t="n"/>
    </row>
    <row r="65" ht="18" customHeight="1" s="97">
      <c r="A65" s="101" t="n">
        <v>63</v>
      </c>
      <c r="B65" s="102" t="inlineStr">
        <is>
          <t>대전</t>
        </is>
      </c>
      <c r="C65" s="107" t="inlineStr">
        <is>
          <t>금실대덕밸리CC</t>
        </is>
      </c>
      <c r="D65" s="102" t="inlineStr">
        <is>
          <t>대중제</t>
        </is>
      </c>
      <c r="E65" s="101" t="n">
        <v>9</v>
      </c>
      <c r="F65" s="105" t="inlineStr">
        <is>
          <t>대전 유성구 테크노중앙로 210(용산동 676번지)</t>
        </is>
      </c>
      <c r="G65" s="188" t="inlineStr">
        <is>
          <t>⚪ 3순위</t>
        </is>
      </c>
      <c r="H65" s="111" t="n"/>
    </row>
    <row r="66" ht="18" customHeight="1" s="97">
      <c r="A66" s="112" t="n">
        <v>64</v>
      </c>
      <c r="B66" s="113" t="inlineStr">
        <is>
          <t>대전</t>
        </is>
      </c>
      <c r="C66" s="118" t="inlineStr">
        <is>
          <t>대덕복지센터</t>
        </is>
      </c>
      <c r="D66" s="113" t="inlineStr">
        <is>
          <t>대중제</t>
        </is>
      </c>
      <c r="E66" s="112" t="n">
        <v>9</v>
      </c>
      <c r="F66" s="116" t="inlineStr">
        <is>
          <t>대전 유성구 유성대로 1689번길 69(전민동 463번지)</t>
        </is>
      </c>
      <c r="G66" s="188" t="inlineStr">
        <is>
          <t>⚪ 3순위</t>
        </is>
      </c>
      <c r="H66" s="121" t="n"/>
    </row>
    <row r="67" ht="18" customHeight="1" s="97">
      <c r="A67" s="101" t="n">
        <v>65</v>
      </c>
      <c r="B67" s="102" t="inlineStr">
        <is>
          <t>부산</t>
        </is>
      </c>
      <c r="C67" s="107" t="inlineStr">
        <is>
          <t>기장동원로얄컨트리클럽</t>
        </is>
      </c>
      <c r="D67" s="102" t="inlineStr">
        <is>
          <t>대중제</t>
        </is>
      </c>
      <c r="E67" s="101" t="n">
        <v>9</v>
      </c>
      <c r="F67" s="105" t="inlineStr">
        <is>
          <t>부산 기장군 기장읍 반송로 1345</t>
        </is>
      </c>
      <c r="G67" s="188" t="inlineStr">
        <is>
          <t>⚪ 3순위</t>
        </is>
      </c>
      <c r="H67" s="111" t="n"/>
    </row>
    <row r="68" ht="18" customHeight="1" s="97">
      <c r="A68" s="112" t="n">
        <v>66</v>
      </c>
      <c r="B68" s="113" t="inlineStr">
        <is>
          <t>부산</t>
        </is>
      </c>
      <c r="C68" s="118" t="inlineStr">
        <is>
          <t>하이스트컨트리클럽</t>
        </is>
      </c>
      <c r="D68" s="113" t="inlineStr">
        <is>
          <t>대중제</t>
        </is>
      </c>
      <c r="E68" s="112" t="n">
        <v>9</v>
      </c>
      <c r="F68" s="116" t="inlineStr">
        <is>
          <t>부산 강서구 지상동 과학산단1로 172</t>
        </is>
      </c>
      <c r="G68" s="188" t="inlineStr">
        <is>
          <t>⚪ 3순위</t>
        </is>
      </c>
      <c r="H68" s="121" t="n"/>
    </row>
    <row r="69" ht="18" customHeight="1" s="97">
      <c r="A69" s="101" t="n">
        <v>67</v>
      </c>
      <c r="B69" s="102" t="inlineStr">
        <is>
          <t>부산</t>
        </is>
      </c>
      <c r="C69" s="107" t="inlineStr">
        <is>
          <t>해라컨트리클럽</t>
        </is>
      </c>
      <c r="D69" s="102" t="inlineStr">
        <is>
          <t>대중제</t>
        </is>
      </c>
      <c r="E69" s="101" t="n">
        <v>9</v>
      </c>
      <c r="F69" s="105" t="inlineStr">
        <is>
          <t>부산 강서구 지상동 과학산단로 306번길 77</t>
        </is>
      </c>
      <c r="G69" s="188" t="inlineStr">
        <is>
          <t>⚪ 3순위</t>
        </is>
      </c>
      <c r="H69" s="111" t="n"/>
    </row>
    <row r="70" ht="18" customHeight="1" s="97">
      <c r="A70" s="112" t="n">
        <v>68</v>
      </c>
      <c r="B70" s="113" t="inlineStr">
        <is>
          <t>울산</t>
        </is>
      </c>
      <c r="C70" s="118" t="inlineStr">
        <is>
          <t>삼남골프장</t>
        </is>
      </c>
      <c r="D70" s="113" t="inlineStr">
        <is>
          <t>대중제</t>
        </is>
      </c>
      <c r="E70" s="112" t="n">
        <v>9</v>
      </c>
      <c r="F70" s="116" t="inlineStr">
        <is>
          <t>울주군 삼남면 방기가천로 179</t>
        </is>
      </c>
      <c r="G70" s="188" t="inlineStr">
        <is>
          <t>⚪ 3순위</t>
        </is>
      </c>
      <c r="H70" s="121" t="n"/>
    </row>
    <row r="71" ht="18" customHeight="1" s="97">
      <c r="A71" s="101" t="n">
        <v>69</v>
      </c>
      <c r="B71" s="102" t="inlineStr">
        <is>
          <t>인천</t>
        </is>
      </c>
      <c r="C71" s="107" t="inlineStr">
        <is>
          <t>강화 선두리 골프장</t>
        </is>
      </c>
      <c r="D71" s="102" t="inlineStr">
        <is>
          <t>대중제</t>
        </is>
      </c>
      <c r="E71" s="101" t="n">
        <v>9</v>
      </c>
      <c r="F71" s="105" t="inlineStr">
        <is>
          <t>인천시 강화군 해안남로 474번길 59</t>
        </is>
      </c>
      <c r="G71" s="188" t="inlineStr">
        <is>
          <t>⚪ 3순위</t>
        </is>
      </c>
      <c r="H71" s="111" t="n"/>
    </row>
    <row r="72" ht="18" customHeight="1" s="97">
      <c r="A72" s="112" t="n">
        <v>70</v>
      </c>
      <c r="B72" s="113" t="inlineStr">
        <is>
          <t>전남</t>
        </is>
      </c>
      <c r="C72" s="118" t="inlineStr">
        <is>
          <t>나주CC</t>
        </is>
      </c>
      <c r="D72" s="113" t="inlineStr">
        <is>
          <t>대중제</t>
        </is>
      </c>
      <c r="E72" s="112" t="n">
        <v>9</v>
      </c>
      <c r="F72" s="116" t="inlineStr">
        <is>
          <t>나주시 공산면 상방신포길 154-32</t>
        </is>
      </c>
      <c r="G72" s="188" t="inlineStr">
        <is>
          <t>⚪ 3순위</t>
        </is>
      </c>
      <c r="H72" s="121" t="n"/>
    </row>
    <row r="73" ht="18" customHeight="1" s="97">
      <c r="A73" s="101" t="n">
        <v>71</v>
      </c>
      <c r="B73" s="102" t="inlineStr">
        <is>
          <t>전남</t>
        </is>
      </c>
      <c r="C73" s="107" t="inlineStr">
        <is>
          <t>나주힐스CC</t>
        </is>
      </c>
      <c r="D73" s="102" t="inlineStr">
        <is>
          <t>대중제</t>
        </is>
      </c>
      <c r="E73" s="101" t="n">
        <v>9</v>
      </c>
      <c r="F73" s="105" t="inlineStr">
        <is>
          <t>나주시 공산면 삼방신포길 160-27</t>
        </is>
      </c>
      <c r="G73" s="188" t="inlineStr">
        <is>
          <t>⚪ 3순위</t>
        </is>
      </c>
      <c r="H73" s="111" t="n"/>
    </row>
    <row r="74" ht="18" customHeight="1" s="97">
      <c r="A74" s="112" t="n">
        <v>72</v>
      </c>
      <c r="B74" s="113" t="inlineStr">
        <is>
          <t>전남</t>
        </is>
      </c>
      <c r="C74" s="118" t="inlineStr">
        <is>
          <t>백양우리CC</t>
        </is>
      </c>
      <c r="D74" s="113" t="inlineStr">
        <is>
          <t>대중제</t>
        </is>
      </c>
      <c r="E74" s="112" t="n">
        <v>9</v>
      </c>
      <c r="F74" s="116" t="inlineStr">
        <is>
          <t>장성군 북이면 봉암로 1574</t>
        </is>
      </c>
      <c r="G74" s="188" t="inlineStr">
        <is>
          <t>⚪ 3순위</t>
        </is>
      </c>
      <c r="H74" s="121" t="n"/>
    </row>
    <row r="75" ht="18" customHeight="1" s="97">
      <c r="A75" s="101" t="n">
        <v>73</v>
      </c>
      <c r="B75" s="102" t="inlineStr">
        <is>
          <t>전남</t>
        </is>
      </c>
      <c r="C75" s="107" t="inlineStr">
        <is>
          <t>보성에덴CC</t>
        </is>
      </c>
      <c r="D75" s="102" t="inlineStr">
        <is>
          <t>대중제</t>
        </is>
      </c>
      <c r="E75" s="101" t="n">
        <v>9</v>
      </c>
      <c r="F75" s="105" t="inlineStr">
        <is>
          <t>보성군 보성읍 원봉리 498</t>
        </is>
      </c>
      <c r="G75" s="188" t="inlineStr">
        <is>
          <t>⚪ 3순위</t>
        </is>
      </c>
      <c r="H75" s="111" t="n"/>
    </row>
    <row r="76" ht="18" customHeight="1" s="97">
      <c r="A76" s="112" t="n">
        <v>74</v>
      </c>
      <c r="B76" s="113" t="inlineStr">
        <is>
          <t>전남</t>
        </is>
      </c>
      <c r="C76" s="118" t="inlineStr">
        <is>
          <t>순천CC</t>
        </is>
      </c>
      <c r="D76" s="113" t="inlineStr">
        <is>
          <t>대중제</t>
        </is>
      </c>
      <c r="E76" s="112" t="n">
        <v>9</v>
      </c>
      <c r="F76" s="116" t="inlineStr">
        <is>
          <t>순천시 별량면 동화사길 85</t>
        </is>
      </c>
      <c r="G76" s="188" t="inlineStr">
        <is>
          <t>⚪ 3순위</t>
        </is>
      </c>
      <c r="H76" s="121" t="n"/>
    </row>
    <row r="77" ht="18" customHeight="1" s="97">
      <c r="A77" s="101" t="n">
        <v>75</v>
      </c>
      <c r="B77" s="102" t="inlineStr">
        <is>
          <t>전남</t>
        </is>
      </c>
      <c r="C77" s="107" t="inlineStr">
        <is>
          <t>에콜리안영광골프장</t>
        </is>
      </c>
      <c r="D77" s="102" t="inlineStr">
        <is>
          <t>대중제</t>
        </is>
      </c>
      <c r="E77" s="101" t="n">
        <v>9</v>
      </c>
      <c r="F77" s="105" t="inlineStr">
        <is>
          <t>영광군 영광읍 월현로 1길 40</t>
        </is>
      </c>
      <c r="G77" s="188" t="inlineStr">
        <is>
          <t>⚪ 3순위</t>
        </is>
      </c>
      <c r="H77" s="111" t="n"/>
    </row>
    <row r="78" ht="18" customHeight="1" s="97">
      <c r="A78" s="112" t="n">
        <v>76</v>
      </c>
      <c r="B78" s="113" t="inlineStr">
        <is>
          <t>전남</t>
        </is>
      </c>
      <c r="C78" s="118" t="inlineStr">
        <is>
          <t>오시아노골프클럽</t>
        </is>
      </c>
      <c r="D78" s="113" t="inlineStr">
        <is>
          <t>대중제</t>
        </is>
      </c>
      <c r="E78" s="112" t="n">
        <v>9</v>
      </c>
      <c r="F78" s="116" t="inlineStr">
        <is>
          <t>해남군 화원면 시아로 224</t>
        </is>
      </c>
      <c r="G78" s="188" t="inlineStr">
        <is>
          <t>⚪ 3순위</t>
        </is>
      </c>
      <c r="H78" s="121" t="n"/>
    </row>
    <row r="79" ht="18" customHeight="1" s="97">
      <c r="A79" s="101" t="n">
        <v>77</v>
      </c>
      <c r="B79" s="102" t="inlineStr">
        <is>
          <t>전남</t>
        </is>
      </c>
      <c r="C79" s="107" t="inlineStr">
        <is>
          <t>옥과기안CC</t>
        </is>
      </c>
      <c r="D79" s="102" t="inlineStr">
        <is>
          <t>대중제</t>
        </is>
      </c>
      <c r="E79" s="101" t="n">
        <v>9</v>
      </c>
      <c r="F79" s="105" t="inlineStr">
        <is>
          <t>곡성군 옥과면 입면로 197</t>
        </is>
      </c>
      <c r="G79" s="188" t="inlineStr">
        <is>
          <t>⚪ 3순위</t>
        </is>
      </c>
      <c r="H79" s="111" t="n"/>
    </row>
    <row r="80" ht="18" customHeight="1" s="97">
      <c r="A80" s="112" t="n">
        <v>78</v>
      </c>
      <c r="B80" s="113" t="inlineStr">
        <is>
          <t>전남</t>
        </is>
      </c>
      <c r="C80" s="118" t="inlineStr">
        <is>
          <t>조아밸리CC</t>
        </is>
      </c>
      <c r="D80" s="113" t="inlineStr">
        <is>
          <t>대중제</t>
        </is>
      </c>
      <c r="E80" s="112" t="n">
        <v>9</v>
      </c>
      <c r="F80" s="116" t="inlineStr">
        <is>
          <t>화순군 도곡면 고인돌2로 450</t>
        </is>
      </c>
      <c r="G80" s="188" t="inlineStr">
        <is>
          <t>⚪ 3순위</t>
        </is>
      </c>
      <c r="H80" s="121" t="n"/>
    </row>
    <row r="81" ht="18" customHeight="1" s="97">
      <c r="A81" s="101" t="n">
        <v>79</v>
      </c>
      <c r="B81" s="102" t="inlineStr">
        <is>
          <t>전남</t>
        </is>
      </c>
      <c r="C81" s="107" t="inlineStr">
        <is>
          <t>죽향CC</t>
        </is>
      </c>
      <c r="D81" s="102" t="inlineStr">
        <is>
          <t>대중제</t>
        </is>
      </c>
      <c r="E81" s="101" t="n">
        <v>9</v>
      </c>
      <c r="F81" s="105" t="inlineStr">
        <is>
          <t>담양군 창평면 창평로 159</t>
        </is>
      </c>
      <c r="G81" s="188" t="inlineStr">
        <is>
          <t>⚪ 3순위</t>
        </is>
      </c>
      <c r="H81" s="111" t="n"/>
    </row>
    <row r="82" ht="18" customHeight="1" s="97">
      <c r="A82" s="112" t="n">
        <v>80</v>
      </c>
      <c r="B82" s="113" t="inlineStr">
        <is>
          <t>전남</t>
        </is>
      </c>
      <c r="C82" s="118" t="inlineStr">
        <is>
          <t>창평CC</t>
        </is>
      </c>
      <c r="D82" s="113" t="inlineStr">
        <is>
          <t>대중제</t>
        </is>
      </c>
      <c r="E82" s="112" t="n">
        <v>9</v>
      </c>
      <c r="F82" s="116" t="inlineStr">
        <is>
          <t>담양군 창평면 오산길 100</t>
        </is>
      </c>
      <c r="G82" s="188" t="inlineStr">
        <is>
          <t>⚪ 3순위</t>
        </is>
      </c>
      <c r="H82" s="121" t="n"/>
    </row>
    <row r="83" ht="18" customHeight="1" s="97">
      <c r="A83" s="101" t="n">
        <v>81</v>
      </c>
      <c r="B83" s="102" t="inlineStr">
        <is>
          <t>전남</t>
        </is>
      </c>
      <c r="C83" s="107" t="inlineStr">
        <is>
          <t>함평천지CC</t>
        </is>
      </c>
      <c r="D83" s="102" t="inlineStr">
        <is>
          <t>대중제</t>
        </is>
      </c>
      <c r="E83" s="101" t="n">
        <v>9</v>
      </c>
      <c r="F83" s="105" t="inlineStr">
        <is>
          <t>함평군 함평읍 함장로 889-11</t>
        </is>
      </c>
      <c r="G83" s="188" t="inlineStr">
        <is>
          <t>⚪ 3순위</t>
        </is>
      </c>
      <c r="H83" s="111" t="n"/>
    </row>
    <row r="84" ht="18" customHeight="1" s="97">
      <c r="A84" s="112" t="n">
        <v>82</v>
      </c>
      <c r="B84" s="113" t="inlineStr">
        <is>
          <t>전북</t>
        </is>
      </c>
      <c r="C84" s="126" t="inlineStr">
        <is>
          <t>OKCC</t>
        </is>
      </c>
      <c r="D84" s="113" t="inlineStr">
        <is>
          <t>대중제</t>
        </is>
      </c>
      <c r="E84" s="112" t="n">
        <v>9</v>
      </c>
      <c r="F84" s="116" t="inlineStr">
        <is>
          <t>전라북도 완주군 소양면 화심리 300</t>
        </is>
      </c>
      <c r="G84" s="188" t="inlineStr">
        <is>
          <t>⚪ 3순위</t>
        </is>
      </c>
      <c r="H84" s="121" t="n"/>
    </row>
    <row r="85" ht="18" customHeight="1" s="97">
      <c r="A85" s="101" t="n">
        <v>83</v>
      </c>
      <c r="B85" s="102" t="inlineStr">
        <is>
          <t>전북</t>
        </is>
      </c>
      <c r="C85" s="107" t="inlineStr">
        <is>
          <t>더나인골프클럽</t>
        </is>
      </c>
      <c r="D85" s="102" t="inlineStr">
        <is>
          <t>대중제</t>
        </is>
      </c>
      <c r="E85" s="101" t="n">
        <v>9</v>
      </c>
      <c r="F85" s="105" t="inlineStr">
        <is>
          <t>전라북도 김제시 금구면 대화1길 8-75</t>
        </is>
      </c>
      <c r="G85" s="188" t="inlineStr">
        <is>
          <t>⚪ 3순위</t>
        </is>
      </c>
      <c r="H85" s="111" t="n"/>
    </row>
    <row r="86" ht="18" customHeight="1" s="97">
      <c r="A86" s="112" t="n">
        <v>84</v>
      </c>
      <c r="B86" s="113" t="inlineStr">
        <is>
          <t>전북</t>
        </is>
      </c>
      <c r="C86" s="118" t="inlineStr">
        <is>
          <t>디케이레저</t>
        </is>
      </c>
      <c r="D86" s="113" t="inlineStr">
        <is>
          <t>대중제</t>
        </is>
      </c>
      <c r="E86" s="112" t="n">
        <v>9</v>
      </c>
      <c r="F86" s="116" t="inlineStr">
        <is>
          <t>전라북도 순창군 순창읍 금산로 152</t>
        </is>
      </c>
      <c r="G86" s="188" t="inlineStr">
        <is>
          <t>⚪ 3순위</t>
        </is>
      </c>
      <c r="H86" s="121" t="n"/>
    </row>
    <row r="87" ht="18" customHeight="1" s="97">
      <c r="A87" s="101" t="n">
        <v>85</v>
      </c>
      <c r="B87" s="102" t="inlineStr">
        <is>
          <t>전북</t>
        </is>
      </c>
      <c r="C87" s="107" t="inlineStr">
        <is>
          <t>아네스빌CC</t>
        </is>
      </c>
      <c r="D87" s="102" t="inlineStr">
        <is>
          <t>대중제</t>
        </is>
      </c>
      <c r="E87" s="101" t="n">
        <v>9</v>
      </c>
      <c r="F87" s="105" t="inlineStr">
        <is>
          <t>전라북도 김제시 황산면 높은메길 160-39</t>
        </is>
      </c>
      <c r="G87" s="188" t="inlineStr">
        <is>
          <t>⚪ 3순위</t>
        </is>
      </c>
      <c r="H87" s="111" t="n"/>
    </row>
    <row r="88" ht="18" customHeight="1" s="97">
      <c r="A88" s="112" t="n">
        <v>86</v>
      </c>
      <c r="B88" s="113" t="inlineStr">
        <is>
          <t>전북</t>
        </is>
      </c>
      <c r="C88" s="118" t="inlineStr">
        <is>
          <t>에스페란사GC</t>
        </is>
      </c>
      <c r="D88" s="113" t="inlineStr">
        <is>
          <t>대중제</t>
        </is>
      </c>
      <c r="E88" s="112" t="n">
        <v>10</v>
      </c>
      <c r="F88" s="116" t="inlineStr">
        <is>
          <t>전라북도 김제시 금구면 낙산로 120</t>
        </is>
      </c>
      <c r="G88" s="188" t="inlineStr">
        <is>
          <t>⚪ 3순위</t>
        </is>
      </c>
      <c r="H88" s="121" t="n"/>
    </row>
    <row r="89" ht="18" customHeight="1" s="97">
      <c r="A89" s="101" t="n">
        <v>87</v>
      </c>
      <c r="B89" s="102" t="inlineStr">
        <is>
          <t>전북</t>
        </is>
      </c>
      <c r="C89" s="107" t="inlineStr">
        <is>
          <t>전주월드컵골프장</t>
        </is>
      </c>
      <c r="D89" s="102" t="inlineStr">
        <is>
          <t>대중제</t>
        </is>
      </c>
      <c r="E89" s="101" t="n">
        <v>9</v>
      </c>
      <c r="F89" s="105" t="inlineStr">
        <is>
          <t>전라북도 전주시 덕진구 온고을로 672</t>
        </is>
      </c>
      <c r="G89" s="188" t="inlineStr">
        <is>
          <t>⚪ 3순위</t>
        </is>
      </c>
      <c r="H89" s="111" t="n"/>
    </row>
    <row r="90" ht="18" customHeight="1" s="97">
      <c r="A90" s="112" t="n">
        <v>88</v>
      </c>
      <c r="B90" s="113" t="inlineStr">
        <is>
          <t>전북</t>
        </is>
      </c>
      <c r="C90" s="118" t="inlineStr">
        <is>
          <t>케이밸리컨트리클럽</t>
        </is>
      </c>
      <c r="D90" s="113" t="inlineStr">
        <is>
          <t>대중제</t>
        </is>
      </c>
      <c r="E90" s="112" t="n">
        <v>9</v>
      </c>
      <c r="F90" s="116" t="inlineStr">
        <is>
          <t>전라북도 완주군 운주면 산북리 65-4</t>
        </is>
      </c>
      <c r="G90" s="188" t="inlineStr">
        <is>
          <t>⚪ 3순위</t>
        </is>
      </c>
      <c r="H90" s="121" t="n"/>
    </row>
    <row r="91" ht="18" customHeight="1" s="97">
      <c r="A91" s="101" t="n">
        <v>89</v>
      </c>
      <c r="B91" s="102" t="inlineStr">
        <is>
          <t>제주</t>
        </is>
      </c>
      <c r="C91" s="107" t="inlineStr">
        <is>
          <t>제주힐CC</t>
        </is>
      </c>
      <c r="D91" s="102" t="inlineStr">
        <is>
          <t>대중제</t>
        </is>
      </c>
      <c r="E91" s="101" t="n">
        <v>9</v>
      </c>
      <c r="F91" s="105" t="inlineStr">
        <is>
          <t>제주시 516로 2696-117</t>
        </is>
      </c>
      <c r="G91" s="188" t="inlineStr">
        <is>
          <t>⚪ 3순위</t>
        </is>
      </c>
      <c r="H91" s="111" t="n"/>
    </row>
    <row r="92" ht="18" customHeight="1" s="97">
      <c r="A92" s="112" t="n">
        <v>90</v>
      </c>
      <c r="B92" s="113" t="inlineStr">
        <is>
          <t>제주</t>
        </is>
      </c>
      <c r="C92" s="118" t="inlineStr">
        <is>
          <t>플라자CC 제주</t>
        </is>
      </c>
      <c r="D92" s="113" t="inlineStr">
        <is>
          <t>대중제</t>
        </is>
      </c>
      <c r="E92" s="112" t="n">
        <v>9</v>
      </c>
      <c r="F92" s="116" t="inlineStr">
        <is>
          <t>제주특별자치도 제주시 명림로 575-107</t>
        </is>
      </c>
      <c r="G92" s="188" t="inlineStr">
        <is>
          <t>⚪ 3순위</t>
        </is>
      </c>
      <c r="H92" s="121" t="n"/>
    </row>
    <row r="93" ht="18" customHeight="1" s="97">
      <c r="A93" s="101" t="n">
        <v>91</v>
      </c>
      <c r="B93" s="102" t="inlineStr">
        <is>
          <t>충남</t>
        </is>
      </c>
      <c r="C93" s="107" t="inlineStr">
        <is>
          <t>계룡산골프장</t>
        </is>
      </c>
      <c r="D93" s="102" t="inlineStr">
        <is>
          <t>대중제</t>
        </is>
      </c>
      <c r="E93" s="101" t="n">
        <v>9</v>
      </c>
      <c r="F93" s="105" t="inlineStr">
        <is>
          <t>공주시 계룡면 아랫난댕이길 17(내흥리)</t>
        </is>
      </c>
      <c r="G93" s="188" t="inlineStr">
        <is>
          <t>⚪ 3순위</t>
        </is>
      </c>
      <c r="H93" s="111" t="n"/>
    </row>
    <row r="94" ht="18" customHeight="1" s="97">
      <c r="A94" s="112" t="n">
        <v>92</v>
      </c>
      <c r="B94" s="113" t="inlineStr">
        <is>
          <t>충남</t>
        </is>
      </c>
      <c r="C94" s="118" t="inlineStr">
        <is>
          <t>골드리버CC</t>
        </is>
      </c>
      <c r="D94" s="113" t="inlineStr">
        <is>
          <t>대중제</t>
        </is>
      </c>
      <c r="E94" s="112" t="n">
        <v>9</v>
      </c>
      <c r="F94" s="116" t="inlineStr">
        <is>
          <t>공주시 의당면 신정말길 67-133(청룡리)</t>
        </is>
      </c>
      <c r="G94" s="188" t="inlineStr">
        <is>
          <t>⚪ 3순위</t>
        </is>
      </c>
      <c r="H94" s="121" t="n"/>
    </row>
    <row r="95" ht="18" customHeight="1" s="97">
      <c r="A95" s="101" t="n">
        <v>93</v>
      </c>
      <c r="B95" s="102" t="inlineStr">
        <is>
          <t>충남</t>
        </is>
      </c>
      <c r="C95" s="107" t="inlineStr">
        <is>
          <t>더힐 컨트리클럽</t>
        </is>
      </c>
      <c r="D95" s="102" t="inlineStr">
        <is>
          <t>대중제</t>
        </is>
      </c>
      <c r="E95" s="101" t="n">
        <v>9</v>
      </c>
      <c r="F95" s="105" t="inlineStr">
        <is>
          <t>논산시 상월면 선비로 1079</t>
        </is>
      </c>
      <c r="G95" s="188" t="inlineStr">
        <is>
          <t>⚪ 3순위</t>
        </is>
      </c>
      <c r="H95" s="111" t="n"/>
    </row>
    <row r="96" ht="18" customHeight="1" s="97">
      <c r="A96" s="112" t="n">
        <v>94</v>
      </c>
      <c r="B96" s="113" t="inlineStr">
        <is>
          <t>충남</t>
        </is>
      </c>
      <c r="C96" s="118" t="inlineStr">
        <is>
          <t>보령베이스CC</t>
        </is>
      </c>
      <c r="D96" s="113" t="inlineStr">
        <is>
          <t>대중제</t>
        </is>
      </c>
      <c r="E96" s="112" t="n">
        <v>9</v>
      </c>
      <c r="F96" s="116" t="inlineStr">
        <is>
          <t>보령시 옥마벚길 10</t>
        </is>
      </c>
      <c r="G96" s="188" t="inlineStr">
        <is>
          <t>⚪ 3순위</t>
        </is>
      </c>
      <c r="H96" s="121" t="n"/>
    </row>
    <row r="97" ht="18" customHeight="1" s="97">
      <c r="A97" s="101" t="n">
        <v>95</v>
      </c>
      <c r="B97" s="102" t="inlineStr">
        <is>
          <t>충남</t>
        </is>
      </c>
      <c r="C97" s="107" t="inlineStr">
        <is>
          <t>에스앤 골프리조트</t>
        </is>
      </c>
      <c r="D97" s="102" t="inlineStr">
        <is>
          <t>대중제</t>
        </is>
      </c>
      <c r="E97" s="101" t="n">
        <v>9</v>
      </c>
      <c r="F97" s="105" t="inlineStr">
        <is>
          <t>보령시 남포면 양항리 650-2</t>
        </is>
      </c>
      <c r="G97" s="188" t="inlineStr">
        <is>
          <t>⚪ 3순위</t>
        </is>
      </c>
      <c r="H97" s="111" t="n"/>
    </row>
    <row r="98" ht="18" customHeight="1" s="97">
      <c r="A98" s="112" t="n">
        <v>96</v>
      </c>
      <c r="B98" s="113" t="inlineStr">
        <is>
          <t>충남</t>
        </is>
      </c>
      <c r="C98" s="118" t="inlineStr">
        <is>
          <t>파나시아 골프클럽</t>
        </is>
      </c>
      <c r="D98" s="113" t="inlineStr">
        <is>
          <t>대중제</t>
        </is>
      </c>
      <c r="E98" s="112" t="n">
        <v>9</v>
      </c>
      <c r="F98" s="116" t="inlineStr">
        <is>
          <t>당진시 신평면 계명길 33</t>
        </is>
      </c>
      <c r="G98" s="188" t="inlineStr">
        <is>
          <t>⚪ 3순위</t>
        </is>
      </c>
      <c r="H98" s="121" t="n"/>
    </row>
    <row r="99" ht="18" customHeight="1" s="97">
      <c r="A99" s="101" t="n">
        <v>97</v>
      </c>
      <c r="B99" s="102" t="inlineStr">
        <is>
          <t>충북</t>
        </is>
      </c>
      <c r="C99" s="107" t="inlineStr">
        <is>
          <t>골드나인</t>
        </is>
      </c>
      <c r="D99" s="102" t="inlineStr">
        <is>
          <t>대중제</t>
        </is>
      </c>
      <c r="E99" s="101" t="n">
        <v>9</v>
      </c>
      <c r="F99" s="105" t="inlineStr">
        <is>
          <t>청주시 청원구 낭성면 산성로 1520-17</t>
        </is>
      </c>
      <c r="G99" s="188" t="inlineStr">
        <is>
          <t>⚪ 3순위</t>
        </is>
      </c>
      <c r="H99" s="111" t="n"/>
    </row>
    <row r="100" ht="18" customHeight="1" s="97">
      <c r="A100" s="112" t="n">
        <v>98</v>
      </c>
      <c r="B100" s="113" t="inlineStr">
        <is>
          <t>충북</t>
        </is>
      </c>
      <c r="C100" s="118" t="inlineStr">
        <is>
          <t>에콜리안제천</t>
        </is>
      </c>
      <c r="D100" s="113" t="inlineStr">
        <is>
          <t>대중제</t>
        </is>
      </c>
      <c r="E100" s="112" t="n">
        <v>9</v>
      </c>
      <c r="F100" s="116" t="inlineStr">
        <is>
          <t>제천시 고암동 송학 주천로 102</t>
        </is>
      </c>
      <c r="G100" s="188" t="inlineStr">
        <is>
          <t>⚪ 3순위</t>
        </is>
      </c>
      <c r="H100" s="121" t="n"/>
    </row>
    <row r="101" ht="18" customHeight="1" s="97">
      <c r="A101" s="101" t="n">
        <v>99</v>
      </c>
      <c r="B101" s="102" t="inlineStr">
        <is>
          <t>충북</t>
        </is>
      </c>
      <c r="C101" s="107" t="inlineStr">
        <is>
          <t>오창에딘버러</t>
        </is>
      </c>
      <c r="D101" s="102" t="inlineStr">
        <is>
          <t>대중제</t>
        </is>
      </c>
      <c r="E101" s="101" t="n">
        <v>9</v>
      </c>
      <c r="F101" s="105" t="inlineStr">
        <is>
          <t>청주시 청원구 오창읍 두릉유리로 846</t>
        </is>
      </c>
      <c r="G101" s="188" t="inlineStr">
        <is>
          <t>⚪ 3순위</t>
        </is>
      </c>
      <c r="H101" s="111" t="n"/>
    </row>
    <row r="102" ht="18" customHeight="1" s="97">
      <c r="A102" s="112" t="n">
        <v>100</v>
      </c>
      <c r="B102" s="113" t="inlineStr">
        <is>
          <t>충북</t>
        </is>
      </c>
      <c r="C102" s="118" t="inlineStr">
        <is>
          <t>천룡</t>
        </is>
      </c>
      <c r="D102" s="113" t="inlineStr">
        <is>
          <t>대중제</t>
        </is>
      </c>
      <c r="E102" s="112" t="n">
        <v>9</v>
      </c>
      <c r="F102" s="116" t="inlineStr">
        <is>
          <t>진천군 이월면 진안로 425</t>
        </is>
      </c>
      <c r="G102" s="188" t="inlineStr">
        <is>
          <t>⚪ 3순위</t>
        </is>
      </c>
      <c r="H102" s="121" t="n"/>
    </row>
    <row r="103" ht="18" customHeight="1" s="97">
      <c r="A103" s="101" t="n">
        <v>101</v>
      </c>
      <c r="B103" s="102" t="inlineStr">
        <is>
          <t>강원</t>
        </is>
      </c>
      <c r="C103" s="107" t="inlineStr">
        <is>
          <t>남춘천컨트리클럽</t>
        </is>
      </c>
      <c r="D103" s="102" t="inlineStr">
        <is>
          <t>대중제</t>
        </is>
      </c>
      <c r="E103" s="101" t="n">
        <v>18</v>
      </c>
      <c r="F103" s="105" t="inlineStr">
        <is>
          <t>강원도 춘천시 신동면 오봉길 156</t>
        </is>
      </c>
      <c r="G103" s="189" t="inlineStr">
        <is>
          <t>🔴 1순위</t>
        </is>
      </c>
      <c r="H103" s="111" t="n"/>
    </row>
    <row r="104" ht="18" customHeight="1" s="97">
      <c r="A104" s="112" t="n">
        <v>102</v>
      </c>
      <c r="B104" s="113" t="inlineStr">
        <is>
          <t>강원</t>
        </is>
      </c>
      <c r="C104" s="118" t="inlineStr">
        <is>
          <t>더플레이어스 골프클럽</t>
        </is>
      </c>
      <c r="D104" s="113" t="inlineStr">
        <is>
          <t>대중제</t>
        </is>
      </c>
      <c r="E104" s="112" t="n">
        <v>27</v>
      </c>
      <c r="F104" s="116" t="inlineStr">
        <is>
          <t>강원도 춘천시 동산면 새술막길 438</t>
        </is>
      </c>
      <c r="G104" s="189" t="inlineStr">
        <is>
          <t>🔴 1순위</t>
        </is>
      </c>
      <c r="H104" s="121" t="n"/>
    </row>
    <row r="105" ht="18" customHeight="1" s="97">
      <c r="A105" s="101" t="n">
        <v>103</v>
      </c>
      <c r="B105" s="102" t="inlineStr">
        <is>
          <t>강원</t>
        </is>
      </c>
      <c r="C105" s="107" t="inlineStr">
        <is>
          <t>동원썬밸리컨트리클럽</t>
        </is>
      </c>
      <c r="D105" s="102" t="inlineStr">
        <is>
          <t>대중제</t>
        </is>
      </c>
      <c r="E105" s="101" t="n">
        <v>18</v>
      </c>
      <c r="F105" s="105" t="inlineStr">
        <is>
          <t>강원도 횡성군 서원면 서원서로339번길 90</t>
        </is>
      </c>
      <c r="G105" s="189" t="inlineStr">
        <is>
          <t>🔴 1순위</t>
        </is>
      </c>
      <c r="H105" s="111" t="n"/>
    </row>
    <row r="106" ht="18" customHeight="1" s="97">
      <c r="A106" s="112" t="n">
        <v>104</v>
      </c>
      <c r="B106" s="113" t="inlineStr">
        <is>
          <t>강원</t>
        </is>
      </c>
      <c r="C106" s="118" t="inlineStr">
        <is>
          <t>라비에벨컨트리클럽</t>
        </is>
      </c>
      <c r="D106" s="113" t="inlineStr">
        <is>
          <t>대중제</t>
        </is>
      </c>
      <c r="E106" s="112" t="n">
        <v>36</v>
      </c>
      <c r="F106" s="116" t="inlineStr">
        <is>
          <t>강원도 춘천시 동산면 조양리 산 156강원도 홍천군 북방면 밭치리길 22-40</t>
        </is>
      </c>
      <c r="G106" s="189" t="inlineStr">
        <is>
          <t>🔴 1순위</t>
        </is>
      </c>
      <c r="H106" s="121" t="n"/>
    </row>
    <row r="107" ht="18" customHeight="1" s="97">
      <c r="A107" s="101" t="n">
        <v>105</v>
      </c>
      <c r="B107" s="102" t="inlineStr">
        <is>
          <t>강원</t>
        </is>
      </c>
      <c r="C107" s="107" t="inlineStr">
        <is>
          <t>로드힐스골프클럽</t>
        </is>
      </c>
      <c r="D107" s="102" t="inlineStr">
        <is>
          <t>대중제</t>
        </is>
      </c>
      <c r="E107" s="101" t="n">
        <v>27</v>
      </c>
      <c r="F107" s="105" t="inlineStr">
        <is>
          <t>강원도 춘천시 동산면 종자리로 148-16</t>
        </is>
      </c>
      <c r="G107" s="189" t="inlineStr">
        <is>
          <t>🔴 1순위</t>
        </is>
      </c>
      <c r="H107" s="111" t="n"/>
    </row>
    <row r="108" ht="18" customHeight="1" s="97">
      <c r="A108" s="112" t="n">
        <v>106</v>
      </c>
      <c r="B108" s="113" t="inlineStr">
        <is>
          <t>강원</t>
        </is>
      </c>
      <c r="C108" s="118" t="inlineStr">
        <is>
          <t>메이플비치골프&amp;리조트</t>
        </is>
      </c>
      <c r="D108" s="113" t="inlineStr">
        <is>
          <t>대중제</t>
        </is>
      </c>
      <c r="E108" s="112" t="n">
        <v>18</v>
      </c>
      <c r="F108" s="116" t="inlineStr">
        <is>
          <t>강원도 강릉시 강동면 새목이길 110</t>
        </is>
      </c>
      <c r="G108" s="189" t="inlineStr">
        <is>
          <t>🔴 1순위</t>
        </is>
      </c>
      <c r="H108" s="121" t="n"/>
    </row>
    <row r="109" ht="18" customHeight="1" s="97">
      <c r="A109" s="101" t="n">
        <v>107</v>
      </c>
      <c r="B109" s="102" t="inlineStr">
        <is>
          <t>강원</t>
        </is>
      </c>
      <c r="C109" s="107" t="inlineStr">
        <is>
          <t>베어크리크 춘천</t>
        </is>
      </c>
      <c r="D109" s="102" t="inlineStr">
        <is>
          <t>대중제</t>
        </is>
      </c>
      <c r="E109" s="101" t="n">
        <v>18</v>
      </c>
      <c r="F109" s="105" t="inlineStr">
        <is>
          <t>강원도 춘천시 신동면 혈동리 산49-1</t>
        </is>
      </c>
      <c r="G109" s="189" t="inlineStr">
        <is>
          <t>🔴 1순위</t>
        </is>
      </c>
      <c r="H109" s="111" t="n"/>
    </row>
    <row r="110" ht="18" customHeight="1" s="97">
      <c r="A110" s="112" t="n">
        <v>108</v>
      </c>
      <c r="B110" s="113" t="inlineStr">
        <is>
          <t>강원</t>
        </is>
      </c>
      <c r="C110" s="118" t="inlineStr">
        <is>
          <t>벨라스톤컨트리클럽</t>
        </is>
      </c>
      <c r="D110" s="113" t="inlineStr">
        <is>
          <t>대중제</t>
        </is>
      </c>
      <c r="E110" s="112" t="n">
        <v>18</v>
      </c>
      <c r="F110" s="116" t="inlineStr">
        <is>
          <t>강원도 횡성군 서원면 옥계9길 124</t>
        </is>
      </c>
      <c r="G110" s="189" t="inlineStr">
        <is>
          <t>🔴 1순위</t>
        </is>
      </c>
      <c r="H110" s="121" t="n"/>
    </row>
    <row r="111" ht="18" customHeight="1" s="97">
      <c r="A111" s="101" t="n">
        <v>109</v>
      </c>
      <c r="B111" s="102" t="inlineStr">
        <is>
          <t>강원</t>
        </is>
      </c>
      <c r="C111" s="107" t="inlineStr">
        <is>
          <t>블랙밸리컨트리클럽</t>
        </is>
      </c>
      <c r="D111" s="102" t="inlineStr">
        <is>
          <t>대중제</t>
        </is>
      </c>
      <c r="E111" s="101" t="n">
        <v>18</v>
      </c>
      <c r="F111" s="105" t="inlineStr">
        <is>
          <t>강원도 삼척시 도계읍 도상로 307-84</t>
        </is>
      </c>
      <c r="G111" s="189" t="inlineStr">
        <is>
          <t>🔴 1순위</t>
        </is>
      </c>
      <c r="H111" s="111" t="n"/>
    </row>
    <row r="112" ht="18" customHeight="1" s="97">
      <c r="A112" s="112" t="n">
        <v>110</v>
      </c>
      <c r="B112" s="113" t="inlineStr">
        <is>
          <t>강원</t>
        </is>
      </c>
      <c r="C112" s="118" t="inlineStr">
        <is>
          <t>비콘힐스골프클럽</t>
        </is>
      </c>
      <c r="D112" s="113" t="inlineStr">
        <is>
          <t>대중제</t>
        </is>
      </c>
      <c r="E112" s="112" t="n">
        <v>18</v>
      </c>
      <c r="F112" s="116" t="inlineStr">
        <is>
          <t>강원도 홍천군 홍천읍 높은터로 533</t>
        </is>
      </c>
      <c r="G112" s="189" t="inlineStr">
        <is>
          <t>🔴 1순위</t>
        </is>
      </c>
      <c r="H112" s="121" t="n"/>
    </row>
    <row r="113" ht="18" customHeight="1" s="97">
      <c r="A113" s="101" t="n">
        <v>111</v>
      </c>
      <c r="B113" s="102" t="inlineStr">
        <is>
          <t>강원</t>
        </is>
      </c>
      <c r="C113" s="107" t="inlineStr">
        <is>
          <t>샤인데일골프&amp;리조트</t>
        </is>
      </c>
      <c r="D113" s="102" t="inlineStr">
        <is>
          <t>대중제</t>
        </is>
      </c>
      <c r="E113" s="101" t="n">
        <v>27</v>
      </c>
      <c r="F113" s="105" t="inlineStr">
        <is>
          <t>강원도 홍천군 서면 한서로 247-156</t>
        </is>
      </c>
      <c r="G113" s="189" t="inlineStr">
        <is>
          <t>🔴 1순위</t>
        </is>
      </c>
      <c r="H113" s="111" t="n"/>
    </row>
    <row r="114" ht="18" customHeight="1" s="97">
      <c r="A114" s="112" t="n">
        <v>112</v>
      </c>
      <c r="B114" s="113" t="inlineStr">
        <is>
          <t>강원</t>
        </is>
      </c>
      <c r="C114" s="118" t="inlineStr">
        <is>
          <t>설악썬밸리컨트리클럽</t>
        </is>
      </c>
      <c r="D114" s="113" t="inlineStr">
        <is>
          <t>대중제</t>
        </is>
      </c>
      <c r="E114" s="112" t="n">
        <v>27</v>
      </c>
      <c r="F114" s="116" t="inlineStr">
        <is>
          <t>강원도 고성군 죽왕면 순포로 188</t>
        </is>
      </c>
      <c r="G114" s="189" t="inlineStr">
        <is>
          <t>🔴 1순위</t>
        </is>
      </c>
      <c r="H114" s="121" t="n"/>
    </row>
    <row r="115" ht="18" customHeight="1" s="97">
      <c r="A115" s="101" t="n">
        <v>113</v>
      </c>
      <c r="B115" s="102" t="inlineStr">
        <is>
          <t>강원</t>
        </is>
      </c>
      <c r="C115" s="107" t="inlineStr">
        <is>
          <t>설해원</t>
        </is>
      </c>
      <c r="D115" s="102" t="inlineStr">
        <is>
          <t>대중제</t>
        </is>
      </c>
      <c r="E115" s="101" t="n">
        <v>27</v>
      </c>
      <c r="F115" s="105" t="inlineStr">
        <is>
          <t>강원도 양양군 손양면 공항로 230</t>
        </is>
      </c>
      <c r="G115" s="189" t="inlineStr">
        <is>
          <t>🔴 1순위</t>
        </is>
      </c>
      <c r="H115" s="111" t="n"/>
    </row>
    <row r="116" ht="18" customHeight="1" s="97">
      <c r="A116" s="112" t="n">
        <v>114</v>
      </c>
      <c r="B116" s="113" t="inlineStr">
        <is>
          <t>강원</t>
        </is>
      </c>
      <c r="C116" s="118" t="inlineStr">
        <is>
          <t>설해원 더 레전드 코스</t>
        </is>
      </c>
      <c r="D116" s="113" t="inlineStr">
        <is>
          <t>대중제</t>
        </is>
      </c>
      <c r="E116" s="112" t="n">
        <v>18</v>
      </c>
      <c r="F116" s="116" t="inlineStr">
        <is>
          <t>강원도 양양군 손양면 공항로 230</t>
        </is>
      </c>
      <c r="G116" s="189" t="inlineStr">
        <is>
          <t>🔴 1순위</t>
        </is>
      </c>
      <c r="H116" s="121" t="n"/>
    </row>
    <row r="117" ht="18" customHeight="1" s="97">
      <c r="A117" s="101" t="n">
        <v>115</v>
      </c>
      <c r="B117" s="102" t="inlineStr">
        <is>
          <t>강원</t>
        </is>
      </c>
      <c r="C117" s="107" t="inlineStr">
        <is>
          <t>세이지우드CC홍천</t>
        </is>
      </c>
      <c r="D117" s="102" t="inlineStr">
        <is>
          <t>대중제</t>
        </is>
      </c>
      <c r="E117" s="101" t="n">
        <v>27</v>
      </c>
      <c r="F117" s="105" t="inlineStr">
        <is>
          <t>강원도 홍천군 두촌면 광석로 898-160</t>
        </is>
      </c>
      <c r="G117" s="189" t="inlineStr">
        <is>
          <t>🔴 1순위</t>
        </is>
      </c>
      <c r="H117" s="111" t="n"/>
    </row>
    <row r="118" ht="18" customHeight="1" s="97">
      <c r="A118" s="112" t="n">
        <v>116</v>
      </c>
      <c r="B118" s="113" t="inlineStr">
        <is>
          <t>강원</t>
        </is>
      </c>
      <c r="C118" s="118" t="inlineStr">
        <is>
          <t>센추리21컨트리클럽Ⅱ</t>
        </is>
      </c>
      <c r="D118" s="113" t="inlineStr">
        <is>
          <t>대중제</t>
        </is>
      </c>
      <c r="E118" s="112" t="n">
        <v>18</v>
      </c>
      <c r="F118" s="116" t="inlineStr">
        <is>
          <t>강원도 원주시 문막읍 궁말길 193</t>
        </is>
      </c>
      <c r="G118" s="189" t="inlineStr">
        <is>
          <t>🔴 1순위</t>
        </is>
      </c>
      <c r="H118" s="121" t="n"/>
    </row>
    <row r="119" ht="18" customHeight="1" s="97">
      <c r="A119" s="101" t="n">
        <v>117</v>
      </c>
      <c r="B119" s="102" t="inlineStr">
        <is>
          <t>강원</t>
        </is>
      </c>
      <c r="C119" s="107" t="inlineStr">
        <is>
          <t>소노펠리체 컨트리클럽 델피노</t>
        </is>
      </c>
      <c r="D119" s="102" t="inlineStr">
        <is>
          <t>대중제</t>
        </is>
      </c>
      <c r="E119" s="101" t="n">
        <v>18</v>
      </c>
      <c r="F119" s="105" t="inlineStr">
        <is>
          <t>강원도 고성군 토성면 미시령옛길 1153</t>
        </is>
      </c>
      <c r="G119" s="189" t="inlineStr">
        <is>
          <t>🔴 1순위</t>
        </is>
      </c>
      <c r="H119" s="111" t="n"/>
    </row>
    <row r="120" ht="18" customHeight="1" s="97">
      <c r="A120" s="112" t="n">
        <v>118</v>
      </c>
      <c r="B120" s="113" t="inlineStr">
        <is>
          <t>강원</t>
        </is>
      </c>
      <c r="C120" s="118" t="inlineStr">
        <is>
          <t>소노펠리체 컨트리클럽 비발디파크 웨스트</t>
        </is>
      </c>
      <c r="D120" s="113" t="inlineStr">
        <is>
          <t>대중제</t>
        </is>
      </c>
      <c r="E120" s="112" t="n">
        <v>18</v>
      </c>
      <c r="F120" s="116" t="inlineStr">
        <is>
          <t>강원도 홍천군 서면 한치골길 200</t>
        </is>
      </c>
      <c r="G120" s="189" t="inlineStr">
        <is>
          <t>🔴 1순위</t>
        </is>
      </c>
      <c r="H120" s="121" t="n"/>
    </row>
    <row r="121" ht="18" customHeight="1" s="97">
      <c r="A121" s="101" t="n">
        <v>119</v>
      </c>
      <c r="B121" s="102" t="inlineStr">
        <is>
          <t>강원</t>
        </is>
      </c>
      <c r="C121" s="107" t="inlineStr">
        <is>
          <t>소노펠리체 컨트리클럽 비발디파크 이스트</t>
        </is>
      </c>
      <c r="D121" s="102" t="inlineStr">
        <is>
          <t>대중제</t>
        </is>
      </c>
      <c r="E121" s="101" t="n">
        <v>18</v>
      </c>
      <c r="F121" s="105" t="inlineStr">
        <is>
          <t>강원도 홍천군 서면 한치골길 541-123</t>
        </is>
      </c>
      <c r="G121" s="189" t="inlineStr">
        <is>
          <t>🔴 1순위</t>
        </is>
      </c>
      <c r="H121" s="111" t="n"/>
    </row>
    <row r="122" ht="18" customHeight="1" s="97">
      <c r="A122" s="112" t="n">
        <v>120</v>
      </c>
      <c r="B122" s="113" t="inlineStr">
        <is>
          <t>강원</t>
        </is>
      </c>
      <c r="C122" s="118" t="inlineStr">
        <is>
          <t>알펜시아 700골프클럽</t>
        </is>
      </c>
      <c r="D122" s="113" t="inlineStr">
        <is>
          <t>대중제</t>
        </is>
      </c>
      <c r="E122" s="112" t="n">
        <v>18</v>
      </c>
      <c r="F122" s="116" t="inlineStr">
        <is>
          <t>강원도 평창군 대관령면 솔봉로 325</t>
        </is>
      </c>
      <c r="G122" s="189" t="inlineStr">
        <is>
          <t>🔴 1순위</t>
        </is>
      </c>
      <c r="H122" s="121" t="n"/>
    </row>
    <row r="123" ht="18" customHeight="1" s="97">
      <c r="A123" s="101" t="n">
        <v>121</v>
      </c>
      <c r="B123" s="102" t="inlineStr">
        <is>
          <t>강원</t>
        </is>
      </c>
      <c r="C123" s="107" t="inlineStr">
        <is>
          <t>알프스대영컨트리클럽</t>
        </is>
      </c>
      <c r="D123" s="102" t="inlineStr">
        <is>
          <t>대중제</t>
        </is>
      </c>
      <c r="E123" s="101" t="n">
        <v>18</v>
      </c>
      <c r="F123" s="105" t="inlineStr">
        <is>
          <t>강원도 횡성군 우천면 하우로 1295</t>
        </is>
      </c>
      <c r="G123" s="189" t="inlineStr">
        <is>
          <t>🔴 1순위</t>
        </is>
      </c>
      <c r="H123" s="111" t="n"/>
    </row>
    <row r="124" ht="18" customHeight="1" s="97">
      <c r="A124" s="112" t="n">
        <v>122</v>
      </c>
      <c r="B124" s="113" t="inlineStr">
        <is>
          <t>강원</t>
        </is>
      </c>
      <c r="C124" s="118" t="inlineStr">
        <is>
          <t>에스엘세레스 옥스필드 CC</t>
        </is>
      </c>
      <c r="D124" s="113" t="inlineStr">
        <is>
          <t>대중제</t>
        </is>
      </c>
      <c r="E124" s="112" t="n">
        <v>18</v>
      </c>
      <c r="F124" s="116" t="inlineStr">
        <is>
          <t>강원도 횡성군 서원면 경강로 유현6길 28</t>
        </is>
      </c>
      <c r="G124" s="189" t="inlineStr">
        <is>
          <t>🔴 1순위</t>
        </is>
      </c>
      <c r="H124" s="121" t="n"/>
    </row>
    <row r="125" ht="18" customHeight="1" s="97">
      <c r="A125" s="101" t="n">
        <v>123</v>
      </c>
      <c r="B125" s="102" t="inlineStr">
        <is>
          <t>강원</t>
        </is>
      </c>
      <c r="C125" s="107" t="inlineStr">
        <is>
          <t>오너스골프클럽</t>
        </is>
      </c>
      <c r="D125" s="102" t="inlineStr">
        <is>
          <t>대중제</t>
        </is>
      </c>
      <c r="E125" s="101" t="n">
        <v>18</v>
      </c>
      <c r="F125" s="105" t="inlineStr">
        <is>
          <t>강원도 춘천시 남산면 동촌로 667</t>
        </is>
      </c>
      <c r="G125" s="189" t="inlineStr">
        <is>
          <t>🔴 1순위</t>
        </is>
      </c>
      <c r="H125" s="111" t="n"/>
    </row>
    <row r="126" ht="18" customHeight="1" s="97">
      <c r="A126" s="112" t="n">
        <v>124</v>
      </c>
      <c r="B126" s="113" t="inlineStr">
        <is>
          <t>강원</t>
        </is>
      </c>
      <c r="C126" s="118" t="inlineStr">
        <is>
          <t>오투리조트 C.C</t>
        </is>
      </c>
      <c r="D126" s="113" t="inlineStr">
        <is>
          <t>대중제</t>
        </is>
      </c>
      <c r="E126" s="112" t="n">
        <v>18</v>
      </c>
      <c r="F126" s="116" t="inlineStr">
        <is>
          <t>강원도 태백시 서학로 861</t>
        </is>
      </c>
      <c r="G126" s="189" t="inlineStr">
        <is>
          <t>🔴 1순위</t>
        </is>
      </c>
      <c r="H126" s="121" t="n"/>
    </row>
    <row r="127" ht="18" customHeight="1" s="97">
      <c r="A127" s="101" t="n">
        <v>125</v>
      </c>
      <c r="B127" s="102" t="inlineStr">
        <is>
          <t>강원</t>
        </is>
      </c>
      <c r="C127" s="107" t="inlineStr">
        <is>
          <t>클럽모우골프 &amp;라이프스타일</t>
        </is>
      </c>
      <c r="D127" s="102" t="inlineStr">
        <is>
          <t>대중제</t>
        </is>
      </c>
      <c r="E127" s="101" t="n">
        <v>27</v>
      </c>
      <c r="F127" s="105" t="inlineStr">
        <is>
          <t>강원도 홍천군 서면 장락동길66번길 51</t>
        </is>
      </c>
      <c r="G127" s="189" t="inlineStr">
        <is>
          <t>🔴 1순위</t>
        </is>
      </c>
      <c r="H127" s="111" t="n"/>
    </row>
    <row r="128" ht="18" customHeight="1" s="97">
      <c r="A128" s="112" t="n">
        <v>126</v>
      </c>
      <c r="B128" s="113" t="inlineStr">
        <is>
          <t>강원</t>
        </is>
      </c>
      <c r="C128" s="118" t="inlineStr">
        <is>
          <t>파가니카컨트리클럽</t>
        </is>
      </c>
      <c r="D128" s="113" t="inlineStr">
        <is>
          <t>대중제</t>
        </is>
      </c>
      <c r="E128" s="112" t="n">
        <v>18</v>
      </c>
      <c r="F128" s="116" t="inlineStr">
        <is>
          <t>강원도 춘천시 남면 소주고개로 145-10</t>
        </is>
      </c>
      <c r="G128" s="189" t="inlineStr">
        <is>
          <t>🔴 1순위</t>
        </is>
      </c>
      <c r="H128" s="121" t="n"/>
    </row>
    <row r="129" ht="18" customHeight="1" s="97">
      <c r="A129" s="101" t="n">
        <v>127</v>
      </c>
      <c r="B129" s="102" t="inlineStr">
        <is>
          <t>강원</t>
        </is>
      </c>
      <c r="C129" s="107" t="inlineStr">
        <is>
          <t>파인리즈컨트리클럽</t>
        </is>
      </c>
      <c r="D129" s="102" t="inlineStr">
        <is>
          <t>대중제</t>
        </is>
      </c>
      <c r="E129" s="101" t="n">
        <v>27</v>
      </c>
      <c r="F129" s="105" t="inlineStr">
        <is>
          <t>강원도 고성군 토성면 잼버리동로 267</t>
        </is>
      </c>
      <c r="G129" s="189" t="inlineStr">
        <is>
          <t>🔴 1순위</t>
        </is>
      </c>
      <c r="H129" s="111" t="n"/>
    </row>
    <row r="130" ht="18" customHeight="1" s="97">
      <c r="A130" s="112" t="n">
        <v>128</v>
      </c>
      <c r="B130" s="113" t="inlineStr">
        <is>
          <t>강원</t>
        </is>
      </c>
      <c r="C130" s="118" t="inlineStr">
        <is>
          <t>파인밸리컨트리클럽</t>
        </is>
      </c>
      <c r="D130" s="113" t="inlineStr">
        <is>
          <t>대중제</t>
        </is>
      </c>
      <c r="E130" s="112" t="n">
        <v>18</v>
      </c>
      <c r="F130" s="116" t="inlineStr">
        <is>
          <t>강원도 삼척시 근덕면 미근로 1629</t>
        </is>
      </c>
      <c r="G130" s="189" t="inlineStr">
        <is>
          <t>🔴 1순위</t>
        </is>
      </c>
      <c r="H130" s="121" t="n"/>
    </row>
    <row r="131" ht="18" customHeight="1" s="97">
      <c r="A131" s="101" t="n">
        <v>129</v>
      </c>
      <c r="B131" s="102" t="inlineStr">
        <is>
          <t>강원</t>
        </is>
      </c>
      <c r="C131" s="107" t="inlineStr">
        <is>
          <t>파크밸리골프클럽</t>
        </is>
      </c>
      <c r="D131" s="102" t="inlineStr">
        <is>
          <t>대중제</t>
        </is>
      </c>
      <c r="E131" s="101" t="n">
        <v>18</v>
      </c>
      <c r="F131" s="105" t="inlineStr">
        <is>
          <t>강원도 원주시 소초면 바우실길 281</t>
        </is>
      </c>
      <c r="G131" s="189" t="inlineStr">
        <is>
          <t>🔴 1순위</t>
        </is>
      </c>
      <c r="H131" s="111" t="n"/>
    </row>
    <row r="132" ht="18" customHeight="1" s="97">
      <c r="A132" s="112" t="n">
        <v>130</v>
      </c>
      <c r="B132" s="113" t="inlineStr">
        <is>
          <t>강원</t>
        </is>
      </c>
      <c r="C132" s="118" t="inlineStr">
        <is>
          <t>하이원컨트리클럽</t>
        </is>
      </c>
      <c r="D132" s="113" t="inlineStr">
        <is>
          <t>대중제</t>
        </is>
      </c>
      <c r="E132" s="112" t="n">
        <v>18</v>
      </c>
      <c r="F132" s="116" t="inlineStr">
        <is>
          <t>강원도 정선군 고한읍 하이원길 265</t>
        </is>
      </c>
      <c r="G132" s="189" t="inlineStr">
        <is>
          <t>🔴 1순위</t>
        </is>
      </c>
      <c r="H132" s="121" t="n"/>
    </row>
    <row r="133" ht="18" customHeight="1" s="97">
      <c r="A133" s="101" t="n">
        <v>131</v>
      </c>
      <c r="B133" s="102" t="inlineStr">
        <is>
          <t>강원</t>
        </is>
      </c>
      <c r="C133" s="107" t="inlineStr">
        <is>
          <t>한탄강컨트리클럽</t>
        </is>
      </c>
      <c r="D133" s="102" t="inlineStr">
        <is>
          <t>대중제</t>
        </is>
      </c>
      <c r="E133" s="101" t="n">
        <v>18</v>
      </c>
      <c r="F133" s="105" t="inlineStr">
        <is>
          <t>강원도 철원군 갈말읍 순담길 59</t>
        </is>
      </c>
      <c r="G133" s="189" t="inlineStr">
        <is>
          <t>🔴 1순위</t>
        </is>
      </c>
      <c r="H133" s="111" t="n"/>
    </row>
    <row r="134" ht="18" customHeight="1" s="97">
      <c r="A134" s="112" t="n">
        <v>132</v>
      </c>
      <c r="B134" s="113" t="inlineStr">
        <is>
          <t>강원</t>
        </is>
      </c>
      <c r="C134" s="118" t="inlineStr">
        <is>
          <t>힐드로사이컨트리클럽</t>
        </is>
      </c>
      <c r="D134" s="113" t="inlineStr">
        <is>
          <t>대중제</t>
        </is>
      </c>
      <c r="E134" s="112" t="n">
        <v>18</v>
      </c>
      <c r="F134" s="116" t="inlineStr">
        <is>
          <t>강원도 홍천군 남면 한서로 2840</t>
        </is>
      </c>
      <c r="G134" s="189" t="inlineStr">
        <is>
          <t>🔴 1순위</t>
        </is>
      </c>
      <c r="H134" s="121" t="n"/>
    </row>
    <row r="135" ht="18" customHeight="1" s="97">
      <c r="A135" s="101" t="n">
        <v>133</v>
      </c>
      <c r="B135" s="102" t="inlineStr">
        <is>
          <t>경기</t>
        </is>
      </c>
      <c r="C135" s="136" t="inlineStr">
        <is>
          <t>360도</t>
        </is>
      </c>
      <c r="D135" s="102" t="inlineStr">
        <is>
          <t>대중제</t>
        </is>
      </c>
      <c r="E135" s="101" t="n">
        <v>18</v>
      </c>
      <c r="F135" s="105" t="inlineStr">
        <is>
          <t>여주시 강천면 부평로 609( 강천면 부평리 산59-3 일원)</t>
        </is>
      </c>
      <c r="G135" s="189" t="inlineStr">
        <is>
          <t>🔴 1순위</t>
        </is>
      </c>
      <c r="H135" s="111" t="n"/>
    </row>
    <row r="136" ht="18" customHeight="1" s="97">
      <c r="A136" s="112" t="n">
        <v>134</v>
      </c>
      <c r="B136" s="113" t="inlineStr">
        <is>
          <t>경기</t>
        </is>
      </c>
      <c r="C136" s="126" t="inlineStr">
        <is>
          <t>ROUTE 52CC</t>
        </is>
      </c>
      <c r="D136" s="113" t="inlineStr">
        <is>
          <t>대중제</t>
        </is>
      </c>
      <c r="E136" s="112" t="n">
        <v>18</v>
      </c>
      <c r="F136" s="116" t="inlineStr">
        <is>
          <t>여주시 북내면 중암1길 36</t>
        </is>
      </c>
      <c r="G136" s="189" t="inlineStr">
        <is>
          <t>🔴 1순위</t>
        </is>
      </c>
      <c r="H136" s="121" t="n"/>
    </row>
    <row r="137" ht="18" customHeight="1" s="97">
      <c r="A137" s="101" t="n">
        <v>135</v>
      </c>
      <c r="B137" s="102" t="inlineStr">
        <is>
          <t>경기</t>
        </is>
      </c>
      <c r="C137" s="107" t="inlineStr">
        <is>
          <t>골프존카운티 안성H</t>
        </is>
      </c>
      <c r="D137" s="102" t="inlineStr">
        <is>
          <t>대중제</t>
        </is>
      </c>
      <c r="E137" s="101" t="n">
        <v>18</v>
      </c>
      <c r="F137" s="105" t="inlineStr">
        <is>
          <t>안성시 보개면 보삼로 302</t>
        </is>
      </c>
      <c r="G137" s="189" t="inlineStr">
        <is>
          <t>🔴 1순위</t>
        </is>
      </c>
      <c r="H137" s="111" t="n"/>
    </row>
    <row r="138" ht="18" customHeight="1" s="97">
      <c r="A138" s="112" t="n">
        <v>136</v>
      </c>
      <c r="B138" s="113" t="inlineStr">
        <is>
          <t>경기</t>
        </is>
      </c>
      <c r="C138" s="118" t="inlineStr">
        <is>
          <t>골프클럽Q</t>
        </is>
      </c>
      <c r="D138" s="113" t="inlineStr">
        <is>
          <t>대중제</t>
        </is>
      </c>
      <c r="E138" s="112" t="n">
        <v>18</v>
      </c>
      <c r="F138" s="116" t="inlineStr">
        <is>
          <t>안성시 죽산면 장계길 20-229</t>
        </is>
      </c>
      <c r="G138" s="189" t="inlineStr">
        <is>
          <t>🔴 1순위</t>
        </is>
      </c>
      <c r="H138" s="121" t="n"/>
    </row>
    <row r="139" ht="18" customHeight="1" s="97">
      <c r="A139" s="101" t="n">
        <v>137</v>
      </c>
      <c r="B139" s="102" t="inlineStr">
        <is>
          <t>경기</t>
        </is>
      </c>
      <c r="C139" s="107" t="inlineStr">
        <is>
          <t>남여주</t>
        </is>
      </c>
      <c r="D139" s="102" t="inlineStr">
        <is>
          <t>대중제</t>
        </is>
      </c>
      <c r="E139" s="101" t="n">
        <v>27</v>
      </c>
      <c r="F139" s="105" t="inlineStr">
        <is>
          <t>여주시 가여로 532(여주읍 하거리 산49)</t>
        </is>
      </c>
      <c r="G139" s="189" t="inlineStr">
        <is>
          <t>🔴 1순위</t>
        </is>
      </c>
      <c r="H139" s="111" t="n"/>
    </row>
    <row r="140" ht="18" customHeight="1" s="97">
      <c r="A140" s="112" t="n">
        <v>138</v>
      </c>
      <c r="B140" s="113" t="inlineStr">
        <is>
          <t>경기</t>
        </is>
      </c>
      <c r="C140" s="118" t="inlineStr">
        <is>
          <t>노스팜</t>
        </is>
      </c>
      <c r="D140" s="113" t="inlineStr">
        <is>
          <t>대중제</t>
        </is>
      </c>
      <c r="E140" s="112" t="n">
        <v>18</v>
      </c>
      <c r="F140" s="116" t="inlineStr">
        <is>
          <t>파주시 광탄면 쇠장이길 227</t>
        </is>
      </c>
      <c r="G140" s="189" t="inlineStr">
        <is>
          <t>🔴 1순위</t>
        </is>
      </c>
      <c r="H140" s="121" t="n"/>
    </row>
    <row r="141" ht="18" customHeight="1" s="97">
      <c r="A141" s="101" t="n">
        <v>139</v>
      </c>
      <c r="B141" s="102" t="inlineStr">
        <is>
          <t>경기</t>
        </is>
      </c>
      <c r="C141" s="107" t="inlineStr">
        <is>
          <t>더크로스비골프클럽</t>
        </is>
      </c>
      <c r="D141" s="102" t="inlineStr">
        <is>
          <t>대중제</t>
        </is>
      </c>
      <c r="E141" s="101" t="n">
        <v>27</v>
      </c>
      <c r="F141" s="105" t="inlineStr">
        <is>
          <t>이천시 호법면 중부대로798번길 177</t>
        </is>
      </c>
      <c r="G141" s="189" t="inlineStr">
        <is>
          <t>🔴 1순위</t>
        </is>
      </c>
      <c r="H141" s="111" t="n"/>
    </row>
    <row r="142" ht="18" customHeight="1" s="97">
      <c r="A142" s="112" t="n">
        <v>140</v>
      </c>
      <c r="B142" s="113" t="inlineStr">
        <is>
          <t>경기</t>
        </is>
      </c>
      <c r="C142" s="118" t="inlineStr">
        <is>
          <t>라싸 골프클럽</t>
        </is>
      </c>
      <c r="D142" s="113" t="inlineStr">
        <is>
          <t>대중제</t>
        </is>
      </c>
      <c r="E142" s="112" t="n">
        <v>27</v>
      </c>
      <c r="F142" s="116" t="inlineStr">
        <is>
          <t>포천시 이동면 산142-1번지 일원</t>
        </is>
      </c>
      <c r="G142" s="189" t="inlineStr">
        <is>
          <t>🔴 1순위</t>
        </is>
      </c>
      <c r="H142" s="121" t="n"/>
    </row>
    <row r="143" ht="18" customHeight="1" s="97">
      <c r="A143" s="101" t="n">
        <v>141</v>
      </c>
      <c r="B143" s="102" t="inlineStr">
        <is>
          <t>경기</t>
        </is>
      </c>
      <c r="C143" s="107" t="inlineStr">
        <is>
          <t>루나힐스 안성컨트리클럽</t>
        </is>
      </c>
      <c r="D143" s="102" t="inlineStr">
        <is>
          <t>대중제</t>
        </is>
      </c>
      <c r="E143" s="101" t="n">
        <v>18</v>
      </c>
      <c r="F143" s="105" t="inlineStr">
        <is>
          <t>안성시 양성면 약산길 67-6</t>
        </is>
      </c>
      <c r="G143" s="189" t="inlineStr">
        <is>
          <t>🔴 1순위</t>
        </is>
      </c>
      <c r="H143" s="111" t="n"/>
    </row>
    <row r="144" ht="18" customHeight="1" s="97">
      <c r="A144" s="112" t="n">
        <v>142</v>
      </c>
      <c r="B144" s="113" t="inlineStr">
        <is>
          <t>경기</t>
        </is>
      </c>
      <c r="C144" s="118" t="inlineStr">
        <is>
          <t>리앤리C.C</t>
        </is>
      </c>
      <c r="D144" s="113" t="inlineStr">
        <is>
          <t>대중제</t>
        </is>
      </c>
      <c r="E144" s="112" t="n">
        <v>27</v>
      </c>
      <c r="F144" s="116" t="inlineStr">
        <is>
          <t>가평군 조종면 운악청계로 702-24</t>
        </is>
      </c>
      <c r="G144" s="189" t="inlineStr">
        <is>
          <t>🔴 1순위</t>
        </is>
      </c>
      <c r="H144" s="121" t="n"/>
    </row>
    <row r="145" ht="18" customHeight="1" s="97">
      <c r="A145" s="101" t="n">
        <v>143</v>
      </c>
      <c r="B145" s="102" t="inlineStr">
        <is>
          <t>경기</t>
        </is>
      </c>
      <c r="C145" s="107" t="inlineStr">
        <is>
          <t>마에스트로 CC</t>
        </is>
      </c>
      <c r="D145" s="102" t="inlineStr">
        <is>
          <t>대중제</t>
        </is>
      </c>
      <c r="E145" s="101" t="n">
        <v>18</v>
      </c>
      <c r="F145" s="105" t="inlineStr">
        <is>
          <t>안성시 양성면 안성맞춤대로 2134-36</t>
        </is>
      </c>
      <c r="G145" s="189" t="inlineStr">
        <is>
          <t>🔴 1순위</t>
        </is>
      </c>
      <c r="H145" s="111" t="n"/>
    </row>
    <row r="146" ht="18" customHeight="1" s="97">
      <c r="A146" s="112" t="n">
        <v>144</v>
      </c>
      <c r="B146" s="113" t="inlineStr">
        <is>
          <t>경기</t>
        </is>
      </c>
      <c r="C146" s="118" t="inlineStr">
        <is>
          <t>베뉴지C.C</t>
        </is>
      </c>
      <c r="D146" s="113" t="inlineStr">
        <is>
          <t>대중제</t>
        </is>
      </c>
      <c r="E146" s="112" t="n">
        <v>27</v>
      </c>
      <c r="F146" s="116" t="inlineStr">
        <is>
          <t>가평군 가평읍 용추로 171번길 100</t>
        </is>
      </c>
      <c r="G146" s="189" t="inlineStr">
        <is>
          <t>🔴 1순위</t>
        </is>
      </c>
      <c r="H146" s="121" t="n"/>
    </row>
    <row r="147" ht="18" customHeight="1" s="97">
      <c r="A147" s="101" t="n">
        <v>145</v>
      </c>
      <c r="B147" s="102" t="inlineStr">
        <is>
          <t>경기</t>
        </is>
      </c>
      <c r="C147" s="107" t="inlineStr">
        <is>
          <t>베어크리크골프클럽</t>
        </is>
      </c>
      <c r="D147" s="102" t="inlineStr">
        <is>
          <t>대중제</t>
        </is>
      </c>
      <c r="E147" s="101" t="n">
        <v>36</v>
      </c>
      <c r="F147" s="105" t="inlineStr">
        <is>
          <t>포천시 화현면 달인동로 35</t>
        </is>
      </c>
      <c r="G147" s="189" t="inlineStr">
        <is>
          <t>🔴 1순위</t>
        </is>
      </c>
      <c r="H147" s="111" t="n"/>
    </row>
    <row r="148" ht="18" customHeight="1" s="97">
      <c r="A148" s="112" t="n">
        <v>146</v>
      </c>
      <c r="B148" s="113" t="inlineStr">
        <is>
          <t>경기</t>
        </is>
      </c>
      <c r="C148" s="118" t="inlineStr">
        <is>
          <t>사우스스프링스C.C.</t>
        </is>
      </c>
      <c r="D148" s="113" t="inlineStr">
        <is>
          <t>대중제</t>
        </is>
      </c>
      <c r="E148" s="112" t="n">
        <v>18</v>
      </c>
      <c r="F148" s="116" t="inlineStr">
        <is>
          <t>이천시 모가면 공원로 64</t>
        </is>
      </c>
      <c r="G148" s="189" t="inlineStr">
        <is>
          <t>🔴 1순위</t>
        </is>
      </c>
      <c r="H148" s="121" t="n"/>
    </row>
    <row r="149" ht="18" customHeight="1" s="97">
      <c r="A149" s="101" t="n">
        <v>147</v>
      </c>
      <c r="B149" s="102" t="inlineStr">
        <is>
          <t>경기</t>
        </is>
      </c>
      <c r="C149" s="107" t="inlineStr">
        <is>
          <t>상록GC</t>
        </is>
      </c>
      <c r="D149" s="102" t="inlineStr">
        <is>
          <t>대중제</t>
        </is>
      </c>
      <c r="E149" s="101" t="n">
        <v>27</v>
      </c>
      <c r="F149" s="105" t="inlineStr">
        <is>
          <t>화성시 동탄면 풀무골로60번길 80</t>
        </is>
      </c>
      <c r="G149" s="189" t="inlineStr">
        <is>
          <t>🔴 1순위</t>
        </is>
      </c>
      <c r="H149" s="111" t="n"/>
    </row>
    <row r="150" ht="18" customHeight="1" s="97">
      <c r="A150" s="112" t="n">
        <v>148</v>
      </c>
      <c r="B150" s="113" t="inlineStr">
        <is>
          <t>경기</t>
        </is>
      </c>
      <c r="C150" s="118" t="inlineStr">
        <is>
          <t>샴발라 컨트리클럽</t>
        </is>
      </c>
      <c r="D150" s="113" t="inlineStr">
        <is>
          <t>대중제</t>
        </is>
      </c>
      <c r="E150" s="112" t="n">
        <v>18</v>
      </c>
      <c r="F150" s="116" t="inlineStr">
        <is>
          <t>포천시 군내면 직두리 산1-1번지 일원</t>
        </is>
      </c>
      <c r="G150" s="189" t="inlineStr">
        <is>
          <t>🔴 1순위</t>
        </is>
      </c>
      <c r="H150" s="121" t="n"/>
    </row>
    <row r="151" ht="18" customHeight="1" s="97">
      <c r="A151" s="101" t="n">
        <v>149</v>
      </c>
      <c r="B151" s="102" t="inlineStr">
        <is>
          <t>경기</t>
        </is>
      </c>
      <c r="C151" s="107" t="inlineStr">
        <is>
          <t>세라지오GC</t>
        </is>
      </c>
      <c r="D151" s="102" t="inlineStr">
        <is>
          <t>대중제</t>
        </is>
      </c>
      <c r="E151" s="101" t="n">
        <v>18</v>
      </c>
      <c r="F151" s="105" t="inlineStr">
        <is>
          <t>여주시 여양로 530(북내면 신남리 산30-2)</t>
        </is>
      </c>
      <c r="G151" s="189" t="inlineStr">
        <is>
          <t>🔴 1순위</t>
        </is>
      </c>
      <c r="H151" s="111" t="n"/>
    </row>
    <row r="152" ht="18" customHeight="1" s="97">
      <c r="A152" s="112" t="n">
        <v>150</v>
      </c>
      <c r="B152" s="113" t="inlineStr">
        <is>
          <t>경기</t>
        </is>
      </c>
      <c r="C152" s="118" t="inlineStr">
        <is>
          <t>세현CC</t>
        </is>
      </c>
      <c r="D152" s="113" t="inlineStr">
        <is>
          <t>대중제</t>
        </is>
      </c>
      <c r="E152" s="112" t="n">
        <v>18</v>
      </c>
      <c r="F152" s="116" t="inlineStr">
        <is>
          <t>용인시 처인구 이동읍 백자로 450</t>
        </is>
      </c>
      <c r="G152" s="189" t="inlineStr">
        <is>
          <t>🔴 1순위</t>
        </is>
      </c>
      <c r="H152" s="121" t="n"/>
    </row>
    <row r="153" ht="18" customHeight="1" s="97">
      <c r="A153" s="101" t="n">
        <v>151</v>
      </c>
      <c r="B153" s="102" t="inlineStr">
        <is>
          <t>경기</t>
        </is>
      </c>
      <c r="C153" s="107" t="inlineStr">
        <is>
          <t>소피아그린</t>
        </is>
      </c>
      <c r="D153" s="102" t="inlineStr">
        <is>
          <t>대중제</t>
        </is>
      </c>
      <c r="E153" s="101" t="n">
        <v>27</v>
      </c>
      <c r="F153" s="105" t="inlineStr">
        <is>
          <t>여주시 점동면 소피아그린길 84(점동면 현수리 산13)</t>
        </is>
      </c>
      <c r="G153" s="189" t="inlineStr">
        <is>
          <t>🔴 1순위</t>
        </is>
      </c>
      <c r="H153" s="111" t="n"/>
    </row>
    <row r="154" ht="18" customHeight="1" s="97">
      <c r="A154" s="112" t="n">
        <v>152</v>
      </c>
      <c r="B154" s="113" t="inlineStr">
        <is>
          <t>경기</t>
        </is>
      </c>
      <c r="C154" s="118" t="inlineStr">
        <is>
          <t>솔트베이 골프클럽</t>
        </is>
      </c>
      <c r="D154" s="113" t="inlineStr">
        <is>
          <t>대중제</t>
        </is>
      </c>
      <c r="E154" s="112" t="n">
        <v>18</v>
      </c>
      <c r="F154" s="116" t="inlineStr">
        <is>
          <t>시흥시 마유로 987 (장곡동)</t>
        </is>
      </c>
      <c r="G154" s="189" t="inlineStr">
        <is>
          <t>🔴 1순위</t>
        </is>
      </c>
      <c r="H154" s="121" t="n"/>
    </row>
    <row r="155" ht="18" customHeight="1" s="97">
      <c r="A155" s="101" t="n">
        <v>153</v>
      </c>
      <c r="B155" s="102" t="inlineStr">
        <is>
          <t>경기</t>
        </is>
      </c>
      <c r="C155" s="107" t="inlineStr">
        <is>
          <t>스마트KU골프 파빌리온</t>
        </is>
      </c>
      <c r="D155" s="102" t="inlineStr">
        <is>
          <t>대중제</t>
        </is>
      </c>
      <c r="E155" s="101" t="n">
        <v>27</v>
      </c>
      <c r="F155" s="105" t="inlineStr">
        <is>
          <t>파주시 법원읍 보광로 1616</t>
        </is>
      </c>
      <c r="G155" s="189" t="inlineStr">
        <is>
          <t>🔴 1순위</t>
        </is>
      </c>
      <c r="H155" s="111" t="n"/>
    </row>
    <row r="156" ht="18" customHeight="1" s="97">
      <c r="A156" s="112" t="n">
        <v>154</v>
      </c>
      <c r="B156" s="113" t="inlineStr">
        <is>
          <t>경기</t>
        </is>
      </c>
      <c r="C156" s="118" t="inlineStr">
        <is>
          <t>신라</t>
        </is>
      </c>
      <c r="D156" s="113" t="inlineStr">
        <is>
          <t>대중제</t>
        </is>
      </c>
      <c r="E156" s="112" t="n">
        <v>27</v>
      </c>
      <c r="F156" s="116" t="inlineStr">
        <is>
          <t>여주시 북내면 신라그린길 84(북내면 덕산리 산3-1)</t>
        </is>
      </c>
      <c r="G156" s="189" t="inlineStr">
        <is>
          <t>🔴 1순위</t>
        </is>
      </c>
      <c r="H156" s="121" t="n"/>
    </row>
    <row r="157" ht="18" customHeight="1" s="97">
      <c r="A157" s="101" t="n">
        <v>155</v>
      </c>
      <c r="B157" s="102" t="inlineStr">
        <is>
          <t>경기</t>
        </is>
      </c>
      <c r="C157" s="107" t="inlineStr">
        <is>
          <t>실크밸리G.C.</t>
        </is>
      </c>
      <c r="D157" s="102" t="inlineStr">
        <is>
          <t>대중제</t>
        </is>
      </c>
      <c r="E157" s="101" t="n">
        <v>27</v>
      </c>
      <c r="F157" s="105" t="inlineStr">
        <is>
          <t>이천시 율면 임오산로 200번길 56-222</t>
        </is>
      </c>
      <c r="G157" s="189" t="inlineStr">
        <is>
          <t>🔴 1순위</t>
        </is>
      </c>
      <c r="H157" s="111" t="n"/>
    </row>
    <row r="158" ht="18" customHeight="1" s="97">
      <c r="A158" s="112" t="n">
        <v>156</v>
      </c>
      <c r="B158" s="113" t="inlineStr">
        <is>
          <t>경기</t>
        </is>
      </c>
      <c r="C158" s="118" t="inlineStr">
        <is>
          <t>써닝포인트CC</t>
        </is>
      </c>
      <c r="D158" s="113" t="inlineStr">
        <is>
          <t>대중제</t>
        </is>
      </c>
      <c r="E158" s="112" t="n">
        <v>18</v>
      </c>
      <c r="F158" s="116" t="inlineStr">
        <is>
          <t>용인시 처인구 백암면 고안로 51번길 205</t>
        </is>
      </c>
      <c r="G158" s="189" t="inlineStr">
        <is>
          <t>🔴 1순위</t>
        </is>
      </c>
      <c r="H158" s="121" t="n"/>
    </row>
    <row r="159" ht="18" customHeight="1" s="97">
      <c r="A159" s="101" t="n">
        <v>157</v>
      </c>
      <c r="B159" s="102" t="inlineStr">
        <is>
          <t>경기</t>
        </is>
      </c>
      <c r="C159" s="107" t="inlineStr">
        <is>
          <t>썬힐대중G.C</t>
        </is>
      </c>
      <c r="D159" s="102" t="inlineStr">
        <is>
          <t>대중제</t>
        </is>
      </c>
      <c r="E159" s="101" t="n">
        <v>18</v>
      </c>
      <c r="F159" s="105" t="inlineStr">
        <is>
          <t>가평군 조종면 운악청계로589번길 73</t>
        </is>
      </c>
      <c r="G159" s="189" t="inlineStr">
        <is>
          <t>🔴 1순위</t>
        </is>
      </c>
      <c r="H159" s="111" t="n"/>
    </row>
    <row r="160" ht="18" customHeight="1" s="97">
      <c r="A160" s="112" t="n">
        <v>158</v>
      </c>
      <c r="B160" s="113" t="inlineStr">
        <is>
          <t>경기</t>
        </is>
      </c>
      <c r="C160" s="118" t="inlineStr">
        <is>
          <t>아리지</t>
        </is>
      </c>
      <c r="D160" s="113" t="inlineStr">
        <is>
          <t>대중제</t>
        </is>
      </c>
      <c r="E160" s="112" t="n">
        <v>27</v>
      </c>
      <c r="F160" s="116" t="inlineStr">
        <is>
          <t>여주시 가남읍 아리지그린길 68(가남면 안금리 산103, 양귀리 산10 일원)</t>
        </is>
      </c>
      <c r="G160" s="189" t="inlineStr">
        <is>
          <t>🔴 1순위</t>
        </is>
      </c>
      <c r="H160" s="121" t="n"/>
    </row>
    <row r="161" ht="18" customHeight="1" s="97">
      <c r="A161" s="101" t="n">
        <v>159</v>
      </c>
      <c r="B161" s="102" t="inlineStr">
        <is>
          <t>경기</t>
        </is>
      </c>
      <c r="C161" s="107" t="inlineStr">
        <is>
          <t>아일랜드㈜</t>
        </is>
      </c>
      <c r="D161" s="102" t="inlineStr">
        <is>
          <t>대중제</t>
        </is>
      </c>
      <c r="E161" s="101" t="n">
        <v>27</v>
      </c>
      <c r="F161" s="105" t="inlineStr">
        <is>
          <t>안산시 단원구 대선로466(대부남동)</t>
        </is>
      </c>
      <c r="G161" s="189" t="inlineStr">
        <is>
          <t>🔴 1순위</t>
        </is>
      </c>
      <c r="H161" s="111" t="n"/>
    </row>
    <row r="162" ht="18" customHeight="1" s="97">
      <c r="A162" s="112" t="n">
        <v>160</v>
      </c>
      <c r="B162" s="113" t="inlineStr">
        <is>
          <t>경기</t>
        </is>
      </c>
      <c r="C162" s="118" t="inlineStr">
        <is>
          <t>양지파인CC</t>
        </is>
      </c>
      <c r="D162" s="113" t="inlineStr">
        <is>
          <t>대중제</t>
        </is>
      </c>
      <c r="E162" s="112" t="n">
        <v>27</v>
      </c>
      <c r="F162" s="116" t="inlineStr">
        <is>
          <t>용인시 처인구 양지면 남평로 112</t>
        </is>
      </c>
      <c r="G162" s="189" t="inlineStr">
        <is>
          <t>🔴 1순위</t>
        </is>
      </c>
      <c r="H162" s="121" t="n"/>
    </row>
    <row r="163" ht="18" customHeight="1" s="97">
      <c r="A163" s="101" t="n">
        <v>161</v>
      </c>
      <c r="B163" s="102" t="inlineStr">
        <is>
          <t>경기</t>
        </is>
      </c>
      <c r="C163" s="107" t="inlineStr">
        <is>
          <t>에덴블루 컨트리클럽</t>
        </is>
      </c>
      <c r="D163" s="102" t="inlineStr">
        <is>
          <t>대중제</t>
        </is>
      </c>
      <c r="E163" s="101" t="n">
        <v>27</v>
      </c>
      <c r="F163" s="105" t="inlineStr">
        <is>
          <t>안성시 죽산면 장능리 산160</t>
        </is>
      </c>
      <c r="G163" s="189" t="inlineStr">
        <is>
          <t>🔴 1순위</t>
        </is>
      </c>
      <c r="H163" s="111" t="n"/>
    </row>
    <row r="164" ht="18" customHeight="1" s="97">
      <c r="A164" s="112" t="n">
        <v>162</v>
      </c>
      <c r="B164" s="113" t="inlineStr">
        <is>
          <t>경기</t>
        </is>
      </c>
      <c r="C164" s="118" t="inlineStr">
        <is>
          <t>윈체스트 골프클럽 대중</t>
        </is>
      </c>
      <c r="D164" s="113" t="inlineStr">
        <is>
          <t>대중제</t>
        </is>
      </c>
      <c r="E164" s="112" t="n">
        <v>18</v>
      </c>
      <c r="F164" s="116" t="inlineStr">
        <is>
          <t>안성시 서운면 오촌길 97-31</t>
        </is>
      </c>
      <c r="G164" s="189" t="inlineStr">
        <is>
          <t>🔴 1순위</t>
        </is>
      </c>
      <c r="H164" s="121" t="n"/>
    </row>
    <row r="165" ht="18" customHeight="1" s="97">
      <c r="A165" s="101" t="n">
        <v>163</v>
      </c>
      <c r="B165" s="102" t="inlineStr">
        <is>
          <t>경기</t>
        </is>
      </c>
      <c r="C165" s="107" t="inlineStr">
        <is>
          <t>이천마이다스골프앤리조트</t>
        </is>
      </c>
      <c r="D165" s="102" t="inlineStr">
        <is>
          <t>대중제</t>
        </is>
      </c>
      <c r="E165" s="101" t="n">
        <v>27</v>
      </c>
      <c r="F165" s="105" t="inlineStr">
        <is>
          <t>이천시 설성면 설가로 602</t>
        </is>
      </c>
      <c r="G165" s="189" t="inlineStr">
        <is>
          <t>🔴 1순위</t>
        </is>
      </c>
      <c r="H165" s="111" t="n"/>
    </row>
    <row r="166" ht="18" customHeight="1" s="97">
      <c r="A166" s="112" t="n">
        <v>164</v>
      </c>
      <c r="B166" s="113" t="inlineStr">
        <is>
          <t>경기</t>
        </is>
      </c>
      <c r="C166" s="118" t="inlineStr">
        <is>
          <t>자유로컨트리클럽</t>
        </is>
      </c>
      <c r="D166" s="113" t="inlineStr">
        <is>
          <t>대중제</t>
        </is>
      </c>
      <c r="E166" s="112" t="n">
        <v>27</v>
      </c>
      <c r="F166" s="116" t="inlineStr">
        <is>
          <t>연천군 백학면 노아로297번길 179-55</t>
        </is>
      </c>
      <c r="G166" s="189" t="inlineStr">
        <is>
          <t>🔴 1순위</t>
        </is>
      </c>
      <c r="H166" s="121" t="n"/>
    </row>
    <row r="167" ht="18" customHeight="1" s="97">
      <c r="A167" s="101" t="n">
        <v>165</v>
      </c>
      <c r="B167" s="102" t="inlineStr">
        <is>
          <t>경기</t>
        </is>
      </c>
      <c r="C167" s="107" t="inlineStr">
        <is>
          <t>참밸리 컨트리클럽</t>
        </is>
      </c>
      <c r="D167" s="102" t="inlineStr">
        <is>
          <t>대중제</t>
        </is>
      </c>
      <c r="E167" s="101" t="n">
        <v>18</v>
      </c>
      <c r="F167" s="105" t="inlineStr">
        <is>
          <t>포천시 삼육사로 1978 / 설운동 603번지 일원</t>
        </is>
      </c>
      <c r="G167" s="189" t="inlineStr">
        <is>
          <t>🔴 1순위</t>
        </is>
      </c>
      <c r="H167" s="111" t="n"/>
    </row>
    <row r="168" ht="18" customHeight="1" s="97">
      <c r="A168" s="112" t="n">
        <v>166</v>
      </c>
      <c r="B168" s="113" t="inlineStr">
        <is>
          <t>경기</t>
        </is>
      </c>
      <c r="C168" s="118" t="inlineStr">
        <is>
          <t>캐슬파인</t>
        </is>
      </c>
      <c r="D168" s="113" t="inlineStr">
        <is>
          <t>대중제</t>
        </is>
      </c>
      <c r="E168" s="112" t="n">
        <v>18</v>
      </c>
      <c r="F168" s="116" t="inlineStr">
        <is>
          <t>여주시 강천면 부평로 580(강천면 부평리 산47-1)</t>
        </is>
      </c>
      <c r="G168" s="189" t="inlineStr">
        <is>
          <t>🔴 1순위</t>
        </is>
      </c>
      <c r="H168" s="121" t="n"/>
    </row>
    <row r="169" ht="18" customHeight="1" s="97">
      <c r="A169" s="101" t="n">
        <v>167</v>
      </c>
      <c r="B169" s="102" t="inlineStr">
        <is>
          <t>경기</t>
        </is>
      </c>
      <c r="C169" s="107" t="inlineStr">
        <is>
          <t>큐로CC</t>
        </is>
      </c>
      <c r="D169" s="102" t="inlineStr">
        <is>
          <t>대중제</t>
        </is>
      </c>
      <c r="E169" s="101" t="n">
        <v>27</v>
      </c>
      <c r="F169" s="105" t="inlineStr">
        <is>
          <t>광주시 곤지암읍 오항길 180</t>
        </is>
      </c>
      <c r="G169" s="189" t="inlineStr">
        <is>
          <t>🔴 1순위</t>
        </is>
      </c>
      <c r="H169" s="111" t="n"/>
    </row>
    <row r="170" ht="18" customHeight="1" s="97">
      <c r="A170" s="112" t="n">
        <v>168</v>
      </c>
      <c r="B170" s="113" t="inlineStr">
        <is>
          <t>경기</t>
        </is>
      </c>
      <c r="C170" s="118" t="inlineStr">
        <is>
          <t>타이거CC 골프장</t>
        </is>
      </c>
      <c r="D170" s="113" t="inlineStr">
        <is>
          <t>대중제</t>
        </is>
      </c>
      <c r="E170" s="112" t="n">
        <v>18</v>
      </c>
      <c r="F170" s="116" t="inlineStr">
        <is>
          <t>파주시 파평면 덕천리 산1-4번지</t>
        </is>
      </c>
      <c r="G170" s="189" t="inlineStr">
        <is>
          <t>🔴 1순위</t>
        </is>
      </c>
      <c r="H170" s="121" t="n"/>
    </row>
    <row r="171" ht="18" customHeight="1" s="97">
      <c r="A171" s="101" t="n">
        <v>169</v>
      </c>
      <c r="B171" s="102" t="inlineStr">
        <is>
          <t>경기</t>
        </is>
      </c>
      <c r="C171" s="107" t="inlineStr">
        <is>
          <t>파인크리크C.C</t>
        </is>
      </c>
      <c r="D171" s="102" t="inlineStr">
        <is>
          <t>대중제</t>
        </is>
      </c>
      <c r="E171" s="101" t="n">
        <v>27</v>
      </c>
      <c r="F171" s="105" t="inlineStr">
        <is>
          <t>안성시 양성면 안성맞춤대로 2417-13</t>
        </is>
      </c>
      <c r="G171" s="189" t="inlineStr">
        <is>
          <t>🔴 1순위</t>
        </is>
      </c>
      <c r="H171" s="111" t="n"/>
    </row>
    <row r="172" ht="18" customHeight="1" s="97">
      <c r="A172" s="112" t="n">
        <v>170</v>
      </c>
      <c r="B172" s="113" t="inlineStr">
        <is>
          <t>경기</t>
        </is>
      </c>
      <c r="C172" s="118" t="inlineStr">
        <is>
          <t>파주CC</t>
        </is>
      </c>
      <c r="D172" s="113" t="inlineStr">
        <is>
          <t>대중제</t>
        </is>
      </c>
      <c r="E172" s="112" t="n">
        <v>18</v>
      </c>
      <c r="F172" s="116" t="inlineStr">
        <is>
          <t>파주시 법원읍 화합로 306</t>
        </is>
      </c>
      <c r="G172" s="189" t="inlineStr">
        <is>
          <t>🔴 1순위</t>
        </is>
      </c>
      <c r="H172" s="121" t="n"/>
    </row>
    <row r="173" ht="18" customHeight="1" s="97">
      <c r="A173" s="101" t="n">
        <v>171</v>
      </c>
      <c r="B173" s="102" t="inlineStr">
        <is>
          <t>경기</t>
        </is>
      </c>
      <c r="C173" s="107" t="inlineStr">
        <is>
          <t>페럼</t>
        </is>
      </c>
      <c r="D173" s="102" t="inlineStr">
        <is>
          <t>대중제</t>
        </is>
      </c>
      <c r="E173" s="101" t="n">
        <v>18</v>
      </c>
      <c r="F173" s="105" t="inlineStr">
        <is>
          <t>여주시 점동면 점동로 181(점동면 사곡리 산16-10)</t>
        </is>
      </c>
      <c r="G173" s="189" t="inlineStr">
        <is>
          <t>🔴 1순위</t>
        </is>
      </c>
      <c r="H173" s="111" t="n"/>
    </row>
    <row r="174" ht="18" customHeight="1" s="97">
      <c r="A174" s="112" t="n">
        <v>172</v>
      </c>
      <c r="B174" s="113" t="inlineStr">
        <is>
          <t>경기</t>
        </is>
      </c>
      <c r="C174" s="118" t="inlineStr">
        <is>
          <t>포레스트힐 C.C</t>
        </is>
      </c>
      <c r="D174" s="113" t="inlineStr">
        <is>
          <t>대중제</t>
        </is>
      </c>
      <c r="E174" s="112" t="n">
        <v>24</v>
      </c>
      <c r="F174" s="116" t="inlineStr">
        <is>
          <t>포천시 화현면 명덕리 178-1번지</t>
        </is>
      </c>
      <c r="G174" s="189" t="inlineStr">
        <is>
          <t>🔴 1순위</t>
        </is>
      </c>
      <c r="H174" s="121" t="n"/>
    </row>
    <row r="175" ht="18" customHeight="1" s="97">
      <c r="A175" s="101" t="n">
        <v>173</v>
      </c>
      <c r="B175" s="102" t="inlineStr">
        <is>
          <t>경기</t>
        </is>
      </c>
      <c r="C175" s="107" t="inlineStr">
        <is>
          <t>포천힐스컨트리클럽</t>
        </is>
      </c>
      <c r="D175" s="102" t="inlineStr">
        <is>
          <t>대중제</t>
        </is>
      </c>
      <c r="E175" s="101" t="n">
        <v>27</v>
      </c>
      <c r="F175" s="105" t="inlineStr">
        <is>
          <t>포천시 군내면 반월산성로 375번길 34</t>
        </is>
      </c>
      <c r="G175" s="189" t="inlineStr">
        <is>
          <t>🔴 1순위</t>
        </is>
      </c>
      <c r="H175" s="111" t="n"/>
    </row>
    <row r="176" ht="18" customHeight="1" s="97">
      <c r="A176" s="112" t="n">
        <v>174</v>
      </c>
      <c r="B176" s="113" t="inlineStr">
        <is>
          <t>경기</t>
        </is>
      </c>
      <c r="C176" s="118" t="inlineStr">
        <is>
          <t>푸른솔 골프클럽포천</t>
        </is>
      </c>
      <c r="D176" s="113" t="inlineStr">
        <is>
          <t>대중제</t>
        </is>
      </c>
      <c r="E176" s="112" t="n">
        <v>27</v>
      </c>
      <c r="F176" s="116" t="inlineStr">
        <is>
          <t>포천시 가산면 금우로276</t>
        </is>
      </c>
      <c r="G176" s="189" t="inlineStr">
        <is>
          <t>🔴 1순위</t>
        </is>
      </c>
      <c r="H176" s="121" t="n"/>
    </row>
    <row r="177" ht="18" customHeight="1" s="97">
      <c r="A177" s="101" t="n">
        <v>175</v>
      </c>
      <c r="B177" s="102" t="inlineStr">
        <is>
          <t>경기</t>
        </is>
      </c>
      <c r="C177" s="107" t="inlineStr">
        <is>
          <t>필로스골프클럽</t>
        </is>
      </c>
      <c r="D177" s="102" t="inlineStr">
        <is>
          <t>대중제</t>
        </is>
      </c>
      <c r="E177" s="101" t="n">
        <v>27</v>
      </c>
      <c r="F177" s="105" t="inlineStr">
        <is>
          <t>포천시 일동면 운악청계로 1507/ 포천시 일동면 기산리 (산) 142-1</t>
        </is>
      </c>
      <c r="G177" s="189" t="inlineStr">
        <is>
          <t>🔴 1순위</t>
        </is>
      </c>
      <c r="H177" s="111" t="n"/>
    </row>
    <row r="178" ht="18" customHeight="1" s="97">
      <c r="A178" s="112" t="n">
        <v>176</v>
      </c>
      <c r="B178" s="113" t="inlineStr">
        <is>
          <t>경기</t>
        </is>
      </c>
      <c r="C178" s="118" t="inlineStr">
        <is>
          <t>한림용인CC</t>
        </is>
      </c>
      <c r="D178" s="113" t="inlineStr">
        <is>
          <t>대중제</t>
        </is>
      </c>
      <c r="E178" s="112" t="n">
        <v>27</v>
      </c>
      <c r="F178" s="116" t="inlineStr">
        <is>
          <t>용인시 처인구 남사읍 경기동로 628</t>
        </is>
      </c>
      <c r="G178" s="189" t="inlineStr">
        <is>
          <t>🔴 1순위</t>
        </is>
      </c>
      <c r="H178" s="121" t="n"/>
    </row>
    <row r="179" ht="18" customHeight="1" s="97">
      <c r="A179" s="101" t="n">
        <v>177</v>
      </c>
      <c r="B179" s="102" t="inlineStr">
        <is>
          <t>경기</t>
        </is>
      </c>
      <c r="C179" s="107" t="inlineStr">
        <is>
          <t>해솔리아CC</t>
        </is>
      </c>
      <c r="D179" s="102" t="inlineStr">
        <is>
          <t>대중제</t>
        </is>
      </c>
      <c r="E179" s="101" t="n">
        <v>27</v>
      </c>
      <c r="F179" s="105" t="inlineStr">
        <is>
          <t>용인시 처인구 이동읍 백자로 297번길 74</t>
        </is>
      </c>
      <c r="G179" s="189" t="inlineStr">
        <is>
          <t>🔴 1순위</t>
        </is>
      </c>
      <c r="H179" s="111" t="n"/>
    </row>
    <row r="180" ht="18" customHeight="1" s="97">
      <c r="A180" s="112" t="n">
        <v>178</v>
      </c>
      <c r="B180" s="113" t="inlineStr">
        <is>
          <t>경남</t>
        </is>
      </c>
      <c r="C180" s="118" t="inlineStr">
        <is>
          <t>거제뷰컨트리클럽</t>
        </is>
      </c>
      <c r="D180" s="113" t="inlineStr">
        <is>
          <t>대중제</t>
        </is>
      </c>
      <c r="E180" s="112" t="n">
        <v>18</v>
      </c>
      <c r="F180" s="116" t="inlineStr">
        <is>
          <t>거제시 거제면 옥산리 285-3</t>
        </is>
      </c>
      <c r="G180" s="189" t="inlineStr">
        <is>
          <t>🔴 1순위</t>
        </is>
      </c>
      <c r="H180" s="121" t="n"/>
    </row>
    <row r="181" ht="18" customHeight="1" s="97">
      <c r="A181" s="101" t="n">
        <v>179</v>
      </c>
      <c r="B181" s="102" t="inlineStr">
        <is>
          <t>경남</t>
        </is>
      </c>
      <c r="C181" s="107" t="inlineStr">
        <is>
          <t>경남스카이뷰CC</t>
        </is>
      </c>
      <c r="D181" s="102" t="inlineStr">
        <is>
          <t>대중제</t>
        </is>
      </c>
      <c r="E181" s="101" t="n">
        <v>18</v>
      </c>
      <c r="F181" s="105" t="inlineStr">
        <is>
          <t>함양군 서상면 소로길 207</t>
        </is>
      </c>
      <c r="G181" s="189" t="inlineStr">
        <is>
          <t>🔴 1순위</t>
        </is>
      </c>
      <c r="H181" s="111" t="n"/>
    </row>
    <row r="182" ht="18" customHeight="1" s="97">
      <c r="A182" s="112" t="n">
        <v>180</v>
      </c>
      <c r="B182" s="113" t="inlineStr">
        <is>
          <t>경남</t>
        </is>
      </c>
      <c r="C182" s="118" t="inlineStr">
        <is>
          <t>골프존카운티 경남</t>
        </is>
      </c>
      <c r="D182" s="113" t="inlineStr">
        <is>
          <t>대중제</t>
        </is>
      </c>
      <c r="E182" s="112" t="n">
        <v>18</v>
      </c>
      <c r="F182" s="116" t="inlineStr">
        <is>
          <t>함안군 칠원면 운무로 470</t>
        </is>
      </c>
      <c r="G182" s="189" t="inlineStr">
        <is>
          <t>🔴 1순위</t>
        </is>
      </c>
      <c r="H182" s="121" t="n"/>
    </row>
    <row r="183" ht="18" customHeight="1" s="97">
      <c r="A183" s="101" t="n">
        <v>181</v>
      </c>
      <c r="B183" s="102" t="inlineStr">
        <is>
          <t>경남</t>
        </is>
      </c>
      <c r="C183" s="107" t="inlineStr">
        <is>
          <t>골프존카운티 사천</t>
        </is>
      </c>
      <c r="D183" s="102" t="inlineStr">
        <is>
          <t>대중제</t>
        </is>
      </c>
      <c r="E183" s="101" t="n">
        <v>27</v>
      </c>
      <c r="F183" s="105" t="inlineStr">
        <is>
          <t>사천시 서포면 구송로 151</t>
        </is>
      </c>
      <c r="G183" s="189" t="inlineStr">
        <is>
          <t>🔴 1순위</t>
        </is>
      </c>
      <c r="H183" s="111" t="n"/>
    </row>
    <row r="184" ht="18" customHeight="1" s="97">
      <c r="A184" s="112" t="n">
        <v>182</v>
      </c>
      <c r="B184" s="113" t="inlineStr">
        <is>
          <t>경남</t>
        </is>
      </c>
      <c r="C184" s="118" t="inlineStr">
        <is>
          <t>김해상록컨트리클럽</t>
        </is>
      </c>
      <c r="D184" s="113" t="inlineStr">
        <is>
          <t>대중제</t>
        </is>
      </c>
      <c r="E184" s="112" t="n">
        <v>18</v>
      </c>
      <c r="F184" s="116" t="inlineStr">
        <is>
          <t>김해시 한림면 김해대로 974번길 198</t>
        </is>
      </c>
      <c r="G184" s="189" t="inlineStr">
        <is>
          <t>🔴 1순위</t>
        </is>
      </c>
      <c r="H184" s="121" t="n"/>
    </row>
    <row r="185" ht="18" customHeight="1" s="97">
      <c r="A185" s="101" t="n">
        <v>183</v>
      </c>
      <c r="B185" s="102" t="inlineStr">
        <is>
          <t>경남</t>
        </is>
      </c>
      <c r="C185" s="107" t="inlineStr">
        <is>
          <t>다이아몬드컨트리클럽</t>
        </is>
      </c>
      <c r="D185" s="102" t="inlineStr">
        <is>
          <t>대중제</t>
        </is>
      </c>
      <c r="E185" s="101" t="n">
        <v>18</v>
      </c>
      <c r="F185" s="105" t="inlineStr">
        <is>
          <t>양산시 상북면 공원로 305-391</t>
        </is>
      </c>
      <c r="G185" s="189" t="inlineStr">
        <is>
          <t>🔴 1순위</t>
        </is>
      </c>
      <c r="H185" s="111" t="n"/>
    </row>
    <row r="186" ht="18" customHeight="1" s="97">
      <c r="A186" s="112" t="n">
        <v>184</v>
      </c>
      <c r="B186" s="113" t="inlineStr">
        <is>
          <t>경남</t>
        </is>
      </c>
      <c r="C186" s="118" t="inlineStr">
        <is>
          <t>리더스컨트리클럽</t>
        </is>
      </c>
      <c r="D186" s="113" t="inlineStr">
        <is>
          <t>대중제</t>
        </is>
      </c>
      <c r="E186" s="112" t="n">
        <v>27</v>
      </c>
      <c r="F186" s="116" t="inlineStr">
        <is>
          <t>밀양시 활성로 455</t>
        </is>
      </c>
      <c r="G186" s="189" t="inlineStr">
        <is>
          <t>🔴 1순위</t>
        </is>
      </c>
      <c r="H186" s="121" t="n"/>
    </row>
    <row r="187" ht="18" customHeight="1" s="97">
      <c r="A187" s="101" t="n">
        <v>185</v>
      </c>
      <c r="B187" s="102" t="inlineStr">
        <is>
          <t>경남</t>
        </is>
      </c>
      <c r="C187" s="107" t="inlineStr">
        <is>
          <t>밀양노벨컨트리클럽</t>
        </is>
      </c>
      <c r="D187" s="102" t="inlineStr">
        <is>
          <t>대중제</t>
        </is>
      </c>
      <c r="E187" s="101" t="n">
        <v>18</v>
      </c>
      <c r="F187" s="105" t="inlineStr">
        <is>
          <t>밀양시 단장면 단장로 946</t>
        </is>
      </c>
      <c r="G187" s="189" t="inlineStr">
        <is>
          <t>🔴 1순위</t>
        </is>
      </c>
      <c r="H187" s="111" t="n"/>
    </row>
    <row r="188" ht="18" customHeight="1" s="97">
      <c r="A188" s="112" t="n">
        <v>186</v>
      </c>
      <c r="B188" s="113" t="inlineStr">
        <is>
          <t>경남</t>
        </is>
      </c>
      <c r="C188" s="118" t="inlineStr">
        <is>
          <t>사우스케이프오너스클럽</t>
        </is>
      </c>
      <c r="D188" s="113" t="inlineStr">
        <is>
          <t>대중제</t>
        </is>
      </c>
      <c r="E188" s="112" t="n">
        <v>18</v>
      </c>
      <c r="F188" s="116" t="inlineStr">
        <is>
          <t>남해군 창선면 흥선로 1505번길 95</t>
        </is>
      </c>
      <c r="G188" s="189" t="inlineStr">
        <is>
          <t>🔴 1순위</t>
        </is>
      </c>
      <c r="H188" s="121" t="n"/>
    </row>
    <row r="189" ht="18" customHeight="1" s="97">
      <c r="A189" s="101" t="n">
        <v>187</v>
      </c>
      <c r="B189" s="102" t="inlineStr">
        <is>
          <t>경남</t>
        </is>
      </c>
      <c r="C189" s="107" t="inlineStr">
        <is>
          <t>서경타니CC</t>
        </is>
      </c>
      <c r="D189" s="102" t="inlineStr">
        <is>
          <t>대중제</t>
        </is>
      </c>
      <c r="E189" s="101" t="n">
        <v>27</v>
      </c>
      <c r="F189" s="105" t="inlineStr">
        <is>
          <t>사천시 곤양면 흥신로 210</t>
        </is>
      </c>
      <c r="G189" s="189" t="inlineStr">
        <is>
          <t>🔴 1순위</t>
        </is>
      </c>
      <c r="H189" s="111" t="n"/>
    </row>
    <row r="190" ht="18" customHeight="1" s="97">
      <c r="A190" s="112" t="n">
        <v>188</v>
      </c>
      <c r="B190" s="113" t="inlineStr">
        <is>
          <t>경남</t>
        </is>
      </c>
      <c r="C190" s="118" t="inlineStr">
        <is>
          <t>아델스코트 컨트리클럽</t>
        </is>
      </c>
      <c r="D190" s="113" t="inlineStr">
        <is>
          <t>대중제</t>
        </is>
      </c>
      <c r="E190" s="112" t="n">
        <v>27</v>
      </c>
      <c r="F190" s="116" t="inlineStr">
        <is>
          <t>합천군 가야면 가조가야로 1916-35</t>
        </is>
      </c>
      <c r="G190" s="189" t="inlineStr">
        <is>
          <t>🔴 1순위</t>
        </is>
      </c>
      <c r="H190" s="121" t="n"/>
    </row>
    <row r="191" ht="18" customHeight="1" s="97">
      <c r="A191" s="101" t="n">
        <v>189</v>
      </c>
      <c r="B191" s="102" t="inlineStr">
        <is>
          <t>경남</t>
        </is>
      </c>
      <c r="C191" s="107" t="inlineStr">
        <is>
          <t>아라미르골프앤리조트</t>
        </is>
      </c>
      <c r="D191" s="102" t="inlineStr">
        <is>
          <t>대중제</t>
        </is>
      </c>
      <c r="E191" s="101" t="n">
        <v>36</v>
      </c>
      <c r="F191" s="105" t="inlineStr">
        <is>
          <t>창원시 진해구 수제로 36</t>
        </is>
      </c>
      <c r="G191" s="189" t="inlineStr">
        <is>
          <t>🔴 1순위</t>
        </is>
      </c>
      <c r="H191" s="111" t="n"/>
    </row>
    <row r="192" ht="18" customHeight="1" s="97">
      <c r="A192" s="112" t="n">
        <v>190</v>
      </c>
      <c r="B192" s="113" t="inlineStr">
        <is>
          <t>경남</t>
        </is>
      </c>
      <c r="C192" s="118" t="inlineStr">
        <is>
          <t>양산동원로얄CC</t>
        </is>
      </c>
      <c r="D192" s="113" t="inlineStr">
        <is>
          <t>대중제</t>
        </is>
      </c>
      <c r="E192" s="112" t="n">
        <v>18</v>
      </c>
      <c r="F192" s="116" t="inlineStr">
        <is>
          <t>양산시 어곡동 산283번지</t>
        </is>
      </c>
      <c r="G192" s="189" t="inlineStr">
        <is>
          <t>🔴 1순위</t>
        </is>
      </c>
      <c r="H192" s="121" t="n"/>
    </row>
    <row r="193" ht="18" customHeight="1" s="97">
      <c r="A193" s="101" t="n">
        <v>191</v>
      </c>
      <c r="B193" s="102" t="inlineStr">
        <is>
          <t>경남</t>
        </is>
      </c>
      <c r="C193" s="107" t="inlineStr">
        <is>
          <t>양산컨트리클럽</t>
        </is>
      </c>
      <c r="D193" s="102" t="inlineStr">
        <is>
          <t>대중제</t>
        </is>
      </c>
      <c r="E193" s="101" t="n">
        <v>27</v>
      </c>
      <c r="F193" s="105" t="inlineStr">
        <is>
          <t>양산시 상북면 충렬로 687</t>
        </is>
      </c>
      <c r="G193" s="189" t="inlineStr">
        <is>
          <t>🔴 1순위</t>
        </is>
      </c>
      <c r="H193" s="111" t="n"/>
    </row>
    <row r="194" ht="18" customHeight="1" s="97">
      <c r="A194" s="112" t="n">
        <v>192</v>
      </c>
      <c r="B194" s="113" t="inlineStr">
        <is>
          <t>경남</t>
        </is>
      </c>
      <c r="C194" s="118" t="inlineStr">
        <is>
          <t>의령 리온컨트리클럽</t>
        </is>
      </c>
      <c r="D194" s="113" t="inlineStr">
        <is>
          <t>대중제</t>
        </is>
      </c>
      <c r="E194" s="112" t="n">
        <v>27</v>
      </c>
      <c r="F194" s="116" t="inlineStr">
        <is>
          <t>의령군 칠곡면 내조리 산113</t>
        </is>
      </c>
      <c r="G194" s="189" t="inlineStr">
        <is>
          <t>🔴 1순위</t>
        </is>
      </c>
      <c r="H194" s="121" t="n"/>
    </row>
    <row r="195" ht="18" customHeight="1" s="97">
      <c r="A195" s="101" t="n">
        <v>193</v>
      </c>
      <c r="B195" s="102" t="inlineStr">
        <is>
          <t>경남</t>
        </is>
      </c>
      <c r="C195" s="107" t="inlineStr">
        <is>
          <t>진주컨트리클럽</t>
        </is>
      </c>
      <c r="D195" s="102" t="inlineStr">
        <is>
          <t>대중제</t>
        </is>
      </c>
      <c r="E195" s="101" t="n">
        <v>18</v>
      </c>
      <c r="F195" s="105" t="inlineStr">
        <is>
          <t>진주시 진성면 진성로 464번길 82</t>
        </is>
      </c>
      <c r="G195" s="189" t="inlineStr">
        <is>
          <t>🔴 1순위</t>
        </is>
      </c>
      <c r="H195" s="111" t="n"/>
    </row>
    <row r="196" ht="18" customHeight="1" s="97">
      <c r="A196" s="112" t="n">
        <v>194</v>
      </c>
      <c r="B196" s="113" t="inlineStr">
        <is>
          <t>경남</t>
        </is>
      </c>
      <c r="C196" s="118" t="inlineStr">
        <is>
          <t>클럽디거창</t>
        </is>
      </c>
      <c r="D196" s="113" t="inlineStr">
        <is>
          <t>대중제</t>
        </is>
      </c>
      <c r="E196" s="112" t="n">
        <v>27</v>
      </c>
      <c r="F196" s="116" t="inlineStr">
        <is>
          <t>거창군 신원면 덕산리 산 13번지</t>
        </is>
      </c>
      <c r="G196" s="189" t="inlineStr">
        <is>
          <t>🔴 1순위</t>
        </is>
      </c>
      <c r="H196" s="121" t="n"/>
    </row>
    <row r="197" ht="18" customHeight="1" s="97">
      <c r="A197" s="101" t="n">
        <v>195</v>
      </c>
      <c r="B197" s="102" t="inlineStr">
        <is>
          <t>경남</t>
        </is>
      </c>
      <c r="C197" s="107" t="inlineStr">
        <is>
          <t>통영동원로얄컨트리클럽</t>
        </is>
      </c>
      <c r="D197" s="102" t="inlineStr">
        <is>
          <t>대중제</t>
        </is>
      </c>
      <c r="E197" s="101" t="n">
        <v>18</v>
      </c>
      <c r="F197" s="105" t="inlineStr">
        <is>
          <t>통영시 산양읍 담안길 240</t>
        </is>
      </c>
      <c r="G197" s="189" t="inlineStr">
        <is>
          <t>🔴 1순위</t>
        </is>
      </c>
      <c r="H197" s="111" t="n"/>
    </row>
    <row r="198" ht="18" customHeight="1" s="97">
      <c r="A198" s="112" t="n">
        <v>196</v>
      </c>
      <c r="B198" s="113" t="inlineStr">
        <is>
          <t>경북</t>
        </is>
      </c>
      <c r="C198" s="118" t="inlineStr">
        <is>
          <t>경주C.C</t>
        </is>
      </c>
      <c r="D198" s="113" t="inlineStr">
        <is>
          <t>대중제</t>
        </is>
      </c>
      <c r="E198" s="112" t="n">
        <v>27</v>
      </c>
      <c r="F198" s="116" t="inlineStr">
        <is>
          <t>경주시 보문로 182-98</t>
        </is>
      </c>
      <c r="G198" s="189" t="inlineStr">
        <is>
          <t>🔴 1순위</t>
        </is>
      </c>
      <c r="H198" s="121" t="n"/>
    </row>
    <row r="199" ht="18" customHeight="1" s="97">
      <c r="A199" s="101" t="n">
        <v>197</v>
      </c>
      <c r="B199" s="102" t="inlineStr">
        <is>
          <t>경북</t>
        </is>
      </c>
      <c r="C199" s="107" t="inlineStr">
        <is>
          <t>골프존카운티 감포</t>
        </is>
      </c>
      <c r="D199" s="102" t="inlineStr">
        <is>
          <t>대중제</t>
        </is>
      </c>
      <c r="E199" s="101" t="n">
        <v>18</v>
      </c>
      <c r="F199" s="105" t="inlineStr">
        <is>
          <t>경주시 감포읍 동해안로 1819-59</t>
        </is>
      </c>
      <c r="G199" s="189" t="inlineStr">
        <is>
          <t>🔴 1순위</t>
        </is>
      </c>
      <c r="H199" s="111" t="n"/>
    </row>
    <row r="200" ht="18" customHeight="1" s="97">
      <c r="A200" s="112" t="n">
        <v>198</v>
      </c>
      <c r="B200" s="113" t="inlineStr">
        <is>
          <t>경북</t>
        </is>
      </c>
      <c r="C200" s="118" t="inlineStr">
        <is>
          <t>골프존카운티 구미</t>
        </is>
      </c>
      <c r="D200" s="113" t="inlineStr">
        <is>
          <t>대중제</t>
        </is>
      </c>
      <c r="E200" s="112" t="n">
        <v>18</v>
      </c>
      <c r="F200" s="116" t="inlineStr">
        <is>
          <t>구미시 산동면 강동로 953-74</t>
        </is>
      </c>
      <c r="G200" s="189" t="inlineStr">
        <is>
          <t>🔴 1순위</t>
        </is>
      </c>
      <c r="H200" s="121" t="n"/>
    </row>
    <row r="201" ht="18" customHeight="1" s="97">
      <c r="A201" s="101" t="n">
        <v>199</v>
      </c>
      <c r="B201" s="102" t="inlineStr">
        <is>
          <t>경북</t>
        </is>
      </c>
      <c r="C201" s="107" t="inlineStr">
        <is>
          <t>구니C.C</t>
        </is>
      </c>
      <c r="D201" s="102" t="inlineStr">
        <is>
          <t>대중제</t>
        </is>
      </c>
      <c r="E201" s="101" t="n">
        <v>18</v>
      </c>
      <c r="F201" s="105" t="inlineStr">
        <is>
          <t>군위군 군위읍 도군로 2450</t>
        </is>
      </c>
      <c r="G201" s="189" t="inlineStr">
        <is>
          <t>🔴 1순위</t>
        </is>
      </c>
      <c r="H201" s="111" t="n"/>
    </row>
    <row r="202" ht="18" customHeight="1" s="97">
      <c r="A202" s="112" t="n">
        <v>200</v>
      </c>
      <c r="B202" s="113" t="inlineStr">
        <is>
          <t>경북</t>
        </is>
      </c>
      <c r="C202" s="118" t="inlineStr">
        <is>
          <t>구미C.C</t>
        </is>
      </c>
      <c r="D202" s="113" t="inlineStr">
        <is>
          <t>대중제</t>
        </is>
      </c>
      <c r="E202" s="112" t="n">
        <v>27</v>
      </c>
      <c r="F202" s="116" t="inlineStr">
        <is>
          <t>구미시 장천면 송백로 229</t>
        </is>
      </c>
      <c r="G202" s="189" t="inlineStr">
        <is>
          <t>🔴 1순위</t>
        </is>
      </c>
      <c r="H202" s="121" t="n"/>
    </row>
    <row r="203" ht="18" customHeight="1" s="97">
      <c r="A203" s="101" t="n">
        <v>201</v>
      </c>
      <c r="B203" s="102" t="inlineStr">
        <is>
          <t>경북</t>
        </is>
      </c>
      <c r="C203" s="107" t="inlineStr">
        <is>
          <t>군위오펠G.C</t>
        </is>
      </c>
      <c r="D203" s="102" t="inlineStr">
        <is>
          <t>대중제</t>
        </is>
      </c>
      <c r="E203" s="101" t="n">
        <v>18</v>
      </c>
      <c r="F203" s="105" t="inlineStr">
        <is>
          <t>군위군 산성면 부흥로 227</t>
        </is>
      </c>
      <c r="G203" s="189" t="inlineStr">
        <is>
          <t>🔴 1순위</t>
        </is>
      </c>
      <c r="H203" s="111" t="n"/>
    </row>
    <row r="204" ht="18" customHeight="1" s="97">
      <c r="A204" s="112" t="n">
        <v>202</v>
      </c>
      <c r="B204" s="113" t="inlineStr">
        <is>
          <t>경북</t>
        </is>
      </c>
      <c r="C204" s="118" t="inlineStr">
        <is>
          <t>그레이스C.C</t>
        </is>
      </c>
      <c r="D204" s="113" t="inlineStr">
        <is>
          <t>대중제</t>
        </is>
      </c>
      <c r="E204" s="112" t="n">
        <v>27</v>
      </c>
      <c r="F204" s="116" t="inlineStr">
        <is>
          <t>청도군 이서면 서녁길 91</t>
        </is>
      </c>
      <c r="G204" s="189" t="inlineStr">
        <is>
          <t>🔴 1순위</t>
        </is>
      </c>
      <c r="H204" s="121" t="n"/>
    </row>
    <row r="205" ht="18" customHeight="1" s="97">
      <c r="A205" s="101" t="n">
        <v>203</v>
      </c>
      <c r="B205" s="102" t="inlineStr">
        <is>
          <t>경북</t>
        </is>
      </c>
      <c r="C205" s="107" t="inlineStr">
        <is>
          <t>뉴스프링빌Ⅱ</t>
        </is>
      </c>
      <c r="D205" s="102" t="inlineStr">
        <is>
          <t>대중제</t>
        </is>
      </c>
      <c r="E205" s="101" t="n">
        <v>18</v>
      </c>
      <c r="F205" s="105" t="inlineStr">
        <is>
          <t>상주시 모서면 백화로 40</t>
        </is>
      </c>
      <c r="G205" s="189" t="inlineStr">
        <is>
          <t>🔴 1순위</t>
        </is>
      </c>
      <c r="H205" s="111" t="n"/>
    </row>
    <row r="206" ht="18" customHeight="1" s="97">
      <c r="A206" s="112" t="n">
        <v>204</v>
      </c>
      <c r="B206" s="113" t="inlineStr">
        <is>
          <t>경북</t>
        </is>
      </c>
      <c r="C206" s="118" t="inlineStr">
        <is>
          <t>다산 샤인힐CC</t>
        </is>
      </c>
      <c r="D206" s="113" t="inlineStr">
        <is>
          <t>대중제</t>
        </is>
      </c>
      <c r="E206" s="112" t="n">
        <v>18</v>
      </c>
      <c r="F206" s="116" t="inlineStr">
        <is>
          <t>고령군 다산면 벌지로 175-115</t>
        </is>
      </c>
      <c r="G206" s="189" t="inlineStr">
        <is>
          <t>🔴 1순위</t>
        </is>
      </c>
      <c r="H206" s="121" t="n"/>
    </row>
    <row r="207" ht="18" customHeight="1" s="97">
      <c r="A207" s="101" t="n">
        <v>205</v>
      </c>
      <c r="B207" s="102" t="inlineStr">
        <is>
          <t>경북</t>
        </is>
      </c>
      <c r="C207" s="107" t="inlineStr">
        <is>
          <t>루나엑스C.C</t>
        </is>
      </c>
      <c r="D207" s="102" t="inlineStr">
        <is>
          <t>대중제</t>
        </is>
      </c>
      <c r="E207" s="101" t="n">
        <v>24</v>
      </c>
      <c r="F207" s="105" t="inlineStr">
        <is>
          <t>경주시 천북면 천강로 412-299</t>
        </is>
      </c>
      <c r="G207" s="189" t="inlineStr">
        <is>
          <t>🔴 1순위</t>
        </is>
      </c>
      <c r="H207" s="111" t="n"/>
    </row>
    <row r="208" ht="18" customHeight="1" s="97">
      <c r="A208" s="112" t="n">
        <v>206</v>
      </c>
      <c r="B208" s="113" t="inlineStr">
        <is>
          <t>경북</t>
        </is>
      </c>
      <c r="C208" s="118" t="inlineStr">
        <is>
          <t>마스터피스CC</t>
        </is>
      </c>
      <c r="D208" s="113" t="inlineStr">
        <is>
          <t>대중제</t>
        </is>
      </c>
      <c r="E208" s="112" t="n">
        <v>18</v>
      </c>
      <c r="F208" s="116" t="inlineStr">
        <is>
          <t>고령군 쌍림면 산막길 47-80</t>
        </is>
      </c>
      <c r="G208" s="189" t="inlineStr">
        <is>
          <t>🔴 1순위</t>
        </is>
      </c>
      <c r="H208" s="121" t="n"/>
    </row>
    <row r="209" ht="18" customHeight="1" s="97">
      <c r="A209" s="101" t="n">
        <v>207</v>
      </c>
      <c r="B209" s="102" t="inlineStr">
        <is>
          <t>경북</t>
        </is>
      </c>
      <c r="C209" s="107" t="inlineStr">
        <is>
          <t>문경레저타운골프장</t>
        </is>
      </c>
      <c r="D209" s="102" t="inlineStr">
        <is>
          <t>대중제</t>
        </is>
      </c>
      <c r="E209" s="101" t="n">
        <v>18</v>
      </c>
      <c r="F209" s="105" t="inlineStr">
        <is>
          <t>문경시 마성면 문경골프장길 240</t>
        </is>
      </c>
      <c r="G209" s="189" t="inlineStr">
        <is>
          <t>🔴 1순위</t>
        </is>
      </c>
      <c r="H209" s="111" t="n"/>
    </row>
    <row r="210" ht="18" customHeight="1" s="97">
      <c r="A210" s="112" t="n">
        <v>208</v>
      </c>
      <c r="B210" s="113" t="inlineStr">
        <is>
          <t>경북</t>
        </is>
      </c>
      <c r="C210" s="118" t="inlineStr">
        <is>
          <t>보문G.C</t>
        </is>
      </c>
      <c r="D210" s="113" t="inlineStr">
        <is>
          <t>대중제</t>
        </is>
      </c>
      <c r="E210" s="112" t="n">
        <v>18</v>
      </c>
      <c r="F210" s="116" t="inlineStr">
        <is>
          <t>경주시 보문로 182-14</t>
        </is>
      </c>
      <c r="G210" s="189" t="inlineStr">
        <is>
          <t>🔴 1순위</t>
        </is>
      </c>
      <c r="H210" s="121" t="n"/>
    </row>
    <row r="211" ht="18" customHeight="1" s="97">
      <c r="A211" s="101" t="n">
        <v>209</v>
      </c>
      <c r="B211" s="102" t="inlineStr">
        <is>
          <t>경북</t>
        </is>
      </c>
      <c r="C211" s="107" t="inlineStr">
        <is>
          <t>서라벌G.C</t>
        </is>
      </c>
      <c r="D211" s="102" t="inlineStr">
        <is>
          <t>대중제</t>
        </is>
      </c>
      <c r="E211" s="101" t="n">
        <v>36</v>
      </c>
      <c r="F211" s="105" t="inlineStr">
        <is>
          <t>경주시 외동읍 내외로 577-189</t>
        </is>
      </c>
      <c r="G211" s="189" t="inlineStr">
        <is>
          <t>🔴 1순위</t>
        </is>
      </c>
      <c r="H211" s="111" t="n"/>
    </row>
    <row r="212" ht="18" customHeight="1" s="97">
      <c r="A212" s="112" t="n">
        <v>210</v>
      </c>
      <c r="B212" s="113" t="inlineStr">
        <is>
          <t>경북</t>
        </is>
      </c>
      <c r="C212" s="118" t="inlineStr">
        <is>
          <t>세븐밸리C.C</t>
        </is>
      </c>
      <c r="D212" s="113" t="inlineStr">
        <is>
          <t>대중제</t>
        </is>
      </c>
      <c r="E212" s="112" t="n">
        <v>18</v>
      </c>
      <c r="F212" s="116" t="inlineStr">
        <is>
          <t>칠곡군 왜관읍 봉계3길 180</t>
        </is>
      </c>
      <c r="G212" s="189" t="inlineStr">
        <is>
          <t>🔴 1순위</t>
        </is>
      </c>
      <c r="H212" s="121" t="n"/>
    </row>
    <row r="213" ht="18" customHeight="1" s="97">
      <c r="A213" s="101" t="n">
        <v>211</v>
      </c>
      <c r="B213" s="102" t="inlineStr">
        <is>
          <t>경북</t>
        </is>
      </c>
      <c r="C213" s="107" t="inlineStr">
        <is>
          <t>안동레이크골프클럽</t>
        </is>
      </c>
      <c r="D213" s="102" t="inlineStr">
        <is>
          <t>대중제</t>
        </is>
      </c>
      <c r="E213" s="101" t="n">
        <v>18</v>
      </c>
      <c r="F213" s="105" t="inlineStr">
        <is>
          <t>안동시 관광단지로 316</t>
        </is>
      </c>
      <c r="G213" s="189" t="inlineStr">
        <is>
          <t>🔴 1순위</t>
        </is>
      </c>
      <c r="H213" s="111" t="n"/>
    </row>
    <row r="214" ht="18" customHeight="1" s="97">
      <c r="A214" s="112" t="n">
        <v>212</v>
      </c>
      <c r="B214" s="113" t="inlineStr">
        <is>
          <t>경북</t>
        </is>
      </c>
      <c r="C214" s="118" t="inlineStr">
        <is>
          <t>엠스클럽의성</t>
        </is>
      </c>
      <c r="D214" s="113" t="inlineStr">
        <is>
          <t>대중제</t>
        </is>
      </c>
      <c r="E214" s="112" t="n">
        <v>18</v>
      </c>
      <c r="F214" s="116" t="inlineStr">
        <is>
          <t>의성군 봉양면 농공마전길 125-78</t>
        </is>
      </c>
      <c r="G214" s="189" t="inlineStr">
        <is>
          <t>🔴 1순위</t>
        </is>
      </c>
      <c r="H214" s="121" t="n"/>
    </row>
    <row r="215" ht="18" customHeight="1" s="97">
      <c r="A215" s="101" t="n">
        <v>213</v>
      </c>
      <c r="B215" s="102" t="inlineStr">
        <is>
          <t>경북</t>
        </is>
      </c>
      <c r="C215" s="107" t="inlineStr">
        <is>
          <t>오션비치C.C</t>
        </is>
      </c>
      <c r="D215" s="102" t="inlineStr">
        <is>
          <t>대중제</t>
        </is>
      </c>
      <c r="E215" s="101" t="n">
        <v>27</v>
      </c>
      <c r="F215" s="105" t="inlineStr">
        <is>
          <t>영덕군 강구면 동해대로 4265-43</t>
        </is>
      </c>
      <c r="G215" s="189" t="inlineStr">
        <is>
          <t>🔴 1순위</t>
        </is>
      </c>
      <c r="H215" s="111" t="n"/>
    </row>
    <row r="216" ht="18" customHeight="1" s="97">
      <c r="A216" s="112" t="n">
        <v>214</v>
      </c>
      <c r="B216" s="113" t="inlineStr">
        <is>
          <t>경북</t>
        </is>
      </c>
      <c r="C216" s="118" t="inlineStr">
        <is>
          <t>오션힐스청도G.C</t>
        </is>
      </c>
      <c r="D216" s="113" t="inlineStr">
        <is>
          <t>대중제</t>
        </is>
      </c>
      <c r="E216" s="112" t="n">
        <v>18</v>
      </c>
      <c r="F216" s="116" t="inlineStr">
        <is>
          <t>청도군 매전면 곰티로 370-204</t>
        </is>
      </c>
      <c r="G216" s="189" t="inlineStr">
        <is>
          <t>🔴 1순위</t>
        </is>
      </c>
      <c r="H216" s="121" t="n"/>
    </row>
    <row r="217" ht="18" customHeight="1" s="97">
      <c r="A217" s="101" t="n">
        <v>215</v>
      </c>
      <c r="B217" s="102" t="inlineStr">
        <is>
          <t>경북</t>
        </is>
      </c>
      <c r="C217" s="107" t="inlineStr">
        <is>
          <t>원남골프장</t>
        </is>
      </c>
      <c r="D217" s="102" t="inlineStr">
        <is>
          <t>대중제</t>
        </is>
      </c>
      <c r="E217" s="101" t="n">
        <v>18</v>
      </c>
      <c r="F217" s="105" t="inlineStr">
        <is>
          <t>울진군 매화면 오산리 산26</t>
        </is>
      </c>
      <c r="G217" s="189" t="inlineStr">
        <is>
          <t>🔴 1순위</t>
        </is>
      </c>
      <c r="H217" s="111" t="n"/>
    </row>
    <row r="218" ht="18" customHeight="1" s="97">
      <c r="A218" s="112" t="n">
        <v>216</v>
      </c>
      <c r="B218" s="113" t="inlineStr">
        <is>
          <t>경북</t>
        </is>
      </c>
      <c r="C218" s="118" t="inlineStr">
        <is>
          <t>이스트힐C.C</t>
        </is>
      </c>
      <c r="D218" s="113" t="inlineStr">
        <is>
          <t>대중제</t>
        </is>
      </c>
      <c r="E218" s="112" t="n">
        <v>18</v>
      </c>
      <c r="F218" s="116" t="inlineStr">
        <is>
          <t>경주시 양남면 외남로 1377</t>
        </is>
      </c>
      <c r="G218" s="189" t="inlineStr">
        <is>
          <t>🔴 1순위</t>
        </is>
      </c>
      <c r="H218" s="121" t="n"/>
    </row>
    <row r="219" ht="18" customHeight="1" s="97">
      <c r="A219" s="101" t="n">
        <v>217</v>
      </c>
      <c r="B219" s="102" t="inlineStr">
        <is>
          <t>경북</t>
        </is>
      </c>
      <c r="C219" s="107" t="inlineStr">
        <is>
          <t>이지스카이CC</t>
        </is>
      </c>
      <c r="D219" s="102" t="inlineStr">
        <is>
          <t>대중제</t>
        </is>
      </c>
      <c r="E219" s="101" t="n">
        <v>18</v>
      </c>
      <c r="F219" s="105" t="inlineStr">
        <is>
          <t>군위군 군위읍 대흥1길 48-148</t>
        </is>
      </c>
      <c r="G219" s="189" t="inlineStr">
        <is>
          <t>🔴 1순위</t>
        </is>
      </c>
      <c r="H219" s="111" t="n"/>
    </row>
    <row r="220" ht="18" customHeight="1" s="97">
      <c r="A220" s="112" t="n">
        <v>218</v>
      </c>
      <c r="B220" s="113" t="inlineStr">
        <is>
          <t>경북</t>
        </is>
      </c>
      <c r="C220" s="118" t="inlineStr">
        <is>
          <t>청통골프장</t>
        </is>
      </c>
      <c r="D220" s="113" t="inlineStr">
        <is>
          <t>대중제</t>
        </is>
      </c>
      <c r="E220" s="112" t="n">
        <v>18</v>
      </c>
      <c r="F220" s="116" t="inlineStr">
        <is>
          <t>영천시 청통면 청통로 733</t>
        </is>
      </c>
      <c r="G220" s="189" t="inlineStr">
        <is>
          <t>🔴 1순위</t>
        </is>
      </c>
      <c r="H220" s="121" t="n"/>
    </row>
    <row r="221" ht="18" customHeight="1" s="97">
      <c r="A221" s="101" t="n">
        <v>219</v>
      </c>
      <c r="B221" s="102" t="inlineStr">
        <is>
          <t>경북</t>
        </is>
      </c>
      <c r="C221" s="107" t="inlineStr">
        <is>
          <t>파라지오C.C</t>
        </is>
      </c>
      <c r="D221" s="102" t="inlineStr">
        <is>
          <t>대중제</t>
        </is>
      </c>
      <c r="E221" s="101" t="n">
        <v>18</v>
      </c>
      <c r="F221" s="105" t="inlineStr">
        <is>
          <t>의성군 봉양면 신평리 산50</t>
        </is>
      </c>
      <c r="G221" s="189" t="inlineStr">
        <is>
          <t>🔴 1순위</t>
        </is>
      </c>
      <c r="H221" s="111" t="n"/>
    </row>
    <row r="222" ht="18" customHeight="1" s="97">
      <c r="A222" s="112" t="n">
        <v>220</v>
      </c>
      <c r="B222" s="113" t="inlineStr">
        <is>
          <t>경북</t>
        </is>
      </c>
      <c r="C222" s="118" t="inlineStr">
        <is>
          <t>포도C.C</t>
        </is>
      </c>
      <c r="D222" s="113" t="inlineStr">
        <is>
          <t>대중제</t>
        </is>
      </c>
      <c r="E222" s="112" t="n">
        <v>27</v>
      </c>
      <c r="F222" s="116" t="inlineStr">
        <is>
          <t>김천시 구성면 남김천대로 2532</t>
        </is>
      </c>
      <c r="G222" s="189" t="inlineStr">
        <is>
          <t>🔴 1순위</t>
        </is>
      </c>
      <c r="H222" s="121" t="n"/>
    </row>
    <row r="223" ht="18" customHeight="1" s="97">
      <c r="A223" s="101" t="n">
        <v>221</v>
      </c>
      <c r="B223" s="102" t="inlineStr">
        <is>
          <t>경북</t>
        </is>
      </c>
      <c r="C223" s="107" t="inlineStr">
        <is>
          <t>포항C.C</t>
        </is>
      </c>
      <c r="D223" s="102" t="inlineStr">
        <is>
          <t>대중제</t>
        </is>
      </c>
      <c r="E223" s="101" t="n">
        <v>18</v>
      </c>
      <c r="F223" s="105" t="inlineStr">
        <is>
          <t>포항시 송라면 동해대로 2751번길 123</t>
        </is>
      </c>
      <c r="G223" s="189" t="inlineStr">
        <is>
          <t>🔴 1순위</t>
        </is>
      </c>
      <c r="H223" s="111" t="n"/>
    </row>
    <row r="224" ht="18" customHeight="1" s="97">
      <c r="A224" s="112" t="n">
        <v>222</v>
      </c>
      <c r="B224" s="113" t="inlineStr">
        <is>
          <t>경북</t>
        </is>
      </c>
      <c r="C224" s="118" t="inlineStr">
        <is>
          <t>한맥C.C&amp;노블리아</t>
        </is>
      </c>
      <c r="D224" s="113" t="inlineStr">
        <is>
          <t>대중제</t>
        </is>
      </c>
      <c r="E224" s="112" t="n">
        <v>18</v>
      </c>
      <c r="F224" s="116" t="inlineStr">
        <is>
          <t>예천군 호명면 한맥 골프장길 72</t>
        </is>
      </c>
      <c r="G224" s="189" t="inlineStr">
        <is>
          <t>🔴 1순위</t>
        </is>
      </c>
      <c r="H224" s="121" t="n"/>
    </row>
    <row r="225" ht="18" customHeight="1" s="97">
      <c r="A225" s="101" t="n">
        <v>223</v>
      </c>
      <c r="B225" s="102" t="inlineStr">
        <is>
          <t>광주</t>
        </is>
      </c>
      <c r="C225" s="107" t="inlineStr">
        <is>
          <t>어등산컨트리클럽</t>
        </is>
      </c>
      <c r="D225" s="102" t="inlineStr">
        <is>
          <t>대중제</t>
        </is>
      </c>
      <c r="E225" s="101" t="n">
        <v>27</v>
      </c>
      <c r="F225" s="105" t="inlineStr">
        <is>
          <t>광주광역시 광산구 무진대로 31(운수동)</t>
        </is>
      </c>
      <c r="G225" s="189" t="inlineStr">
        <is>
          <t>🔴 1순위</t>
        </is>
      </c>
      <c r="H225" s="111" t="n"/>
    </row>
    <row r="226" ht="18" customHeight="1" s="97">
      <c r="A226" s="112" t="n">
        <v>224</v>
      </c>
      <c r="B226" s="113" t="inlineStr">
        <is>
          <t>부산</t>
        </is>
      </c>
      <c r="C226" s="118" t="inlineStr">
        <is>
          <t>스톤게이트컨트리클럽</t>
        </is>
      </c>
      <c r="D226" s="113" t="inlineStr">
        <is>
          <t>대중제</t>
        </is>
      </c>
      <c r="E226" s="112" t="n">
        <v>18</v>
      </c>
      <c r="F226" s="116" t="inlineStr">
        <is>
          <t>부산 기장군 일광면 곡천길 317</t>
        </is>
      </c>
      <c r="G226" s="189" t="inlineStr">
        <is>
          <t>🔴 1순위</t>
        </is>
      </c>
      <c r="H226" s="121" t="n"/>
    </row>
    <row r="227" ht="18" customHeight="1" s="97">
      <c r="A227" s="101" t="n">
        <v>225</v>
      </c>
      <c r="B227" s="102" t="inlineStr">
        <is>
          <t>서울</t>
        </is>
      </c>
      <c r="C227" s="107" t="inlineStr">
        <is>
          <t>인서울27골프클럽</t>
        </is>
      </c>
      <c r="D227" s="102" t="inlineStr">
        <is>
          <t>대중제</t>
        </is>
      </c>
      <c r="E227" s="101" t="n">
        <v>27</v>
      </c>
      <c r="F227" s="105" t="inlineStr">
        <is>
          <t>서울시 강서구 오정로443-198, 인서울27골프클럽</t>
        </is>
      </c>
      <c r="G227" s="189" t="inlineStr">
        <is>
          <t>🔴 1순위</t>
        </is>
      </c>
      <c r="H227" s="111" t="n"/>
    </row>
    <row r="228" ht="18" customHeight="1" s="97">
      <c r="A228" s="112" t="n">
        <v>226</v>
      </c>
      <c r="B228" s="113" t="inlineStr">
        <is>
          <t>세종</t>
        </is>
      </c>
      <c r="C228" s="118" t="inlineStr">
        <is>
          <t>건설공제조합세종필드골프클럽</t>
        </is>
      </c>
      <c r="D228" s="113" t="inlineStr">
        <is>
          <t>대중제</t>
        </is>
      </c>
      <c r="E228" s="112" t="n">
        <v>18</v>
      </c>
      <c r="F228" s="116" t="inlineStr">
        <is>
          <t>세종시 정안세종로  1569</t>
        </is>
      </c>
      <c r="G228" s="189" t="inlineStr">
        <is>
          <t>🔴 1순위</t>
        </is>
      </c>
      <c r="H228" s="121" t="n"/>
    </row>
    <row r="229" ht="18" customHeight="1" s="97">
      <c r="A229" s="101" t="n">
        <v>227</v>
      </c>
      <c r="B229" s="102" t="inlineStr">
        <is>
          <t>세종</t>
        </is>
      </c>
      <c r="C229" s="107" t="inlineStr">
        <is>
          <t>세종레이캐슬골프&amp;리조트</t>
        </is>
      </c>
      <c r="D229" s="102" t="inlineStr">
        <is>
          <t>대중제</t>
        </is>
      </c>
      <c r="E229" s="101" t="n">
        <v>27</v>
      </c>
      <c r="F229" s="105" t="inlineStr">
        <is>
          <t>세종시 전의면 의당전의로 252</t>
        </is>
      </c>
      <c r="G229" s="189" t="inlineStr">
        <is>
          <t>🔴 1순위</t>
        </is>
      </c>
      <c r="H229" s="111" t="n"/>
    </row>
    <row r="230" ht="18" customHeight="1" s="97">
      <c r="A230" s="112" t="n">
        <v>228</v>
      </c>
      <c r="B230" s="113" t="inlineStr">
        <is>
          <t>울산</t>
        </is>
      </c>
      <c r="C230" s="118" t="inlineStr">
        <is>
          <t>더골프골프장</t>
        </is>
      </c>
      <c r="D230" s="113" t="inlineStr">
        <is>
          <t>대중제</t>
        </is>
      </c>
      <c r="E230" s="112" t="n">
        <v>18</v>
      </c>
      <c r="F230" s="116" t="inlineStr">
        <is>
          <t>울주군 서생면 용연길 206-52</t>
        </is>
      </c>
      <c r="G230" s="189" t="inlineStr">
        <is>
          <t>🔴 1순위</t>
        </is>
      </c>
      <c r="H230" s="121" t="n"/>
    </row>
    <row r="231" ht="18" customHeight="1" s="97">
      <c r="A231" s="101" t="n">
        <v>229</v>
      </c>
      <c r="B231" s="102" t="inlineStr">
        <is>
          <t>울산</t>
        </is>
      </c>
      <c r="C231" s="107" t="inlineStr">
        <is>
          <t>베이스타즈CC</t>
        </is>
      </c>
      <c r="D231" s="102" t="inlineStr">
        <is>
          <t>대중제</t>
        </is>
      </c>
      <c r="E231" s="101" t="n">
        <v>18</v>
      </c>
      <c r="F231" s="105" t="inlineStr">
        <is>
          <t>북구 어물동 산43-2 일원</t>
        </is>
      </c>
      <c r="G231" s="189" t="inlineStr">
        <is>
          <t>🔴 1순위</t>
        </is>
      </c>
      <c r="H231" s="111" t="n"/>
    </row>
    <row r="232" ht="18" customHeight="1" s="97">
      <c r="A232" s="112" t="n">
        <v>230</v>
      </c>
      <c r="B232" s="113" t="inlineStr">
        <is>
          <t>인천</t>
        </is>
      </c>
      <c r="C232" s="126" t="inlineStr">
        <is>
          <t>SKY72 골프클럽(바다코스)</t>
        </is>
      </c>
      <c r="D232" s="113" t="inlineStr">
        <is>
          <t>대중제</t>
        </is>
      </c>
      <c r="E232" s="112" t="n">
        <v>63</v>
      </c>
      <c r="F232" s="116" t="inlineStr">
        <is>
          <t>인천시 중구 공항동로 392</t>
        </is>
      </c>
      <c r="G232" s="189" t="inlineStr">
        <is>
          <t>🔴 1순위</t>
        </is>
      </c>
      <c r="H232" s="121" t="n"/>
    </row>
    <row r="233" ht="18" customHeight="1" s="97">
      <c r="A233" s="101" t="n">
        <v>231</v>
      </c>
      <c r="B233" s="102" t="inlineStr">
        <is>
          <t>인천</t>
        </is>
      </c>
      <c r="C233" s="136" t="inlineStr">
        <is>
          <t>SKY72 골프클럽(하늘코스)</t>
        </is>
      </c>
      <c r="D233" s="102" t="inlineStr">
        <is>
          <t>대중제</t>
        </is>
      </c>
      <c r="E233" s="101" t="n">
        <v>18</v>
      </c>
      <c r="F233" s="105" t="inlineStr">
        <is>
          <t>인천시 중구 공항동로135번길 267</t>
        </is>
      </c>
      <c r="G233" s="189" t="inlineStr">
        <is>
          <t>🔴 1순위</t>
        </is>
      </c>
      <c r="H233" s="111" t="n"/>
    </row>
    <row r="234" ht="18" customHeight="1" s="97">
      <c r="A234" s="112" t="n">
        <v>232</v>
      </c>
      <c r="B234" s="113" t="inlineStr">
        <is>
          <t>인천</t>
        </is>
      </c>
      <c r="C234" s="118" t="inlineStr">
        <is>
          <t>드림파크골프장</t>
        </is>
      </c>
      <c r="D234" s="113" t="inlineStr">
        <is>
          <t>대중제</t>
        </is>
      </c>
      <c r="E234" s="112" t="n">
        <v>36</v>
      </c>
      <c r="F234" s="116" t="inlineStr">
        <is>
          <t>인천시 서구 거월로 61</t>
        </is>
      </c>
      <c r="G234" s="189" t="inlineStr">
        <is>
          <t>🔴 1순위</t>
        </is>
      </c>
      <c r="H234" s="121" t="n"/>
    </row>
    <row r="235" ht="18" customHeight="1" s="97">
      <c r="A235" s="101" t="n">
        <v>233</v>
      </c>
      <c r="B235" s="102" t="inlineStr">
        <is>
          <t>인천</t>
        </is>
      </c>
      <c r="C235" s="107" t="inlineStr">
        <is>
          <t>베어즈베스트청라골프클럽</t>
        </is>
      </c>
      <c r="D235" s="102" t="inlineStr">
        <is>
          <t>대중제</t>
        </is>
      </c>
      <c r="E235" s="101" t="n">
        <v>27</v>
      </c>
      <c r="F235" s="105" t="inlineStr">
        <is>
          <t>인천시 서구 청라대로 316번길 45</t>
        </is>
      </c>
      <c r="G235" s="189" t="inlineStr">
        <is>
          <t>🔴 1순위</t>
        </is>
      </c>
      <c r="H235" s="111" t="n"/>
    </row>
    <row r="236" ht="18" customHeight="1" s="97">
      <c r="A236" s="112" t="n">
        <v>234</v>
      </c>
      <c r="B236" s="113" t="inlineStr">
        <is>
          <t>인천</t>
        </is>
      </c>
      <c r="C236" s="118" t="inlineStr">
        <is>
          <t>석모도컨트리클럽</t>
        </is>
      </c>
      <c r="D236" s="113" t="inlineStr">
        <is>
          <t>대중제</t>
        </is>
      </c>
      <c r="E236" s="112" t="n">
        <v>18</v>
      </c>
      <c r="F236" s="116" t="inlineStr">
        <is>
          <t>인천시 강화군 어류정길 177</t>
        </is>
      </c>
      <c r="G236" s="189" t="inlineStr">
        <is>
          <t>🔴 1순위</t>
        </is>
      </c>
      <c r="H236" s="121" t="n"/>
    </row>
    <row r="237" ht="18" customHeight="1" s="97">
      <c r="A237" s="101" t="n">
        <v>235</v>
      </c>
      <c r="B237" s="102" t="inlineStr">
        <is>
          <t>인천</t>
        </is>
      </c>
      <c r="C237" s="107" t="inlineStr">
        <is>
          <t>영종오렌지골프장</t>
        </is>
      </c>
      <c r="D237" s="102" t="inlineStr">
        <is>
          <t>대중제</t>
        </is>
      </c>
      <c r="E237" s="101" t="n">
        <v>18</v>
      </c>
      <c r="F237" s="105" t="inlineStr">
        <is>
          <t>인천시 중구 운서동 2851-15번지 일원</t>
        </is>
      </c>
      <c r="G237" s="189" t="inlineStr">
        <is>
          <t>🔴 1순위</t>
        </is>
      </c>
      <c r="H237" s="111" t="n"/>
    </row>
    <row r="238" ht="18" customHeight="1" s="97">
      <c r="A238" s="112" t="n">
        <v>236</v>
      </c>
      <c r="B238" s="113" t="inlineStr">
        <is>
          <t>인천</t>
        </is>
      </c>
      <c r="C238" s="118" t="inlineStr">
        <is>
          <t>오렌지듄스골프클럽</t>
        </is>
      </c>
      <c r="D238" s="113" t="inlineStr">
        <is>
          <t>대중제</t>
        </is>
      </c>
      <c r="E238" s="112" t="n">
        <v>18</v>
      </c>
      <c r="F238" s="116" t="inlineStr">
        <is>
          <t>인천시 연수구 인천신항대로 1120</t>
        </is>
      </c>
      <c r="G238" s="189" t="inlineStr">
        <is>
          <t>🔴 1순위</t>
        </is>
      </c>
      <c r="H238" s="121" t="n"/>
    </row>
    <row r="239" ht="18" customHeight="1" s="97">
      <c r="A239" s="101" t="n">
        <v>237</v>
      </c>
      <c r="B239" s="102" t="inlineStr">
        <is>
          <t>인천</t>
        </is>
      </c>
      <c r="C239" s="107" t="inlineStr">
        <is>
          <t>인천그랜드컨트리클럽</t>
        </is>
      </c>
      <c r="D239" s="102" t="inlineStr">
        <is>
          <t>대중제</t>
        </is>
      </c>
      <c r="E239" s="101" t="n">
        <v>18</v>
      </c>
      <c r="F239" s="105" t="inlineStr">
        <is>
          <t>인천시 서구 원석로 195</t>
        </is>
      </c>
      <c r="G239" s="189" t="inlineStr">
        <is>
          <t>🔴 1순위</t>
        </is>
      </c>
      <c r="H239" s="111" t="n"/>
    </row>
    <row r="240" ht="18" customHeight="1" s="97">
      <c r="A240" s="112" t="n">
        <v>238</v>
      </c>
      <c r="B240" s="113" t="inlineStr">
        <is>
          <t>전남</t>
        </is>
      </c>
      <c r="C240" s="126" t="inlineStr">
        <is>
          <t>JNJ골프리조트</t>
        </is>
      </c>
      <c r="D240" s="113" t="inlineStr">
        <is>
          <t>대중제</t>
        </is>
      </c>
      <c r="E240" s="112" t="n">
        <v>27</v>
      </c>
      <c r="F240" s="116" t="inlineStr">
        <is>
          <t>장흥군 장평면 제산기동로 326</t>
        </is>
      </c>
      <c r="G240" s="189" t="inlineStr">
        <is>
          <t>🔴 1순위</t>
        </is>
      </c>
      <c r="H240" s="121" t="n"/>
    </row>
    <row r="241" ht="18" customHeight="1" s="97">
      <c r="A241" s="101" t="n">
        <v>239</v>
      </c>
      <c r="B241" s="102" t="inlineStr">
        <is>
          <t>전남</t>
        </is>
      </c>
      <c r="C241" s="107" t="inlineStr">
        <is>
          <t>골드레이크CC</t>
        </is>
      </c>
      <c r="D241" s="102" t="inlineStr">
        <is>
          <t>대중제</t>
        </is>
      </c>
      <c r="E241" s="101" t="n">
        <v>18</v>
      </c>
      <c r="F241" s="105" t="inlineStr">
        <is>
          <t>나주시 남평읍 나주호로 442-129</t>
        </is>
      </c>
      <c r="G241" s="189" t="inlineStr">
        <is>
          <t>🔴 1순위</t>
        </is>
      </c>
      <c r="H241" s="111" t="n"/>
    </row>
    <row r="242" ht="18" customHeight="1" s="97">
      <c r="A242" s="112" t="n">
        <v>240</v>
      </c>
      <c r="B242" s="113" t="inlineStr">
        <is>
          <t>전남</t>
        </is>
      </c>
      <c r="C242" s="118" t="inlineStr">
        <is>
          <t>골프존카운티 순천</t>
        </is>
      </c>
      <c r="D242" s="113" t="inlineStr">
        <is>
          <t>대중제</t>
        </is>
      </c>
      <c r="E242" s="112" t="n">
        <v>36</v>
      </c>
      <c r="F242" s="116" t="inlineStr">
        <is>
          <t>순천시 주암면 행정1길 77</t>
        </is>
      </c>
      <c r="G242" s="189" t="inlineStr">
        <is>
          <t>🔴 1순위</t>
        </is>
      </c>
      <c r="H242" s="121" t="n"/>
    </row>
    <row r="243" ht="18" customHeight="1" s="97">
      <c r="A243" s="101" t="n">
        <v>241</v>
      </c>
      <c r="B243" s="102" t="inlineStr">
        <is>
          <t>전남</t>
        </is>
      </c>
      <c r="C243" s="107" t="inlineStr">
        <is>
          <t>다산베아채 골프앤리조트</t>
        </is>
      </c>
      <c r="D243" s="102" t="inlineStr">
        <is>
          <t>대중제</t>
        </is>
      </c>
      <c r="E243" s="101" t="n">
        <v>27</v>
      </c>
      <c r="F243" s="105" t="inlineStr">
        <is>
          <t>강진군 도암면 학장리 87-1</t>
        </is>
      </c>
      <c r="G243" s="189" t="inlineStr">
        <is>
          <t>🔴 1순위</t>
        </is>
      </c>
      <c r="H243" s="111" t="n"/>
    </row>
    <row r="244" ht="18" customHeight="1" s="97">
      <c r="A244" s="112" t="n">
        <v>242</v>
      </c>
      <c r="B244" s="113" t="inlineStr">
        <is>
          <t>전남</t>
        </is>
      </c>
      <c r="C244" s="118" t="inlineStr">
        <is>
          <t>담양레이나CC</t>
        </is>
      </c>
      <c r="D244" s="113" t="inlineStr">
        <is>
          <t>대중제</t>
        </is>
      </c>
      <c r="E244" s="112" t="n">
        <v>18</v>
      </c>
      <c r="F244" s="116" t="inlineStr">
        <is>
          <t>담양군 금성면 깊은실길 169</t>
        </is>
      </c>
      <c r="G244" s="189" t="inlineStr">
        <is>
          <t>🔴 1순위</t>
        </is>
      </c>
      <c r="H244" s="121" t="n"/>
    </row>
    <row r="245" ht="18" customHeight="1" s="97">
      <c r="A245" s="101" t="n">
        <v>243</v>
      </c>
      <c r="B245" s="102" t="inlineStr">
        <is>
          <t>전남</t>
        </is>
      </c>
      <c r="C245" s="107" t="inlineStr">
        <is>
          <t>디오션CC</t>
        </is>
      </c>
      <c r="D245" s="102" t="inlineStr">
        <is>
          <t>대중제</t>
        </is>
      </c>
      <c r="E245" s="101" t="n">
        <v>18</v>
      </c>
      <c r="F245" s="105" t="inlineStr">
        <is>
          <t>여수시 화양면 장수 암포로 142</t>
        </is>
      </c>
      <c r="G245" s="189" t="inlineStr">
        <is>
          <t>🔴 1순위</t>
        </is>
      </c>
      <c r="H245" s="111" t="n"/>
    </row>
    <row r="246" ht="18" customHeight="1" s="97">
      <c r="A246" s="112" t="n">
        <v>244</v>
      </c>
      <c r="B246" s="113" t="inlineStr">
        <is>
          <t>전남</t>
        </is>
      </c>
      <c r="C246" s="118" t="inlineStr">
        <is>
          <t>무등산CC</t>
        </is>
      </c>
      <c r="D246" s="113" t="inlineStr">
        <is>
          <t>대중제</t>
        </is>
      </c>
      <c r="E246" s="112" t="n">
        <v>27</v>
      </c>
      <c r="F246" s="116" t="inlineStr">
        <is>
          <t>화순군 화순읍 오성로 292-90</t>
        </is>
      </c>
      <c r="G246" s="189" t="inlineStr">
        <is>
          <t>🔴 1순위</t>
        </is>
      </c>
      <c r="H246" s="121" t="n"/>
    </row>
    <row r="247" ht="18" customHeight="1" s="97">
      <c r="A247" s="101" t="n">
        <v>245</v>
      </c>
      <c r="B247" s="102" t="inlineStr">
        <is>
          <t>전남</t>
        </is>
      </c>
      <c r="C247" s="107" t="inlineStr">
        <is>
          <t>무안CC</t>
        </is>
      </c>
      <c r="D247" s="102" t="inlineStr">
        <is>
          <t>대중제</t>
        </is>
      </c>
      <c r="E247" s="101" t="n">
        <v>54</v>
      </c>
      <c r="F247" s="105" t="inlineStr">
        <is>
          <t>무안군 청계면 서호로 162</t>
        </is>
      </c>
      <c r="G247" s="189" t="inlineStr">
        <is>
          <t>🔴 1순위</t>
        </is>
      </c>
      <c r="H247" s="111" t="n"/>
    </row>
    <row r="248" ht="18" customHeight="1" s="97">
      <c r="A248" s="112" t="n">
        <v>246</v>
      </c>
      <c r="B248" s="113" t="inlineStr">
        <is>
          <t>전남</t>
        </is>
      </c>
      <c r="C248" s="118" t="inlineStr">
        <is>
          <t>보성CC</t>
        </is>
      </c>
      <c r="D248" s="113" t="inlineStr">
        <is>
          <t>대중제</t>
        </is>
      </c>
      <c r="E248" s="112" t="n">
        <v>18</v>
      </c>
      <c r="F248" s="116" t="inlineStr">
        <is>
          <t>보성군 조성면 조성3길 338</t>
        </is>
      </c>
      <c r="G248" s="189" t="inlineStr">
        <is>
          <t>🔴 1순위</t>
        </is>
      </c>
      <c r="H248" s="121" t="n"/>
    </row>
    <row r="249" ht="18" customHeight="1" s="97">
      <c r="A249" s="101" t="n">
        <v>247</v>
      </c>
      <c r="B249" s="102" t="inlineStr">
        <is>
          <t>전남</t>
        </is>
      </c>
      <c r="C249" s="107" t="inlineStr">
        <is>
          <t>사우스링스영암cc</t>
        </is>
      </c>
      <c r="D249" s="102" t="inlineStr">
        <is>
          <t>대중제</t>
        </is>
      </c>
      <c r="E249" s="101" t="n">
        <v>45</v>
      </c>
      <c r="F249" s="105" t="inlineStr">
        <is>
          <t>영암군 삼호읍 에프원로 121-1</t>
        </is>
      </c>
      <c r="G249" s="189" t="inlineStr">
        <is>
          <t>🔴 1순위</t>
        </is>
      </c>
      <c r="H249" s="111" t="n"/>
    </row>
    <row r="250" ht="18" customHeight="1" s="97">
      <c r="A250" s="112" t="n">
        <v>248</v>
      </c>
      <c r="B250" s="113" t="inlineStr">
        <is>
          <t>전남</t>
        </is>
      </c>
      <c r="C250" s="118" t="inlineStr">
        <is>
          <t>세이지우드여수경도</t>
        </is>
      </c>
      <c r="D250" s="113" t="inlineStr">
        <is>
          <t>대중제</t>
        </is>
      </c>
      <c r="E250" s="112" t="n">
        <v>27</v>
      </c>
      <c r="F250" s="116" t="inlineStr">
        <is>
          <t>여수시 대경도길 33</t>
        </is>
      </c>
      <c r="G250" s="189" t="inlineStr">
        <is>
          <t>🔴 1순위</t>
        </is>
      </c>
      <c r="H250" s="121" t="n"/>
    </row>
    <row r="251" ht="18" customHeight="1" s="97">
      <c r="A251" s="101" t="n">
        <v>249</v>
      </c>
      <c r="B251" s="102" t="inlineStr">
        <is>
          <t>전남</t>
        </is>
      </c>
      <c r="C251" s="107" t="inlineStr">
        <is>
          <t>솔라시도CC</t>
        </is>
      </c>
      <c r="D251" s="102" t="inlineStr">
        <is>
          <t>대중제</t>
        </is>
      </c>
      <c r="E251" s="101" t="n">
        <v>18</v>
      </c>
      <c r="F251" s="105" t="inlineStr">
        <is>
          <t>해남군 산이면 산이로 2247</t>
        </is>
      </c>
      <c r="G251" s="189" t="inlineStr">
        <is>
          <t>🔴 1순위</t>
        </is>
      </c>
      <c r="H251" s="111" t="n"/>
    </row>
    <row r="252" ht="18" customHeight="1" s="97">
      <c r="A252" s="112" t="n">
        <v>250</v>
      </c>
      <c r="B252" s="113" t="inlineStr">
        <is>
          <t>전남</t>
        </is>
      </c>
      <c r="C252" s="118" t="inlineStr">
        <is>
          <t>순천부영CC</t>
        </is>
      </c>
      <c r="D252" s="113" t="inlineStr">
        <is>
          <t>대중제</t>
        </is>
      </c>
      <c r="E252" s="112" t="n">
        <v>18</v>
      </c>
      <c r="F252" s="116" t="inlineStr">
        <is>
          <t>순천시 해룡면 신대로 188</t>
        </is>
      </c>
      <c r="G252" s="189" t="inlineStr">
        <is>
          <t>🔴 1순위</t>
        </is>
      </c>
      <c r="H252" s="121" t="n"/>
    </row>
    <row r="253" ht="18" customHeight="1" s="97">
      <c r="A253" s="101" t="n">
        <v>251</v>
      </c>
      <c r="B253" s="102" t="inlineStr">
        <is>
          <t>전남</t>
        </is>
      </c>
      <c r="C253" s="107" t="inlineStr">
        <is>
          <t>아크로CC</t>
        </is>
      </c>
      <c r="D253" s="102" t="inlineStr">
        <is>
          <t>대중제</t>
        </is>
      </c>
      <c r="E253" s="101" t="n">
        <v>27</v>
      </c>
      <c r="F253" s="105" t="inlineStr">
        <is>
          <t>영암군 금정면 안적동길 403</t>
        </is>
      </c>
      <c r="G253" s="189" t="inlineStr">
        <is>
          <t>🔴 1순위</t>
        </is>
      </c>
      <c r="H253" s="111" t="n"/>
    </row>
    <row r="254" ht="18" customHeight="1" s="97">
      <c r="A254" s="112" t="n">
        <v>252</v>
      </c>
      <c r="B254" s="113" t="inlineStr">
        <is>
          <t>전남</t>
        </is>
      </c>
      <c r="C254" s="118" t="inlineStr">
        <is>
          <t>여수시티파크골프&amp;호텔</t>
        </is>
      </c>
      <c r="D254" s="113" t="inlineStr">
        <is>
          <t>대중제</t>
        </is>
      </c>
      <c r="E254" s="112" t="n">
        <v>18</v>
      </c>
      <c r="F254" s="116" t="inlineStr">
        <is>
          <t>여수시 좌수영로 641</t>
        </is>
      </c>
      <c r="G254" s="189" t="inlineStr">
        <is>
          <t>🔴 1순위</t>
        </is>
      </c>
      <c r="H254" s="121" t="n"/>
    </row>
    <row r="255" ht="18" customHeight="1" s="97">
      <c r="A255" s="101" t="n">
        <v>253</v>
      </c>
      <c r="B255" s="102" t="inlineStr">
        <is>
          <t>전남</t>
        </is>
      </c>
      <c r="C255" s="107" t="inlineStr">
        <is>
          <t>웨스트오션CC</t>
        </is>
      </c>
      <c r="D255" s="102" t="inlineStr">
        <is>
          <t>대중제</t>
        </is>
      </c>
      <c r="E255" s="101" t="n">
        <v>18</v>
      </c>
      <c r="F255" s="105" t="inlineStr">
        <is>
          <t>영광군 백수읍 해안로 1362-70</t>
        </is>
      </c>
      <c r="G255" s="189" t="inlineStr">
        <is>
          <t>🔴 1순위</t>
        </is>
      </c>
      <c r="H255" s="111" t="n"/>
    </row>
    <row r="256" ht="18" customHeight="1" s="97">
      <c r="A256" s="112" t="n">
        <v>254</v>
      </c>
      <c r="B256" s="113" t="inlineStr">
        <is>
          <t>전남</t>
        </is>
      </c>
      <c r="C256" s="118" t="inlineStr">
        <is>
          <t>클린밸리CC</t>
        </is>
      </c>
      <c r="D256" s="113" t="inlineStr">
        <is>
          <t>대중제</t>
        </is>
      </c>
      <c r="E256" s="112" t="n">
        <v>18</v>
      </c>
      <c r="F256" s="116" t="inlineStr">
        <is>
          <t>무안군 청계면 동암길 2-200</t>
        </is>
      </c>
      <c r="G256" s="189" t="inlineStr">
        <is>
          <t>🔴 1순위</t>
        </is>
      </c>
      <c r="H256" s="121" t="n"/>
    </row>
    <row r="257" ht="18" customHeight="1" s="97">
      <c r="A257" s="101" t="n">
        <v>255</v>
      </c>
      <c r="B257" s="102" t="inlineStr">
        <is>
          <t>전남</t>
        </is>
      </c>
      <c r="C257" s="107" t="inlineStr">
        <is>
          <t>파인비치골프링크스</t>
        </is>
      </c>
      <c r="D257" s="102" t="inlineStr">
        <is>
          <t>대중제</t>
        </is>
      </c>
      <c r="E257" s="101" t="n">
        <v>18</v>
      </c>
      <c r="F257" s="105" t="inlineStr">
        <is>
          <t>해남군 화원면 시아로 224</t>
        </is>
      </c>
      <c r="G257" s="189" t="inlineStr">
        <is>
          <t>🔴 1순위</t>
        </is>
      </c>
      <c r="H257" s="111" t="n"/>
    </row>
    <row r="258" ht="18" customHeight="1" s="97">
      <c r="A258" s="112" t="n">
        <v>256</v>
      </c>
      <c r="B258" s="113" t="inlineStr">
        <is>
          <t>전남</t>
        </is>
      </c>
      <c r="C258" s="118" t="inlineStr">
        <is>
          <t>파인힐스CC</t>
        </is>
      </c>
      <c r="D258" s="113" t="inlineStr">
        <is>
          <t>대중제</t>
        </is>
      </c>
      <c r="E258" s="112" t="n">
        <v>27</v>
      </c>
      <c r="F258" s="116" t="inlineStr">
        <is>
          <t>순천시 주암면 송광사길 99</t>
        </is>
      </c>
      <c r="G258" s="189" t="inlineStr">
        <is>
          <t>🔴 1순위</t>
        </is>
      </c>
      <c r="H258" s="121" t="n"/>
    </row>
    <row r="259" ht="18" customHeight="1" s="97">
      <c r="A259" s="101" t="n">
        <v>257</v>
      </c>
      <c r="B259" s="102" t="inlineStr">
        <is>
          <t>전남</t>
        </is>
      </c>
      <c r="C259" s="107" t="inlineStr">
        <is>
          <t>푸른솔골프클럽</t>
        </is>
      </c>
      <c r="D259" s="102" t="inlineStr">
        <is>
          <t>대중제</t>
        </is>
      </c>
      <c r="E259" s="101" t="n">
        <v>27</v>
      </c>
      <c r="F259" s="105" t="inlineStr">
        <is>
          <t>장성군 동화면 임정로 155</t>
        </is>
      </c>
      <c r="G259" s="189" t="inlineStr">
        <is>
          <t>🔴 1순위</t>
        </is>
      </c>
      <c r="H259" s="111" t="n"/>
    </row>
    <row r="260" ht="18" customHeight="1" s="97">
      <c r="A260" s="112" t="n">
        <v>258</v>
      </c>
      <c r="B260" s="113" t="inlineStr">
        <is>
          <t>전남</t>
        </is>
      </c>
      <c r="C260" s="118" t="inlineStr">
        <is>
          <t>함평엘리체CC</t>
        </is>
      </c>
      <c r="D260" s="113" t="inlineStr">
        <is>
          <t>대중제</t>
        </is>
      </c>
      <c r="E260" s="112" t="n">
        <v>27</v>
      </c>
      <c r="F260" s="116" t="inlineStr">
        <is>
          <t>함평군 학교면 서당매길 242</t>
        </is>
      </c>
      <c r="G260" s="189" t="inlineStr">
        <is>
          <t>🔴 1순위</t>
        </is>
      </c>
      <c r="H260" s="121" t="n"/>
    </row>
    <row r="261" ht="18" customHeight="1" s="97">
      <c r="A261" s="101" t="n">
        <v>259</v>
      </c>
      <c r="B261" s="102" t="inlineStr">
        <is>
          <t>전남</t>
        </is>
      </c>
      <c r="C261" s="107" t="inlineStr">
        <is>
          <t>해피니스CC</t>
        </is>
      </c>
      <c r="D261" s="102" t="inlineStr">
        <is>
          <t>대중제</t>
        </is>
      </c>
      <c r="E261" s="101" t="n">
        <v>18</v>
      </c>
      <c r="F261" s="105" t="inlineStr">
        <is>
          <t>나주시 다도면 다도로 171-60</t>
        </is>
      </c>
      <c r="G261" s="189" t="inlineStr">
        <is>
          <t>🔴 1순위</t>
        </is>
      </c>
      <c r="H261" s="111" t="n"/>
    </row>
    <row r="262" ht="18" customHeight="1" s="97">
      <c r="A262" s="112" t="n">
        <v>260</v>
      </c>
      <c r="B262" s="113" t="inlineStr">
        <is>
          <t>전북</t>
        </is>
      </c>
      <c r="C262" s="126" t="inlineStr">
        <is>
          <t>CLUBD 금강</t>
        </is>
      </c>
      <c r="D262" s="113" t="inlineStr">
        <is>
          <t>대중제</t>
        </is>
      </c>
      <c r="E262" s="112" t="n">
        <v>18</v>
      </c>
      <c r="F262" s="116" t="inlineStr">
        <is>
          <t>전라북도 익산시 웅포면 강변로 130</t>
        </is>
      </c>
      <c r="G262" s="189" t="inlineStr">
        <is>
          <t>🔴 1순위</t>
        </is>
      </c>
      <c r="H262" s="121" t="n"/>
    </row>
    <row r="263" ht="18" customHeight="1" s="97">
      <c r="A263" s="101" t="n">
        <v>261</v>
      </c>
      <c r="B263" s="102" t="inlineStr">
        <is>
          <t>전북</t>
        </is>
      </c>
      <c r="C263" s="107" t="inlineStr">
        <is>
          <t>고창CC</t>
        </is>
      </c>
      <c r="D263" s="102" t="inlineStr">
        <is>
          <t>대중제</t>
        </is>
      </c>
      <c r="E263" s="101" t="n">
        <v>21</v>
      </c>
      <c r="F263" s="105" t="inlineStr">
        <is>
          <t>전라북도 고창군 심원면 애향갯벌로 70</t>
        </is>
      </c>
      <c r="G263" s="189" t="inlineStr">
        <is>
          <t>🔴 1순위</t>
        </is>
      </c>
      <c r="H263" s="111" t="n"/>
    </row>
    <row r="264" ht="18" customHeight="1" s="97">
      <c r="A264" s="112" t="n">
        <v>262</v>
      </c>
      <c r="B264" s="113" t="inlineStr">
        <is>
          <t>전북</t>
        </is>
      </c>
      <c r="C264" s="118" t="inlineStr">
        <is>
          <t>골프존 카운티 드래곤</t>
        </is>
      </c>
      <c r="D264" s="113" t="inlineStr">
        <is>
          <t>대중제</t>
        </is>
      </c>
      <c r="E264" s="112" t="n">
        <v>18</v>
      </c>
      <c r="F264" s="116" t="inlineStr">
        <is>
          <t>전라북도 남원시 대산면 대사로 498</t>
        </is>
      </c>
      <c r="G264" s="189" t="inlineStr">
        <is>
          <t>🔴 1순위</t>
        </is>
      </c>
      <c r="H264" s="121" t="n"/>
    </row>
    <row r="265" ht="18" customHeight="1" s="97">
      <c r="A265" s="101" t="n">
        <v>263</v>
      </c>
      <c r="B265" s="102" t="inlineStr">
        <is>
          <t>전북</t>
        </is>
      </c>
      <c r="C265" s="107" t="inlineStr">
        <is>
          <t>골프존카운티무주</t>
        </is>
      </c>
      <c r="D265" s="102" t="inlineStr">
        <is>
          <t>대중제</t>
        </is>
      </c>
      <c r="E265" s="101" t="n">
        <v>18</v>
      </c>
      <c r="F265" s="105" t="inlineStr">
        <is>
          <t>전라북도 무주군 안성면 장무로 1537-21</t>
        </is>
      </c>
      <c r="G265" s="189" t="inlineStr">
        <is>
          <t>🔴 1순위</t>
        </is>
      </c>
      <c r="H265" s="111" t="n"/>
    </row>
    <row r="266" ht="18" customHeight="1" s="97">
      <c r="A266" s="112" t="n">
        <v>264</v>
      </c>
      <c r="B266" s="113" t="inlineStr">
        <is>
          <t>전북</t>
        </is>
      </c>
      <c r="C266" s="118" t="inlineStr">
        <is>
          <t>골프존카운티선운</t>
        </is>
      </c>
      <c r="D266" s="113" t="inlineStr">
        <is>
          <t>대중제</t>
        </is>
      </c>
      <c r="E266" s="112" t="n">
        <v>18</v>
      </c>
      <c r="F266" s="116" t="inlineStr">
        <is>
          <t>전라북도 고창군 아산면 운곡로 418</t>
        </is>
      </c>
      <c r="G266" s="189" t="inlineStr">
        <is>
          <t>🔴 1순위</t>
        </is>
      </c>
      <c r="H266" s="121" t="n"/>
    </row>
    <row r="267" ht="18" customHeight="1" s="97">
      <c r="A267" s="101" t="n">
        <v>265</v>
      </c>
      <c r="B267" s="102" t="inlineStr">
        <is>
          <t>전북</t>
        </is>
      </c>
      <c r="C267" s="107" t="inlineStr">
        <is>
          <t>군산CC</t>
        </is>
      </c>
      <c r="D267" s="102" t="inlineStr">
        <is>
          <t>대중제</t>
        </is>
      </c>
      <c r="E267" s="101" t="n">
        <v>81</v>
      </c>
      <c r="F267" s="105" t="inlineStr">
        <is>
          <t>전라북도 군산시 옥서면 남산군로 1685</t>
        </is>
      </c>
      <c r="G267" s="189" t="inlineStr">
        <is>
          <t>🔴 1순위</t>
        </is>
      </c>
      <c r="H267" s="111" t="n"/>
    </row>
    <row r="268" ht="18" customHeight="1" s="97">
      <c r="A268" s="112" t="n">
        <v>266</v>
      </c>
      <c r="B268" s="113" t="inlineStr">
        <is>
          <t>전북</t>
        </is>
      </c>
      <c r="C268" s="118" t="inlineStr">
        <is>
          <t>김제스파힐스CC</t>
        </is>
      </c>
      <c r="D268" s="113" t="inlineStr">
        <is>
          <t>대중제</t>
        </is>
      </c>
      <c r="E268" s="112" t="n">
        <v>18</v>
      </c>
      <c r="F268" s="116" t="inlineStr">
        <is>
          <t>전라북도 김제시 온천길 37</t>
        </is>
      </c>
      <c r="G268" s="189" t="inlineStr">
        <is>
          <t>🔴 1순위</t>
        </is>
      </c>
      <c r="H268" s="121" t="n"/>
    </row>
    <row r="269" ht="18" customHeight="1" s="97">
      <c r="A269" s="101" t="n">
        <v>267</v>
      </c>
      <c r="B269" s="102" t="inlineStr">
        <is>
          <t>전북</t>
        </is>
      </c>
      <c r="C269" s="107" t="inlineStr">
        <is>
          <t>남원상록골프장</t>
        </is>
      </c>
      <c r="D269" s="102" t="inlineStr">
        <is>
          <t>대중제</t>
        </is>
      </c>
      <c r="E269" s="101" t="n">
        <v>18</v>
      </c>
      <c r="F269" s="105" t="inlineStr">
        <is>
          <t>전라북도 남원시 대산면 월계길 11</t>
        </is>
      </c>
      <c r="G269" s="189" t="inlineStr">
        <is>
          <t>🔴 1순위</t>
        </is>
      </c>
      <c r="H269" s="111" t="n"/>
    </row>
    <row r="270" ht="18" customHeight="1" s="97">
      <c r="A270" s="112" t="n">
        <v>268</v>
      </c>
      <c r="B270" s="113" t="inlineStr">
        <is>
          <t>전북</t>
        </is>
      </c>
      <c r="C270" s="118" t="inlineStr">
        <is>
          <t>내장산골프&amp;리조트</t>
        </is>
      </c>
      <c r="D270" s="113" t="inlineStr">
        <is>
          <t>대중제</t>
        </is>
      </c>
      <c r="E270" s="112" t="n">
        <v>18</v>
      </c>
      <c r="F270" s="116" t="inlineStr">
        <is>
          <t>전라북도 정읍시 첨단과학로 476</t>
        </is>
      </c>
      <c r="G270" s="189" t="inlineStr">
        <is>
          <t>🔴 1순위</t>
        </is>
      </c>
      <c r="H270" s="121" t="n"/>
    </row>
    <row r="271" ht="18" customHeight="1" s="97">
      <c r="A271" s="101" t="n">
        <v>269</v>
      </c>
      <c r="B271" s="102" t="inlineStr">
        <is>
          <t>전북</t>
        </is>
      </c>
      <c r="C271" s="107" t="inlineStr">
        <is>
          <t>석정힐CC</t>
        </is>
      </c>
      <c r="D271" s="102" t="inlineStr">
        <is>
          <t>대중제</t>
        </is>
      </c>
      <c r="E271" s="101" t="n">
        <v>18</v>
      </c>
      <c r="F271" s="105" t="inlineStr">
        <is>
          <t>전라북도 고창군 고창읍 석정2로 192</t>
        </is>
      </c>
      <c r="G271" s="189" t="inlineStr">
        <is>
          <t>🔴 1순위</t>
        </is>
      </c>
      <c r="H271" s="111" t="n"/>
    </row>
    <row r="272" ht="18" customHeight="1" s="97">
      <c r="A272" s="112" t="n">
        <v>270</v>
      </c>
      <c r="B272" s="113" t="inlineStr">
        <is>
          <t>전북</t>
        </is>
      </c>
      <c r="C272" s="118" t="inlineStr">
        <is>
          <t>써미트CC</t>
        </is>
      </c>
      <c r="D272" s="113" t="inlineStr">
        <is>
          <t>대중제</t>
        </is>
      </c>
      <c r="E272" s="112" t="n">
        <v>27</v>
      </c>
      <c r="F272" s="116" t="inlineStr">
        <is>
          <t>전라북도 진안군 부귀면 부귀로 72-161</t>
        </is>
      </c>
      <c r="G272" s="189" t="inlineStr">
        <is>
          <t>🔴 1순위</t>
        </is>
      </c>
      <c r="H272" s="121" t="n"/>
    </row>
    <row r="273" ht="18" customHeight="1" s="97">
      <c r="A273" s="101" t="n">
        <v>271</v>
      </c>
      <c r="B273" s="102" t="inlineStr">
        <is>
          <t>전북</t>
        </is>
      </c>
      <c r="C273" s="107" t="inlineStr">
        <is>
          <t>웅포컨트리클럽</t>
        </is>
      </c>
      <c r="D273" s="102" t="inlineStr">
        <is>
          <t>대중제</t>
        </is>
      </c>
      <c r="E273" s="101" t="n">
        <v>18</v>
      </c>
      <c r="F273" s="105" t="inlineStr">
        <is>
          <t>전라북도 익산시 웅포면 강변로 130</t>
        </is>
      </c>
      <c r="G273" s="189" t="inlineStr">
        <is>
          <t>🔴 1순위</t>
        </is>
      </c>
      <c r="H273" s="111" t="n"/>
    </row>
    <row r="274" ht="18" customHeight="1" s="97">
      <c r="A274" s="112" t="n">
        <v>272</v>
      </c>
      <c r="B274" s="113" t="inlineStr">
        <is>
          <t>전북</t>
        </is>
      </c>
      <c r="C274" s="118" t="inlineStr">
        <is>
          <t>익산컨트리클럽</t>
        </is>
      </c>
      <c r="D274" s="113" t="inlineStr">
        <is>
          <t>대중제</t>
        </is>
      </c>
      <c r="E274" s="112" t="n">
        <v>18</v>
      </c>
      <c r="F274" s="116" t="inlineStr">
        <is>
          <t>전라북도 익산시 무왕로38길 111</t>
        </is>
      </c>
      <c r="G274" s="189" t="inlineStr">
        <is>
          <t>🔴 1순위</t>
        </is>
      </c>
      <c r="H274" s="121" t="n"/>
    </row>
    <row r="275" ht="18" customHeight="1" s="97">
      <c r="A275" s="101" t="n">
        <v>273</v>
      </c>
      <c r="B275" s="102" t="inlineStr">
        <is>
          <t>전북</t>
        </is>
      </c>
      <c r="C275" s="107" t="inlineStr">
        <is>
          <t>장수골프리조트</t>
        </is>
      </c>
      <c r="D275" s="102" t="inlineStr">
        <is>
          <t>대중제</t>
        </is>
      </c>
      <c r="E275" s="101" t="n">
        <v>18</v>
      </c>
      <c r="F275" s="105" t="inlineStr">
        <is>
          <t>전라북도 장수군 계남면 장안산로 303</t>
        </is>
      </c>
      <c r="G275" s="189" t="inlineStr">
        <is>
          <t>🔴 1순위</t>
        </is>
      </c>
      <c r="H275" s="111" t="n"/>
    </row>
    <row r="276" ht="18" customHeight="1" s="97">
      <c r="A276" s="112" t="n">
        <v>274</v>
      </c>
      <c r="B276" s="113" t="inlineStr">
        <is>
          <t>전북</t>
        </is>
      </c>
      <c r="C276" s="118" t="inlineStr">
        <is>
          <t>태인CC</t>
        </is>
      </c>
      <c r="D276" s="113" t="inlineStr">
        <is>
          <t>대중제</t>
        </is>
      </c>
      <c r="E276" s="112" t="n">
        <v>18</v>
      </c>
      <c r="F276" s="116" t="inlineStr">
        <is>
          <t>전라북도 정읍시 태인면 상증길 28</t>
        </is>
      </c>
      <c r="G276" s="189" t="inlineStr">
        <is>
          <t>🔴 1순위</t>
        </is>
      </c>
      <c r="H276" s="121" t="n"/>
    </row>
    <row r="277" ht="18" customHeight="1" s="97">
      <c r="A277" s="101" t="n">
        <v>275</v>
      </c>
      <c r="B277" s="102" t="inlineStr">
        <is>
          <t>제주</t>
        </is>
      </c>
      <c r="C277" s="107" t="inlineStr">
        <is>
          <t>㈜부영CC</t>
        </is>
      </c>
      <c r="D277" s="102" t="inlineStr">
        <is>
          <t>대중제</t>
        </is>
      </c>
      <c r="E277" s="101" t="n">
        <v>27</v>
      </c>
      <c r="F277" s="105" t="inlineStr">
        <is>
          <t>서귀포시 남원읍 남조로 960</t>
        </is>
      </c>
      <c r="G277" s="189" t="inlineStr">
        <is>
          <t>🔴 1순위</t>
        </is>
      </c>
      <c r="H277" s="111" t="n"/>
    </row>
    <row r="278" ht="18" customHeight="1" s="97">
      <c r="A278" s="112" t="n">
        <v>276</v>
      </c>
      <c r="B278" s="113" t="inlineStr">
        <is>
          <t>제주</t>
        </is>
      </c>
      <c r="C278" s="118" t="inlineStr">
        <is>
          <t>㈜우리들리조트 제주</t>
        </is>
      </c>
      <c r="D278" s="113" t="inlineStr">
        <is>
          <t>대중제</t>
        </is>
      </c>
      <c r="E278" s="112" t="n">
        <v>18</v>
      </c>
      <c r="F278" s="116" t="inlineStr">
        <is>
          <t>제주특별자치도 서귀포시 산록남로 2914</t>
        </is>
      </c>
      <c r="G278" s="189" t="inlineStr">
        <is>
          <t>🔴 1순위</t>
        </is>
      </c>
      <c r="H278" s="121" t="n"/>
    </row>
    <row r="279" ht="18" customHeight="1" s="97">
      <c r="A279" s="101" t="n">
        <v>277</v>
      </c>
      <c r="B279" s="102" t="inlineStr">
        <is>
          <t>제주</t>
        </is>
      </c>
      <c r="C279" s="107" t="inlineStr">
        <is>
          <t>더클래식CC</t>
        </is>
      </c>
      <c r="D279" s="102" t="inlineStr">
        <is>
          <t>대중제</t>
        </is>
      </c>
      <c r="E279" s="101" t="n">
        <v>18</v>
      </c>
      <c r="F279" s="105" t="inlineStr">
        <is>
          <t>서귀포시 남조로 1105</t>
        </is>
      </c>
      <c r="G279" s="189" t="inlineStr">
        <is>
          <t>🔴 1순위</t>
        </is>
      </c>
      <c r="H279" s="111" t="n"/>
    </row>
    <row r="280" ht="18" customHeight="1" s="97">
      <c r="A280" s="112" t="n">
        <v>278</v>
      </c>
      <c r="B280" s="113" t="inlineStr">
        <is>
          <t>제주</t>
        </is>
      </c>
      <c r="C280" s="118" t="inlineStr">
        <is>
          <t>라온골프클럽</t>
        </is>
      </c>
      <c r="D280" s="113" t="inlineStr">
        <is>
          <t>대중제</t>
        </is>
      </c>
      <c r="E280" s="112" t="n">
        <v>27</v>
      </c>
      <c r="F280" s="116" t="inlineStr">
        <is>
          <t>제주도 제주시 한경면 용금로 998</t>
        </is>
      </c>
      <c r="G280" s="189" t="inlineStr">
        <is>
          <t>🔴 1순위</t>
        </is>
      </c>
      <c r="H280" s="121" t="n"/>
    </row>
    <row r="281" ht="18" customHeight="1" s="97">
      <c r="A281" s="101" t="n">
        <v>279</v>
      </c>
      <c r="B281" s="102" t="inlineStr">
        <is>
          <t>제주</t>
        </is>
      </c>
      <c r="C281" s="107" t="inlineStr">
        <is>
          <t>샤인빌파크C.C.</t>
        </is>
      </c>
      <c r="D281" s="102" t="inlineStr">
        <is>
          <t>대중제</t>
        </is>
      </c>
      <c r="E281" s="101" t="n">
        <v>18</v>
      </c>
      <c r="F281" s="105" t="inlineStr">
        <is>
          <t>서귀포시 표선면 가시로 384</t>
        </is>
      </c>
      <c r="G281" s="189" t="inlineStr">
        <is>
          <t>🔴 1순위</t>
        </is>
      </c>
      <c r="H281" s="111" t="n"/>
    </row>
    <row r="282" ht="18" customHeight="1" s="97">
      <c r="A282" s="112" t="n">
        <v>280</v>
      </c>
      <c r="B282" s="113" t="inlineStr">
        <is>
          <t>제주</t>
        </is>
      </c>
      <c r="C282" s="118" t="inlineStr">
        <is>
          <t>스프링데일</t>
        </is>
      </c>
      <c r="D282" s="113" t="inlineStr">
        <is>
          <t>대중제</t>
        </is>
      </c>
      <c r="E282" s="112" t="n">
        <v>18</v>
      </c>
      <c r="F282" s="116" t="inlineStr">
        <is>
          <t>서귀포시 서성로 459</t>
        </is>
      </c>
      <c r="G282" s="189" t="inlineStr">
        <is>
          <t>🔴 1순위</t>
        </is>
      </c>
      <c r="H282" s="121" t="n"/>
    </row>
    <row r="283" ht="18" customHeight="1" s="97">
      <c r="A283" s="101" t="n">
        <v>281</v>
      </c>
      <c r="B283" s="102" t="inlineStr">
        <is>
          <t>제주</t>
        </is>
      </c>
      <c r="C283" s="107" t="inlineStr">
        <is>
          <t>아덴힐</t>
        </is>
      </c>
      <c r="D283" s="102" t="inlineStr">
        <is>
          <t>대중제</t>
        </is>
      </c>
      <c r="E283" s="101" t="n">
        <v>18</v>
      </c>
      <c r="F283" s="105" t="inlineStr">
        <is>
          <t>제주시 화전길 82</t>
        </is>
      </c>
      <c r="G283" s="189" t="inlineStr">
        <is>
          <t>🔴 1순위</t>
        </is>
      </c>
      <c r="H283" s="111" t="n"/>
    </row>
    <row r="284" ht="18" customHeight="1" s="97">
      <c r="A284" s="112" t="n">
        <v>282</v>
      </c>
      <c r="B284" s="113" t="inlineStr">
        <is>
          <t>제주</t>
        </is>
      </c>
      <c r="C284" s="118" t="inlineStr">
        <is>
          <t>에코랜드</t>
        </is>
      </c>
      <c r="D284" s="113" t="inlineStr">
        <is>
          <t>대중제</t>
        </is>
      </c>
      <c r="E284" s="112" t="n">
        <v>27</v>
      </c>
      <c r="F284" s="116" t="inlineStr">
        <is>
          <t>제주시 번영로 1278-169</t>
        </is>
      </c>
      <c r="G284" s="189" t="inlineStr">
        <is>
          <t>🔴 1순위</t>
        </is>
      </c>
      <c r="H284" s="121" t="n"/>
    </row>
    <row r="285" ht="18" customHeight="1" s="97">
      <c r="A285" s="101" t="n">
        <v>283</v>
      </c>
      <c r="B285" s="102" t="inlineStr">
        <is>
          <t>제주</t>
        </is>
      </c>
      <c r="C285" s="107" t="inlineStr">
        <is>
          <t>제주CC</t>
        </is>
      </c>
      <c r="D285" s="102" t="inlineStr">
        <is>
          <t>대중제</t>
        </is>
      </c>
      <c r="E285" s="101" t="n">
        <v>18</v>
      </c>
      <c r="F285" s="105" t="inlineStr">
        <is>
          <t>제주특별자치도 제주시 516로 2695번지</t>
        </is>
      </c>
      <c r="G285" s="189" t="inlineStr">
        <is>
          <t>🔴 1순위</t>
        </is>
      </c>
      <c r="H285" s="111" t="n"/>
    </row>
    <row r="286" ht="18" customHeight="1" s="97">
      <c r="A286" s="112" t="n">
        <v>284</v>
      </c>
      <c r="B286" s="113" t="inlineStr">
        <is>
          <t>제주</t>
        </is>
      </c>
      <c r="C286" s="118" t="inlineStr">
        <is>
          <t>중문GC</t>
        </is>
      </c>
      <c r="D286" s="113" t="inlineStr">
        <is>
          <t>대중제</t>
        </is>
      </c>
      <c r="E286" s="112" t="n">
        <v>18</v>
      </c>
      <c r="F286" s="116" t="inlineStr">
        <is>
          <t>서귀포시 중문관광로 72버길 60</t>
        </is>
      </c>
      <c r="G286" s="189" t="inlineStr">
        <is>
          <t>🔴 1순위</t>
        </is>
      </c>
      <c r="H286" s="121" t="n"/>
    </row>
    <row r="287" ht="18" customHeight="1" s="97">
      <c r="A287" s="101" t="n">
        <v>285</v>
      </c>
      <c r="B287" s="102" t="inlineStr">
        <is>
          <t>제주</t>
        </is>
      </c>
      <c r="C287" s="107" t="inlineStr">
        <is>
          <t>크라운CC</t>
        </is>
      </c>
      <c r="D287" s="102" t="inlineStr">
        <is>
          <t>대중제</t>
        </is>
      </c>
      <c r="E287" s="101" t="n">
        <v>27</v>
      </c>
      <c r="F287" s="105" t="inlineStr">
        <is>
          <t>제주시 북선로 125</t>
        </is>
      </c>
      <c r="G287" s="189" t="inlineStr">
        <is>
          <t>🔴 1순위</t>
        </is>
      </c>
      <c r="H287" s="111" t="n"/>
    </row>
    <row r="288" ht="18" customHeight="1" s="97">
      <c r="A288" s="112" t="n">
        <v>286</v>
      </c>
      <c r="B288" s="113" t="inlineStr">
        <is>
          <t>제주</t>
        </is>
      </c>
      <c r="C288" s="118" t="inlineStr">
        <is>
          <t>한라산CC</t>
        </is>
      </c>
      <c r="D288" s="113" t="inlineStr">
        <is>
          <t>대중제</t>
        </is>
      </c>
      <c r="E288" s="112" t="n">
        <v>18</v>
      </c>
      <c r="F288" s="116" t="inlineStr">
        <is>
          <t>제주시 선돌목동길 56-46</t>
        </is>
      </c>
      <c r="G288" s="189" t="inlineStr">
        <is>
          <t>🔴 1순위</t>
        </is>
      </c>
      <c r="H288" s="121" t="n"/>
    </row>
    <row r="289" ht="18" customHeight="1" s="97">
      <c r="A289" s="101" t="n">
        <v>287</v>
      </c>
      <c r="B289" s="102" t="inlineStr">
        <is>
          <t>충남</t>
        </is>
      </c>
      <c r="C289" s="107" t="inlineStr">
        <is>
          <t>㈜호텔롯데 스카이힐 부여CC</t>
        </is>
      </c>
      <c r="D289" s="102" t="inlineStr">
        <is>
          <t>대중제</t>
        </is>
      </c>
      <c r="E289" s="101" t="n">
        <v>18</v>
      </c>
      <c r="F289" s="105" t="inlineStr">
        <is>
          <t>부여군 규암면 백제문로 470</t>
        </is>
      </c>
      <c r="G289" s="189" t="inlineStr">
        <is>
          <t>🔴 1순위</t>
        </is>
      </c>
      <c r="H289" s="111" t="n"/>
    </row>
    <row r="290" ht="18" customHeight="1" s="97">
      <c r="A290" s="112" t="n">
        <v>288</v>
      </c>
      <c r="B290" s="113" t="inlineStr">
        <is>
          <t>충남</t>
        </is>
      </c>
      <c r="C290" s="118" t="inlineStr">
        <is>
          <t>골든베이골프&amp;리조트</t>
        </is>
      </c>
      <c r="D290" s="113" t="inlineStr">
        <is>
          <t>대중제</t>
        </is>
      </c>
      <c r="E290" s="112" t="n">
        <v>27</v>
      </c>
      <c r="F290" s="116" t="inlineStr">
        <is>
          <t>태안군 근흥면 정선포로 217</t>
        </is>
      </c>
      <c r="G290" s="189" t="inlineStr">
        <is>
          <t>🔴 1순위</t>
        </is>
      </c>
      <c r="H290" s="121" t="n"/>
    </row>
    <row r="291" ht="18" customHeight="1" s="97">
      <c r="A291" s="101" t="n">
        <v>289</v>
      </c>
      <c r="B291" s="102" t="inlineStr">
        <is>
          <t>충남</t>
        </is>
      </c>
      <c r="C291" s="107" t="inlineStr">
        <is>
          <t>로얄링스1</t>
        </is>
      </c>
      <c r="D291" s="102" t="inlineStr">
        <is>
          <t>대중제</t>
        </is>
      </c>
      <c r="E291" s="101" t="n">
        <v>18</v>
      </c>
      <c r="F291" s="105" t="inlineStr">
        <is>
          <t>태안군 태안읍 반곡길 284</t>
        </is>
      </c>
      <c r="G291" s="189" t="inlineStr">
        <is>
          <t>🔴 1순위</t>
        </is>
      </c>
      <c r="H291" s="111" t="n"/>
    </row>
    <row r="292" ht="18" customHeight="1" s="97">
      <c r="A292" s="112" t="n">
        <v>290</v>
      </c>
      <c r="B292" s="113" t="inlineStr">
        <is>
          <t>충남</t>
        </is>
      </c>
      <c r="C292" s="118" t="inlineStr">
        <is>
          <t>로얄링스2</t>
        </is>
      </c>
      <c r="D292" s="113" t="inlineStr">
        <is>
          <t>대중제</t>
        </is>
      </c>
      <c r="E292" s="112" t="n">
        <v>18</v>
      </c>
      <c r="F292" s="116" t="inlineStr">
        <is>
          <t>태안군 태안읍 반곡길 284</t>
        </is>
      </c>
      <c r="G292" s="189" t="inlineStr">
        <is>
          <t>🔴 1순위</t>
        </is>
      </c>
      <c r="H292" s="121" t="n"/>
    </row>
    <row r="293" ht="18" customHeight="1" s="97">
      <c r="A293" s="101" t="n">
        <v>291</v>
      </c>
      <c r="B293" s="102" t="inlineStr">
        <is>
          <t>충남</t>
        </is>
      </c>
      <c r="C293" s="107" t="inlineStr">
        <is>
          <t>백제컨트리클럽</t>
        </is>
      </c>
      <c r="D293" s="102" t="inlineStr">
        <is>
          <t>대중제</t>
        </is>
      </c>
      <c r="E293" s="101" t="n">
        <v>27</v>
      </c>
      <c r="F293" s="105" t="inlineStr">
        <is>
          <t>부여군 은산면 충절로 3734-82</t>
        </is>
      </c>
      <c r="G293" s="189" t="inlineStr">
        <is>
          <t>🔴 1순위</t>
        </is>
      </c>
      <c r="H293" s="111" t="n"/>
    </row>
    <row r="294" ht="18" customHeight="1" s="97">
      <c r="A294" s="112" t="n">
        <v>292</v>
      </c>
      <c r="B294" s="113" t="inlineStr">
        <is>
          <t>충남</t>
        </is>
      </c>
      <c r="C294" s="118" t="inlineStr">
        <is>
          <t>서산수 골프앤리조트</t>
        </is>
      </c>
      <c r="D294" s="113" t="inlineStr">
        <is>
          <t>대중제</t>
        </is>
      </c>
      <c r="E294" s="112" t="n">
        <v>18</v>
      </c>
      <c r="F294" s="116" t="inlineStr">
        <is>
          <t>서산시 대산읍 삼길포7로 8</t>
        </is>
      </c>
      <c r="G294" s="189" t="inlineStr">
        <is>
          <t>🔴 1순위</t>
        </is>
      </c>
      <c r="H294" s="121" t="n"/>
    </row>
    <row r="295" ht="18" customHeight="1" s="97">
      <c r="A295" s="101" t="n">
        <v>293</v>
      </c>
      <c r="B295" s="102" t="inlineStr">
        <is>
          <t>충남</t>
        </is>
      </c>
      <c r="C295" s="107" t="inlineStr">
        <is>
          <t>솔라고CC1</t>
        </is>
      </c>
      <c r="D295" s="102" t="inlineStr">
        <is>
          <t>대중제</t>
        </is>
      </c>
      <c r="E295" s="101" t="n">
        <v>18</v>
      </c>
      <c r="F295" s="105" t="inlineStr">
        <is>
          <t>태안군 태안읍 소곳이길 92-234</t>
        </is>
      </c>
      <c r="G295" s="189" t="inlineStr">
        <is>
          <t>🔴 1순위</t>
        </is>
      </c>
      <c r="H295" s="111" t="n"/>
    </row>
    <row r="296" ht="18" customHeight="1" s="97">
      <c r="A296" s="112" t="n">
        <v>294</v>
      </c>
      <c r="B296" s="113" t="inlineStr">
        <is>
          <t>충남</t>
        </is>
      </c>
      <c r="C296" s="118" t="inlineStr">
        <is>
          <t>솔라고CC2</t>
        </is>
      </c>
      <c r="D296" s="113" t="inlineStr">
        <is>
          <t>대중제</t>
        </is>
      </c>
      <c r="E296" s="112" t="n">
        <v>18</v>
      </c>
      <c r="F296" s="116" t="inlineStr">
        <is>
          <t>태안군 태안읍 소곳이길 92-234</t>
        </is>
      </c>
      <c r="G296" s="189" t="inlineStr">
        <is>
          <t>🔴 1순위</t>
        </is>
      </c>
      <c r="H296" s="121" t="n"/>
    </row>
    <row r="297" ht="18" customHeight="1" s="97">
      <c r="A297" s="101" t="n">
        <v>295</v>
      </c>
      <c r="B297" s="102" t="inlineStr">
        <is>
          <t>충남</t>
        </is>
      </c>
      <c r="C297" s="107" t="inlineStr">
        <is>
          <t>스톤비치컨트리클럽</t>
        </is>
      </c>
      <c r="D297" s="102" t="inlineStr">
        <is>
          <t>대중제</t>
        </is>
      </c>
      <c r="E297" s="101" t="n">
        <v>18</v>
      </c>
      <c r="F297" s="105" t="inlineStr">
        <is>
          <t>태안군 근흥면 갈음이길 88</t>
        </is>
      </c>
      <c r="G297" s="189" t="inlineStr">
        <is>
          <t>🔴 1순위</t>
        </is>
      </c>
      <c r="H297" s="111" t="n"/>
    </row>
    <row r="298" ht="18" customHeight="1" s="97">
      <c r="A298" s="112" t="n">
        <v>296</v>
      </c>
      <c r="B298" s="113" t="inlineStr">
        <is>
          <t>충남</t>
        </is>
      </c>
      <c r="C298" s="118" t="inlineStr">
        <is>
          <t>아리스타 CC</t>
        </is>
      </c>
      <c r="D298" s="113" t="inlineStr">
        <is>
          <t>대중제</t>
        </is>
      </c>
      <c r="E298" s="112" t="n">
        <v>18</v>
      </c>
      <c r="F298" s="116" t="inlineStr">
        <is>
          <t>연무읍 황화정리 산100</t>
        </is>
      </c>
      <c r="G298" s="189" t="inlineStr">
        <is>
          <t>🔴 1순위</t>
        </is>
      </c>
      <c r="H298" s="121" t="n"/>
    </row>
    <row r="299" ht="18" customHeight="1" s="97">
      <c r="A299" s="101" t="n">
        <v>297</v>
      </c>
      <c r="B299" s="102" t="inlineStr">
        <is>
          <t>충남</t>
        </is>
      </c>
      <c r="C299" s="107" t="inlineStr">
        <is>
          <t>에스지아름다운골프&amp;리조트</t>
        </is>
      </c>
      <c r="D299" s="102" t="inlineStr">
        <is>
          <t>대중제</t>
        </is>
      </c>
      <c r="E299" s="101" t="n">
        <v>27</v>
      </c>
      <c r="F299" s="105" t="inlineStr">
        <is>
          <t>아산시 영인면 영인산로 440</t>
        </is>
      </c>
      <c r="G299" s="189" t="inlineStr">
        <is>
          <t>🔴 1순위</t>
        </is>
      </c>
      <c r="H299" s="111" t="n"/>
    </row>
    <row r="300" ht="18" customHeight="1" s="97">
      <c r="A300" s="112" t="n">
        <v>298</v>
      </c>
      <c r="B300" s="113" t="inlineStr">
        <is>
          <t>충남</t>
        </is>
      </c>
      <c r="C300" s="118" t="inlineStr">
        <is>
          <t>천안상록골프장</t>
        </is>
      </c>
      <c r="D300" s="113" t="inlineStr">
        <is>
          <t>대중제</t>
        </is>
      </c>
      <c r="E300" s="112" t="n">
        <v>27</v>
      </c>
      <c r="F300" s="116" t="inlineStr">
        <is>
          <t>천안시 동남구 수신면 수신로 576</t>
        </is>
      </c>
      <c r="G300" s="189" t="inlineStr">
        <is>
          <t>🔴 1순위</t>
        </is>
      </c>
      <c r="H300" s="121" t="n"/>
    </row>
    <row r="301" ht="18" customHeight="1" s="97">
      <c r="A301" s="101" t="n">
        <v>299</v>
      </c>
      <c r="B301" s="102" t="inlineStr">
        <is>
          <t>충남</t>
        </is>
      </c>
      <c r="C301" s="107" t="inlineStr">
        <is>
          <t>파인스톤 컨트리클럽</t>
        </is>
      </c>
      <c r="D301" s="102" t="inlineStr">
        <is>
          <t>대중제</t>
        </is>
      </c>
      <c r="E301" s="101" t="n">
        <v>18</v>
      </c>
      <c r="F301" s="105" t="inlineStr">
        <is>
          <t>당진시 송산면 무수들길 90</t>
        </is>
      </c>
      <c r="G301" s="189" t="inlineStr">
        <is>
          <t>🔴 1순위</t>
        </is>
      </c>
      <c r="H301" s="111" t="n"/>
    </row>
    <row r="302" ht="18" customHeight="1" s="97">
      <c r="A302" s="112" t="n">
        <v>300</v>
      </c>
      <c r="B302" s="113" t="inlineStr">
        <is>
          <t>충남</t>
        </is>
      </c>
      <c r="C302" s="118" t="inlineStr">
        <is>
          <t>프린세스 골프클럽</t>
        </is>
      </c>
      <c r="D302" s="113" t="inlineStr">
        <is>
          <t>대중제</t>
        </is>
      </c>
      <c r="E302" s="112" t="n">
        <v>18</v>
      </c>
      <c r="F302" s="116" t="inlineStr">
        <is>
          <t>공주시 정안면 방자들길 81-50(인풍리)</t>
        </is>
      </c>
      <c r="G302" s="189" t="inlineStr">
        <is>
          <t>🔴 1순위</t>
        </is>
      </c>
      <c r="H302" s="121" t="n"/>
    </row>
    <row r="303" ht="18" customHeight="1" s="97">
      <c r="A303" s="101" t="n">
        <v>301</v>
      </c>
      <c r="B303" s="102" t="inlineStr">
        <is>
          <t>충북</t>
        </is>
      </c>
      <c r="C303" s="107" t="inlineStr">
        <is>
          <t>감곡cc</t>
        </is>
      </c>
      <c r="D303" s="102" t="inlineStr">
        <is>
          <t>대중제</t>
        </is>
      </c>
      <c r="E303" s="101" t="n">
        <v>18</v>
      </c>
      <c r="F303" s="105" t="inlineStr">
        <is>
          <t>음성군 감곡면 문촌리 산81-6</t>
        </is>
      </c>
      <c r="G303" s="189" t="inlineStr">
        <is>
          <t>🔴 1순위</t>
        </is>
      </c>
      <c r="H303" s="111" t="n"/>
    </row>
    <row r="304" ht="18" customHeight="1" s="97">
      <c r="A304" s="112" t="n">
        <v>302</v>
      </c>
      <c r="B304" s="113" t="inlineStr">
        <is>
          <t>충북</t>
        </is>
      </c>
      <c r="C304" s="118" t="inlineStr">
        <is>
          <t>골프존카운티 진천</t>
        </is>
      </c>
      <c r="D304" s="113" t="inlineStr">
        <is>
          <t>대중제</t>
        </is>
      </c>
      <c r="E304" s="112" t="n">
        <v>27</v>
      </c>
      <c r="F304" s="116" t="inlineStr">
        <is>
          <t>진천군 진천읍 송강로 783-51</t>
        </is>
      </c>
      <c r="G304" s="189" t="inlineStr">
        <is>
          <t>🔴 1순위</t>
        </is>
      </c>
      <c r="H304" s="121" t="n"/>
    </row>
    <row r="305" ht="18" customHeight="1" s="97">
      <c r="A305" s="101" t="n">
        <v>303</v>
      </c>
      <c r="B305" s="102" t="inlineStr">
        <is>
          <t>충북</t>
        </is>
      </c>
      <c r="C305" s="107" t="inlineStr">
        <is>
          <t>골프존카운티화랑</t>
        </is>
      </c>
      <c r="D305" s="102" t="inlineStr">
        <is>
          <t>대중제</t>
        </is>
      </c>
      <c r="E305" s="101" t="n">
        <v>18</v>
      </c>
      <c r="F305" s="105" t="inlineStr">
        <is>
          <t>진천군 문백면 농다리로 809</t>
        </is>
      </c>
      <c r="G305" s="189" t="inlineStr">
        <is>
          <t>🔴 1순위</t>
        </is>
      </c>
      <c r="H305" s="111" t="n"/>
    </row>
    <row r="306" ht="18" customHeight="1" s="97">
      <c r="A306" s="112" t="n">
        <v>304</v>
      </c>
      <c r="B306" s="113" t="inlineStr">
        <is>
          <t>충북</t>
        </is>
      </c>
      <c r="C306" s="118" t="inlineStr">
        <is>
          <t>대영베이스</t>
        </is>
      </c>
      <c r="D306" s="113" t="inlineStr">
        <is>
          <t>대중제</t>
        </is>
      </c>
      <c r="E306" s="112" t="n">
        <v>18</v>
      </c>
      <c r="F306" s="116" t="inlineStr">
        <is>
          <t>충주시 대소원면 성종두담길 113</t>
        </is>
      </c>
      <c r="G306" s="189" t="inlineStr">
        <is>
          <t>🔴 1순위</t>
        </is>
      </c>
      <c r="H306" s="121" t="n"/>
    </row>
    <row r="307" ht="18" customHeight="1" s="97">
      <c r="A307" s="101" t="n">
        <v>305</v>
      </c>
      <c r="B307" s="102" t="inlineStr">
        <is>
          <t>충북</t>
        </is>
      </c>
      <c r="C307" s="107" t="inlineStr">
        <is>
          <t>대영힐스</t>
        </is>
      </c>
      <c r="D307" s="102" t="inlineStr">
        <is>
          <t>대중제</t>
        </is>
      </c>
      <c r="E307" s="101" t="n">
        <v>27</v>
      </c>
      <c r="F307" s="105" t="inlineStr">
        <is>
          <t>충주시 대소원면 성종두담길 114</t>
        </is>
      </c>
      <c r="G307" s="189" t="inlineStr">
        <is>
          <t>🔴 1순위</t>
        </is>
      </c>
      <c r="H307" s="111" t="n"/>
    </row>
    <row r="308" ht="18" customHeight="1" s="97">
      <c r="A308" s="112" t="n">
        <v>306</v>
      </c>
      <c r="B308" s="113" t="inlineStr">
        <is>
          <t>충북</t>
        </is>
      </c>
      <c r="C308" s="118" t="inlineStr">
        <is>
          <t>대호단양</t>
        </is>
      </c>
      <c r="D308" s="113" t="inlineStr">
        <is>
          <t>대중제</t>
        </is>
      </c>
      <c r="E308" s="112" t="n">
        <v>18</v>
      </c>
      <c r="F308" s="116" t="inlineStr">
        <is>
          <t>단양군 매포읍 고양5길 43</t>
        </is>
      </c>
      <c r="G308" s="189" t="inlineStr">
        <is>
          <t>🔴 1순위</t>
        </is>
      </c>
      <c r="H308" s="121" t="n"/>
    </row>
    <row r="309" ht="18" customHeight="1" s="97">
      <c r="A309" s="101" t="n">
        <v>307</v>
      </c>
      <c r="B309" s="102" t="inlineStr">
        <is>
          <t>충북</t>
        </is>
      </c>
      <c r="C309" s="107" t="inlineStr">
        <is>
          <t>동촌</t>
        </is>
      </c>
      <c r="D309" s="102" t="inlineStr">
        <is>
          <t>대중제</t>
        </is>
      </c>
      <c r="E309" s="101" t="n">
        <v>18</v>
      </c>
      <c r="F309" s="105" t="inlineStr">
        <is>
          <t>충주시 노은면 감노로 1327</t>
        </is>
      </c>
      <c r="G309" s="189" t="inlineStr">
        <is>
          <t>🔴 1순위</t>
        </is>
      </c>
      <c r="H309" s="111" t="n"/>
    </row>
    <row r="310" ht="18" customHeight="1" s="97">
      <c r="A310" s="112" t="n">
        <v>308</v>
      </c>
      <c r="B310" s="113" t="inlineStr">
        <is>
          <t>충북</t>
        </is>
      </c>
      <c r="C310" s="118" t="inlineStr">
        <is>
          <t>떼제베</t>
        </is>
      </c>
      <c r="D310" s="113" t="inlineStr">
        <is>
          <t>대중제</t>
        </is>
      </c>
      <c r="E310" s="112" t="n">
        <v>36</v>
      </c>
      <c r="F310" s="116" t="inlineStr">
        <is>
          <t>청주시 흥덕구 옥산면 동림2길 149</t>
        </is>
      </c>
      <c r="G310" s="189" t="inlineStr">
        <is>
          <t>🔴 1순위</t>
        </is>
      </c>
      <c r="H310" s="121" t="n"/>
    </row>
    <row r="311" ht="18" customHeight="1" s="97">
      <c r="A311" s="101" t="n">
        <v>309</v>
      </c>
      <c r="B311" s="102" t="inlineStr">
        <is>
          <t>충북</t>
        </is>
      </c>
      <c r="C311" s="107" t="inlineStr">
        <is>
          <t>레인보우힐스</t>
        </is>
      </c>
      <c r="D311" s="102" t="inlineStr">
        <is>
          <t>대중제</t>
        </is>
      </c>
      <c r="E311" s="101" t="n">
        <v>27</v>
      </c>
      <c r="F311" s="105" t="inlineStr">
        <is>
          <t>음성군 생극면 차생로 168</t>
        </is>
      </c>
      <c r="G311" s="189" t="inlineStr">
        <is>
          <t>🔴 1순위</t>
        </is>
      </c>
      <c r="H311" s="111" t="n"/>
    </row>
    <row r="312" ht="18" customHeight="1" s="97">
      <c r="A312" s="112" t="n">
        <v>310</v>
      </c>
      <c r="B312" s="113" t="inlineStr">
        <is>
          <t>충북</t>
        </is>
      </c>
      <c r="C312" s="118" t="inlineStr">
        <is>
          <t>로얄포레</t>
        </is>
      </c>
      <c r="D312" s="113" t="inlineStr">
        <is>
          <t>대중제</t>
        </is>
      </c>
      <c r="E312" s="112" t="n">
        <v>18</v>
      </c>
      <c r="F312" s="116" t="inlineStr">
        <is>
          <t>충주시 신니면 화치3길 35</t>
        </is>
      </c>
      <c r="G312" s="189" t="inlineStr">
        <is>
          <t>🔴 1순위</t>
        </is>
      </c>
      <c r="H312" s="121" t="n"/>
    </row>
    <row r="313" ht="18" customHeight="1" s="97">
      <c r="A313" s="101" t="n">
        <v>311</v>
      </c>
      <c r="B313" s="102" t="inlineStr">
        <is>
          <t>충북</t>
        </is>
      </c>
      <c r="C313" s="107" t="inlineStr">
        <is>
          <t>블랙스톤</t>
        </is>
      </c>
      <c r="D313" s="102" t="inlineStr">
        <is>
          <t>대중제</t>
        </is>
      </c>
      <c r="E313" s="101" t="n">
        <v>18</v>
      </c>
      <c r="F313" s="105" t="inlineStr">
        <is>
          <t>증평군 도안면 벼루재길 334</t>
        </is>
      </c>
      <c r="G313" s="189" t="inlineStr">
        <is>
          <t>🔴 1순위</t>
        </is>
      </c>
      <c r="H313" s="111" t="n"/>
    </row>
    <row r="314" ht="18" customHeight="1" s="97">
      <c r="A314" s="112" t="n">
        <v>312</v>
      </c>
      <c r="B314" s="113" t="inlineStr">
        <is>
          <t>충북</t>
        </is>
      </c>
      <c r="C314" s="118" t="inlineStr">
        <is>
          <t>세일</t>
        </is>
      </c>
      <c r="D314" s="113" t="inlineStr">
        <is>
          <t>대중제</t>
        </is>
      </c>
      <c r="E314" s="112" t="n">
        <v>18</v>
      </c>
      <c r="F314" s="116" t="inlineStr">
        <is>
          <t>충주시 신니면 동락길 207</t>
        </is>
      </c>
      <c r="G314" s="189" t="inlineStr">
        <is>
          <t>🔴 1순위</t>
        </is>
      </c>
      <c r="H314" s="121" t="n"/>
    </row>
    <row r="315" ht="18" customHeight="1" s="97">
      <c r="A315" s="101" t="n">
        <v>313</v>
      </c>
      <c r="B315" s="102" t="inlineStr">
        <is>
          <t>충북</t>
        </is>
      </c>
      <c r="C315" s="107" t="inlineStr">
        <is>
          <t>센테리움</t>
        </is>
      </c>
      <c r="D315" s="102" t="inlineStr">
        <is>
          <t>대중제</t>
        </is>
      </c>
      <c r="E315" s="101" t="n">
        <v>27</v>
      </c>
      <c r="F315" s="105" t="inlineStr">
        <is>
          <t>충주시 노은면 솔고개로 750</t>
        </is>
      </c>
      <c r="G315" s="189" t="inlineStr">
        <is>
          <t>🔴 1순위</t>
        </is>
      </c>
      <c r="H315" s="111" t="n"/>
    </row>
    <row r="316" ht="18" customHeight="1" s="97">
      <c r="A316" s="112" t="n">
        <v>314</v>
      </c>
      <c r="B316" s="113" t="inlineStr">
        <is>
          <t>충북</t>
        </is>
      </c>
      <c r="C316" s="118" t="inlineStr">
        <is>
          <t>시그너스</t>
        </is>
      </c>
      <c r="D316" s="113" t="inlineStr">
        <is>
          <t>대중제</t>
        </is>
      </c>
      <c r="E316" s="112" t="n">
        <v>18</v>
      </c>
      <c r="F316" s="116" t="inlineStr">
        <is>
          <t>충주시 앙성면 중방곡길 57-44</t>
        </is>
      </c>
      <c r="G316" s="189" t="inlineStr">
        <is>
          <t>🔴 1순위</t>
        </is>
      </c>
      <c r="H316" s="121" t="n"/>
    </row>
    <row r="317" ht="18" customHeight="1" s="97">
      <c r="A317" s="101" t="n">
        <v>315</v>
      </c>
      <c r="B317" s="102" t="inlineStr">
        <is>
          <t>충북</t>
        </is>
      </c>
      <c r="C317" s="107" t="inlineStr">
        <is>
          <t>썬밸리</t>
        </is>
      </c>
      <c r="D317" s="102" t="inlineStr">
        <is>
          <t>대중제</t>
        </is>
      </c>
      <c r="E317" s="101" t="n">
        <v>18</v>
      </c>
      <c r="F317" s="105" t="inlineStr">
        <is>
          <t>음성군 삼성면 법말길 49</t>
        </is>
      </c>
      <c r="G317" s="189" t="inlineStr">
        <is>
          <t>🔴 1순위</t>
        </is>
      </c>
      <c r="H317" s="111" t="n"/>
    </row>
    <row r="318" ht="18" customHeight="1" s="97">
      <c r="A318" s="112" t="n">
        <v>316</v>
      </c>
      <c r="B318" s="113" t="inlineStr">
        <is>
          <t>충북</t>
        </is>
      </c>
      <c r="C318" s="118" t="inlineStr">
        <is>
          <t>아름다운cc</t>
        </is>
      </c>
      <c r="D318" s="113" t="inlineStr">
        <is>
          <t>대중제</t>
        </is>
      </c>
      <c r="E318" s="112" t="n">
        <v>27</v>
      </c>
      <c r="F318" s="116" t="inlineStr">
        <is>
          <t>진천군 백곡면 소토골길 61</t>
        </is>
      </c>
      <c r="G318" s="189" t="inlineStr">
        <is>
          <t>🔴 1순위</t>
        </is>
      </c>
      <c r="H318" s="121" t="n"/>
    </row>
    <row r="319" ht="18" customHeight="1" s="97">
      <c r="A319" s="101" t="n">
        <v>317</v>
      </c>
      <c r="B319" s="102" t="inlineStr">
        <is>
          <t>충북</t>
        </is>
      </c>
      <c r="C319" s="107" t="inlineStr">
        <is>
          <t>에스엘세레스임페리얼레이크</t>
        </is>
      </c>
      <c r="D319" s="102" t="inlineStr">
        <is>
          <t>대중제</t>
        </is>
      </c>
      <c r="E319" s="101" t="n">
        <v>18</v>
      </c>
      <c r="F319" s="105" t="inlineStr">
        <is>
          <t>충주시 금가면 다래울길 52</t>
        </is>
      </c>
      <c r="G319" s="189" t="inlineStr">
        <is>
          <t>🔴 1순위</t>
        </is>
      </c>
      <c r="H319" s="111" t="n"/>
    </row>
    <row r="320" ht="18" customHeight="1" s="97">
      <c r="A320" s="112" t="n">
        <v>318</v>
      </c>
      <c r="B320" s="113" t="inlineStr">
        <is>
          <t>충북</t>
        </is>
      </c>
      <c r="C320" s="118" t="inlineStr">
        <is>
          <t>영동일라이트컨트리클럽</t>
        </is>
      </c>
      <c r="D320" s="113" t="inlineStr">
        <is>
          <t>대중제</t>
        </is>
      </c>
      <c r="E320" s="112" t="n">
        <v>18</v>
      </c>
      <c r="F320" s="116" t="inlineStr">
        <is>
          <t>영동군 영동읍 매천리 산35-1</t>
        </is>
      </c>
      <c r="G320" s="189" t="inlineStr">
        <is>
          <t>🔴 1순위</t>
        </is>
      </c>
      <c r="H320" s="121" t="n"/>
    </row>
    <row r="321" ht="18" customHeight="1" s="97">
      <c r="A321" s="101" t="n">
        <v>319</v>
      </c>
      <c r="B321" s="102" t="inlineStr">
        <is>
          <t>충북</t>
        </is>
      </c>
      <c r="C321" s="107" t="inlineStr">
        <is>
          <t>올데이골프앤리조트</t>
        </is>
      </c>
      <c r="D321" s="102" t="inlineStr">
        <is>
          <t>대중제</t>
        </is>
      </c>
      <c r="E321" s="101" t="n">
        <v>27</v>
      </c>
      <c r="F321" s="105" t="inlineStr">
        <is>
          <t>충주시 앙성면 조천리 350</t>
        </is>
      </c>
      <c r="G321" s="189" t="inlineStr">
        <is>
          <t>🔴 1순위</t>
        </is>
      </c>
      <c r="H321" s="111" t="n"/>
    </row>
    <row r="322" ht="18" customHeight="1" s="97">
      <c r="A322" s="112" t="n">
        <v>320</v>
      </c>
      <c r="B322" s="113" t="inlineStr">
        <is>
          <t>충북</t>
        </is>
      </c>
      <c r="C322" s="118" t="inlineStr">
        <is>
          <t>이븐데일</t>
        </is>
      </c>
      <c r="D322" s="113" t="inlineStr">
        <is>
          <t>대중제</t>
        </is>
      </c>
      <c r="E322" s="112" t="n">
        <v>18</v>
      </c>
      <c r="F322" s="116" t="inlineStr">
        <is>
          <t>청주시 상당구 미원면 대신2길 31</t>
        </is>
      </c>
      <c r="G322" s="189" t="inlineStr">
        <is>
          <t>🔴 1순위</t>
        </is>
      </c>
      <c r="H322" s="121" t="n"/>
    </row>
    <row r="323" ht="18" customHeight="1" s="97">
      <c r="A323" s="101" t="n">
        <v>321</v>
      </c>
      <c r="B323" s="102" t="inlineStr">
        <is>
          <t>충북</t>
        </is>
      </c>
      <c r="C323" s="107" t="inlineStr">
        <is>
          <t>일레븐</t>
        </is>
      </c>
      <c r="D323" s="102" t="inlineStr">
        <is>
          <t>대중제</t>
        </is>
      </c>
      <c r="E323" s="101" t="n">
        <v>18</v>
      </c>
      <c r="F323" s="105" t="inlineStr">
        <is>
          <t>충주시 앙성면 본평리 산 43-1</t>
        </is>
      </c>
      <c r="G323" s="189" t="inlineStr">
        <is>
          <t>🔴 1순위</t>
        </is>
      </c>
      <c r="H323" s="111" t="n"/>
    </row>
    <row r="324" ht="18" customHeight="1" s="97">
      <c r="A324" s="112" t="n">
        <v>322</v>
      </c>
      <c r="B324" s="113" t="inlineStr">
        <is>
          <t>충북</t>
        </is>
      </c>
      <c r="C324" s="118" t="inlineStr">
        <is>
          <t>젠스필드</t>
        </is>
      </c>
      <c r="D324" s="113" t="inlineStr">
        <is>
          <t>대중제</t>
        </is>
      </c>
      <c r="E324" s="112" t="n">
        <v>18</v>
      </c>
      <c r="F324" s="116" t="inlineStr">
        <is>
          <t>음성군 삼성면 덕호로 382</t>
        </is>
      </c>
      <c r="G324" s="189" t="inlineStr">
        <is>
          <t>🔴 1순위</t>
        </is>
      </c>
      <c r="H324" s="121" t="n"/>
    </row>
    <row r="325" ht="18" customHeight="1" s="97">
      <c r="A325" s="101" t="n">
        <v>323</v>
      </c>
      <c r="B325" s="102" t="inlineStr">
        <is>
          <t>충북</t>
        </is>
      </c>
      <c r="C325" s="107" t="inlineStr">
        <is>
          <t>중원</t>
        </is>
      </c>
      <c r="D325" s="102" t="inlineStr">
        <is>
          <t>대중제</t>
        </is>
      </c>
      <c r="E325" s="101" t="n">
        <v>27</v>
      </c>
      <c r="F325" s="105" t="inlineStr">
        <is>
          <t>충주시 산척면 인등로 392</t>
        </is>
      </c>
      <c r="G325" s="189" t="inlineStr">
        <is>
          <t>🔴 1순위</t>
        </is>
      </c>
      <c r="H325" s="111" t="n"/>
    </row>
    <row r="326" ht="18" customHeight="1" s="97">
      <c r="A326" s="112" t="n">
        <v>324</v>
      </c>
      <c r="B326" s="113" t="inlineStr">
        <is>
          <t>충북</t>
        </is>
      </c>
      <c r="C326" s="118" t="inlineStr">
        <is>
          <t>진양밸리</t>
        </is>
      </c>
      <c r="D326" s="113" t="inlineStr">
        <is>
          <t>대중제</t>
        </is>
      </c>
      <c r="E326" s="112" t="n">
        <v>27</v>
      </c>
      <c r="F326" s="116" t="inlineStr">
        <is>
          <t>음성군 삼성면 금일로 1195</t>
        </is>
      </c>
      <c r="G326" s="189" t="inlineStr">
        <is>
          <t>🔴 1순위</t>
        </is>
      </c>
      <c r="H326" s="121" t="n"/>
    </row>
    <row r="327" ht="18" customHeight="1" s="97">
      <c r="A327" s="101" t="n">
        <v>325</v>
      </c>
      <c r="B327" s="102" t="inlineStr">
        <is>
          <t>충북</t>
        </is>
      </c>
      <c r="C327" s="107" t="inlineStr">
        <is>
          <t>코스카</t>
        </is>
      </c>
      <c r="D327" s="102" t="inlineStr">
        <is>
          <t>대중제</t>
        </is>
      </c>
      <c r="E327" s="101" t="n">
        <v>27</v>
      </c>
      <c r="F327" s="105" t="inlineStr">
        <is>
          <t>음성군 음성읍 동음로 318</t>
        </is>
      </c>
      <c r="G327" s="189" t="inlineStr">
        <is>
          <t>🔴 1순위</t>
        </is>
      </c>
      <c r="H327" s="111" t="n"/>
    </row>
    <row r="328" ht="18" customHeight="1" s="97">
      <c r="A328" s="112" t="n">
        <v>326</v>
      </c>
      <c r="B328" s="113" t="inlineStr">
        <is>
          <t>충북</t>
        </is>
      </c>
      <c r="C328" s="118" t="inlineStr">
        <is>
          <t>클럽디보은</t>
        </is>
      </c>
      <c r="D328" s="113" t="inlineStr">
        <is>
          <t>대중제</t>
        </is>
      </c>
      <c r="E328" s="112" t="n">
        <v>18</v>
      </c>
      <c r="F328" s="116" t="inlineStr">
        <is>
          <t>보은군 보은읍 장속중초로 386</t>
        </is>
      </c>
      <c r="G328" s="189" t="inlineStr">
        <is>
          <t>🔴 1순위</t>
        </is>
      </c>
      <c r="H328" s="121" t="n"/>
    </row>
    <row r="329" ht="18" customHeight="1" s="97">
      <c r="A329" s="101" t="n">
        <v>327</v>
      </c>
      <c r="B329" s="102" t="inlineStr">
        <is>
          <t>충북</t>
        </is>
      </c>
      <c r="C329" s="107" t="inlineStr">
        <is>
          <t>클럽디속리산</t>
        </is>
      </c>
      <c r="D329" s="102" t="inlineStr">
        <is>
          <t>대중제</t>
        </is>
      </c>
      <c r="E329" s="101" t="n">
        <v>18</v>
      </c>
      <c r="F329" s="105" t="inlineStr">
        <is>
          <t>보은군 탄부면 평각상장로 230</t>
        </is>
      </c>
      <c r="G329" s="189" t="inlineStr">
        <is>
          <t>🔴 1순위</t>
        </is>
      </c>
      <c r="H329" s="111" t="n"/>
    </row>
    <row r="330" ht="18" customHeight="1" s="97">
      <c r="A330" s="112" t="n">
        <v>328</v>
      </c>
      <c r="B330" s="113" t="inlineStr">
        <is>
          <t>충북</t>
        </is>
      </c>
      <c r="C330" s="118" t="inlineStr">
        <is>
          <t>킹스데일</t>
        </is>
      </c>
      <c r="D330" s="113" t="inlineStr">
        <is>
          <t>대중제</t>
        </is>
      </c>
      <c r="E330" s="112" t="n">
        <v>18</v>
      </c>
      <c r="F330" s="116" t="inlineStr">
        <is>
          <t>충주시 주덕면 기업도시3로 2</t>
        </is>
      </c>
      <c r="G330" s="189" t="inlineStr">
        <is>
          <t>🔴 1순위</t>
        </is>
      </c>
      <c r="H330" s="121" t="n"/>
    </row>
    <row r="331" ht="18" customHeight="1" s="97">
      <c r="A331" s="101" t="n">
        <v>329</v>
      </c>
      <c r="B331" s="102" t="inlineStr">
        <is>
          <t>충북</t>
        </is>
      </c>
      <c r="C331" s="107" t="inlineStr">
        <is>
          <t>킹즈락</t>
        </is>
      </c>
      <c r="D331" s="102" t="inlineStr">
        <is>
          <t>대중제</t>
        </is>
      </c>
      <c r="E331" s="101" t="n">
        <v>27</v>
      </c>
      <c r="F331" s="105" t="inlineStr">
        <is>
          <t>제천시 천남동 내토로7길 136</t>
        </is>
      </c>
      <c r="G331" s="189" t="inlineStr">
        <is>
          <t>🔴 1순위</t>
        </is>
      </c>
      <c r="H331" s="111" t="n"/>
    </row>
    <row r="332" ht="18" customHeight="1" s="97">
      <c r="A332" s="112" t="n">
        <v>330</v>
      </c>
      <c r="B332" s="113" t="inlineStr">
        <is>
          <t>강원</t>
        </is>
      </c>
      <c r="C332" s="126" t="inlineStr">
        <is>
          <t>Oak Hills컨트리클럽</t>
        </is>
      </c>
      <c r="D332" s="113" t="inlineStr">
        <is>
          <t>회원제</t>
        </is>
      </c>
      <c r="E332" s="112" t="n">
        <v>18</v>
      </c>
      <c r="F332" s="116" t="inlineStr">
        <is>
          <t>강원도 원주시 지정면 오크밸리2길 58</t>
        </is>
      </c>
      <c r="G332" s="190" t="inlineStr">
        <is>
          <t>🟡 2순위</t>
        </is>
      </c>
      <c r="H332" s="121" t="n"/>
    </row>
    <row r="333" ht="18" customHeight="1" s="97">
      <c r="A333" s="101" t="n">
        <v>331</v>
      </c>
      <c r="B333" s="102" t="inlineStr">
        <is>
          <t>강원</t>
        </is>
      </c>
      <c r="C333" s="107" t="inlineStr">
        <is>
          <t>라데나골프클럽</t>
        </is>
      </c>
      <c r="D333" s="102" t="inlineStr">
        <is>
          <t>회원제</t>
        </is>
      </c>
      <c r="E333" s="101" t="n">
        <v>27</v>
      </c>
      <c r="F333" s="105" t="inlineStr">
        <is>
          <t>강원도 춘천시 신동면 칠전동길 72</t>
        </is>
      </c>
      <c r="G333" s="190" t="inlineStr">
        <is>
          <t>🟡 2순위</t>
        </is>
      </c>
      <c r="H333" s="111" t="n"/>
    </row>
    <row r="334" ht="18" customHeight="1" s="97">
      <c r="A334" s="112" t="n">
        <v>332</v>
      </c>
      <c r="B334" s="113" t="inlineStr">
        <is>
          <t>강원</t>
        </is>
      </c>
      <c r="C334" s="118" t="inlineStr">
        <is>
          <t>샌드파인골프클럽</t>
        </is>
      </c>
      <c r="D334" s="113" t="inlineStr">
        <is>
          <t>회원제</t>
        </is>
      </c>
      <c r="E334" s="112" t="n">
        <v>18</v>
      </c>
      <c r="F334" s="116" t="inlineStr">
        <is>
          <t>강원도 강릉시 저동등길 53</t>
        </is>
      </c>
      <c r="G334" s="190" t="inlineStr">
        <is>
          <t>🟡 2순위</t>
        </is>
      </c>
      <c r="H334" s="121" t="n"/>
    </row>
    <row r="335" ht="18" customHeight="1" s="97">
      <c r="A335" s="101" t="n">
        <v>333</v>
      </c>
      <c r="B335" s="102" t="inlineStr">
        <is>
          <t>강원</t>
        </is>
      </c>
      <c r="C335" s="107" t="inlineStr">
        <is>
          <t>설악프라자컨트리클럽</t>
        </is>
      </c>
      <c r="D335" s="102" t="inlineStr">
        <is>
          <t>회원제</t>
        </is>
      </c>
      <c r="E335" s="101" t="n">
        <v>18</v>
      </c>
      <c r="F335" s="105" t="inlineStr">
        <is>
          <t>강원도 속초시 미시령로 2983번길 56-20</t>
        </is>
      </c>
      <c r="G335" s="190" t="inlineStr">
        <is>
          <t>🟡 2순위</t>
        </is>
      </c>
      <c r="H335" s="111" t="n"/>
    </row>
    <row r="336" ht="18" customHeight="1" s="97">
      <c r="A336" s="112" t="n">
        <v>334</v>
      </c>
      <c r="B336" s="113" t="inlineStr">
        <is>
          <t>강원</t>
        </is>
      </c>
      <c r="C336" s="118" t="inlineStr">
        <is>
          <t>센추리21컨트리클럽</t>
        </is>
      </c>
      <c r="D336" s="113" t="inlineStr">
        <is>
          <t>회원제</t>
        </is>
      </c>
      <c r="E336" s="112" t="n">
        <v>18</v>
      </c>
      <c r="F336" s="116" t="inlineStr">
        <is>
          <t>강원도 원주시 문막읍 궁말길 193</t>
        </is>
      </c>
      <c r="G336" s="190" t="inlineStr">
        <is>
          <t>🟡 2순위</t>
        </is>
      </c>
      <c r="H336" s="121" t="n"/>
    </row>
    <row r="337" ht="18" customHeight="1" s="97">
      <c r="A337" s="101" t="n">
        <v>335</v>
      </c>
      <c r="B337" s="102" t="inlineStr">
        <is>
          <t>강원</t>
        </is>
      </c>
      <c r="C337" s="107" t="inlineStr">
        <is>
          <t>알펜시아컨트리클럽</t>
        </is>
      </c>
      <c r="D337" s="102" t="inlineStr">
        <is>
          <t>회원제</t>
        </is>
      </c>
      <c r="E337" s="101" t="n">
        <v>27</v>
      </c>
      <c r="F337" s="105" t="inlineStr">
        <is>
          <t>강원도 평창군 대관령면 솔봉로 325</t>
        </is>
      </c>
      <c r="G337" s="190" t="inlineStr">
        <is>
          <t>🟡 2순위</t>
        </is>
      </c>
      <c r="H337" s="111" t="n"/>
    </row>
    <row r="338" ht="18" customHeight="1" s="97">
      <c r="A338" s="112" t="n">
        <v>336</v>
      </c>
      <c r="B338" s="113" t="inlineStr">
        <is>
          <t>강원</t>
        </is>
      </c>
      <c r="C338" s="118" t="inlineStr">
        <is>
          <t>오크밸리회원제골프장</t>
        </is>
      </c>
      <c r="D338" s="113" t="inlineStr">
        <is>
          <t>회원제</t>
        </is>
      </c>
      <c r="E338" s="112" t="n">
        <v>36</v>
      </c>
      <c r="F338" s="116" t="inlineStr">
        <is>
          <t>강원도 원주시 지정면 오크밸리1길 66</t>
        </is>
      </c>
      <c r="G338" s="190" t="inlineStr">
        <is>
          <t>🟡 2순위</t>
        </is>
      </c>
      <c r="H338" s="121" t="n"/>
    </row>
    <row r="339" ht="18" customHeight="1" s="97">
      <c r="A339" s="101" t="n">
        <v>337</v>
      </c>
      <c r="B339" s="102" t="inlineStr">
        <is>
          <t>강원</t>
        </is>
      </c>
      <c r="C339" s="107" t="inlineStr">
        <is>
          <t>용평리조트골프클럽</t>
        </is>
      </c>
      <c r="D339" s="102" t="inlineStr">
        <is>
          <t>회원제</t>
        </is>
      </c>
      <c r="E339" s="101" t="n">
        <v>18</v>
      </c>
      <c r="F339" s="105" t="inlineStr">
        <is>
          <t>강원도 평창군 대관령면 올림픽로 715</t>
        </is>
      </c>
      <c r="G339" s="190" t="inlineStr">
        <is>
          <t>🟡 2순위</t>
        </is>
      </c>
      <c r="H339" s="111" t="n"/>
    </row>
    <row r="340" ht="18" customHeight="1" s="97">
      <c r="A340" s="112" t="n">
        <v>338</v>
      </c>
      <c r="B340" s="113" t="inlineStr">
        <is>
          <t>강원</t>
        </is>
      </c>
      <c r="C340" s="118" t="inlineStr">
        <is>
          <t>용평버치힐골프클럽</t>
        </is>
      </c>
      <c r="D340" s="113" t="inlineStr">
        <is>
          <t>회원제</t>
        </is>
      </c>
      <c r="E340" s="112" t="n">
        <v>18</v>
      </c>
      <c r="F340" s="116" t="inlineStr">
        <is>
          <t>강원도 평창군 대관령면 올림픽로 715</t>
        </is>
      </c>
      <c r="G340" s="190" t="inlineStr">
        <is>
          <t>🟡 2순위</t>
        </is>
      </c>
      <c r="H340" s="121" t="n"/>
    </row>
    <row r="341" ht="18" customHeight="1" s="97">
      <c r="A341" s="101" t="n">
        <v>339</v>
      </c>
      <c r="B341" s="102" t="inlineStr">
        <is>
          <t>강원</t>
        </is>
      </c>
      <c r="C341" s="107" t="inlineStr">
        <is>
          <t>웰리힐리컨트리클럽</t>
        </is>
      </c>
      <c r="D341" s="102" t="inlineStr">
        <is>
          <t>회원제</t>
        </is>
      </c>
      <c r="E341" s="101" t="n">
        <v>36</v>
      </c>
      <c r="F341" s="105" t="inlineStr">
        <is>
          <t>강원도 횡성군 둔내면 고원로 451</t>
        </is>
      </c>
      <c r="G341" s="190" t="inlineStr">
        <is>
          <t>🟡 2순위</t>
        </is>
      </c>
      <c r="H341" s="111" t="n"/>
    </row>
    <row r="342" ht="18" customHeight="1" s="97">
      <c r="A342" s="112" t="n">
        <v>340</v>
      </c>
      <c r="B342" s="113" t="inlineStr">
        <is>
          <t>강원</t>
        </is>
      </c>
      <c r="C342" s="118" t="inlineStr">
        <is>
          <t>제이드팰리스 골프클럽</t>
        </is>
      </c>
      <c r="D342" s="113" t="inlineStr">
        <is>
          <t>회원제</t>
        </is>
      </c>
      <c r="E342" s="112" t="n">
        <v>18</v>
      </c>
      <c r="F342" s="116" t="inlineStr">
        <is>
          <t>강원도 춘천시 남산면 경춘로 212-30</t>
        </is>
      </c>
      <c r="G342" s="190" t="inlineStr">
        <is>
          <t>🟡 2순위</t>
        </is>
      </c>
      <c r="H342" s="121" t="n"/>
    </row>
    <row r="343" ht="18" customHeight="1" s="97">
      <c r="A343" s="101" t="n">
        <v>341</v>
      </c>
      <c r="B343" s="102" t="inlineStr">
        <is>
          <t>강원</t>
        </is>
      </c>
      <c r="C343" s="107" t="inlineStr">
        <is>
          <t>휘닉스 컨트리클럽</t>
        </is>
      </c>
      <c r="D343" s="102" t="inlineStr">
        <is>
          <t>회원제</t>
        </is>
      </c>
      <c r="E343" s="101" t="n">
        <v>18</v>
      </c>
      <c r="F343" s="105" t="inlineStr">
        <is>
          <t>강원도 평창군 봉평면 태기로 227-84</t>
        </is>
      </c>
      <c r="G343" s="190" t="inlineStr">
        <is>
          <t>🟡 2순위</t>
        </is>
      </c>
      <c r="H343" s="111" t="n"/>
    </row>
    <row r="344" ht="18" customHeight="1" s="97">
      <c r="A344" s="112" t="n">
        <v>342</v>
      </c>
      <c r="B344" s="113" t="inlineStr">
        <is>
          <t>강원</t>
        </is>
      </c>
      <c r="C344" s="118" t="inlineStr">
        <is>
          <t>휘슬링락컨트리클럽</t>
        </is>
      </c>
      <c r="D344" s="113" t="inlineStr">
        <is>
          <t>회원제</t>
        </is>
      </c>
      <c r="E344" s="112" t="n">
        <v>27</v>
      </c>
      <c r="F344" s="116" t="inlineStr">
        <is>
          <t>강원도 춘천시 남산면 동촌로 501</t>
        </is>
      </c>
      <c r="G344" s="190" t="inlineStr">
        <is>
          <t>🟡 2순위</t>
        </is>
      </c>
      <c r="H344" s="121" t="n"/>
    </row>
    <row r="345" ht="18" customHeight="1" s="97">
      <c r="A345" s="101" t="n">
        <v>343</v>
      </c>
      <c r="B345" s="102" t="inlineStr">
        <is>
          <t>경기</t>
        </is>
      </c>
      <c r="C345" s="136" t="inlineStr">
        <is>
          <t>88CC</t>
        </is>
      </c>
      <c r="D345" s="102" t="inlineStr">
        <is>
          <t>회원제</t>
        </is>
      </c>
      <c r="E345" s="101" t="n">
        <v>36</v>
      </c>
      <c r="F345" s="105" t="inlineStr">
        <is>
          <t>용인시 기흥구 석성로 521번길 169</t>
        </is>
      </c>
      <c r="G345" s="190" t="inlineStr">
        <is>
          <t>🟡 2순위</t>
        </is>
      </c>
      <c r="H345" s="111" t="n"/>
    </row>
    <row r="346" ht="18" customHeight="1" s="97">
      <c r="A346" s="112" t="n">
        <v>344</v>
      </c>
      <c r="B346" s="113" t="inlineStr">
        <is>
          <t>경기</t>
        </is>
      </c>
      <c r="C346" s="118" t="inlineStr">
        <is>
          <t>㈜캐슬렉스서울 캐슬렉스골프클럽</t>
        </is>
      </c>
      <c r="D346" s="113" t="inlineStr">
        <is>
          <t>회원제</t>
        </is>
      </c>
      <c r="E346" s="112" t="n">
        <v>18</v>
      </c>
      <c r="F346" s="116" t="inlineStr">
        <is>
          <t>하남시 감이로 317(감이동)</t>
        </is>
      </c>
      <c r="G346" s="190" t="inlineStr">
        <is>
          <t>🟡 2순위</t>
        </is>
      </c>
      <c r="H346" s="121" t="n"/>
    </row>
    <row r="347" ht="18" customHeight="1" s="97">
      <c r="A347" s="101" t="n">
        <v>345</v>
      </c>
      <c r="B347" s="102" t="inlineStr">
        <is>
          <t>경기</t>
        </is>
      </c>
      <c r="C347" s="107" t="inlineStr">
        <is>
          <t>강남300컨트리클럽</t>
        </is>
      </c>
      <c r="D347" s="102" t="inlineStr">
        <is>
          <t>회원제</t>
        </is>
      </c>
      <c r="E347" s="101" t="n">
        <v>18</v>
      </c>
      <c r="F347" s="105" t="inlineStr">
        <is>
          <t>광주시 새말길 353(목동)</t>
        </is>
      </c>
      <c r="G347" s="190" t="inlineStr">
        <is>
          <t>🟡 2순위</t>
        </is>
      </c>
      <c r="H347" s="111" t="n"/>
    </row>
    <row r="348" ht="18" customHeight="1" s="97">
      <c r="A348" s="112" t="n">
        <v>346</v>
      </c>
      <c r="B348" s="113" t="inlineStr">
        <is>
          <t>경기</t>
        </is>
      </c>
      <c r="C348" s="118" t="inlineStr">
        <is>
          <t>곤지암GC</t>
        </is>
      </c>
      <c r="D348" s="113" t="inlineStr">
        <is>
          <t>회원제</t>
        </is>
      </c>
      <c r="E348" s="112" t="n">
        <v>18</v>
      </c>
      <c r="F348" s="116" t="inlineStr">
        <is>
          <t>광주시 도척면 도척윗로 280</t>
        </is>
      </c>
      <c r="G348" s="190" t="inlineStr">
        <is>
          <t>🟡 2순위</t>
        </is>
      </c>
      <c r="H348" s="121" t="n"/>
    </row>
    <row r="349" ht="18" customHeight="1" s="97">
      <c r="A349" s="101" t="n">
        <v>347</v>
      </c>
      <c r="B349" s="102" t="inlineStr">
        <is>
          <t>경기</t>
        </is>
      </c>
      <c r="C349" s="107" t="inlineStr">
        <is>
          <t>골드CC</t>
        </is>
      </c>
      <c r="D349" s="102" t="inlineStr">
        <is>
          <t>회원제</t>
        </is>
      </c>
      <c r="E349" s="101" t="n">
        <v>36</v>
      </c>
      <c r="F349" s="105" t="inlineStr">
        <is>
          <t>용인시 기흥구 기흥단지로 398</t>
        </is>
      </c>
      <c r="G349" s="190" t="inlineStr">
        <is>
          <t>🟡 2순위</t>
        </is>
      </c>
      <c r="H349" s="111" t="n"/>
    </row>
    <row r="350" ht="18" customHeight="1" s="97">
      <c r="A350" s="112" t="n">
        <v>348</v>
      </c>
      <c r="B350" s="113" t="inlineStr">
        <is>
          <t>경기</t>
        </is>
      </c>
      <c r="C350" s="118" t="inlineStr">
        <is>
          <t>그린힐컨트리클럽</t>
        </is>
      </c>
      <c r="D350" s="113" t="inlineStr">
        <is>
          <t>회원제</t>
        </is>
      </c>
      <c r="E350" s="112" t="n">
        <v>18</v>
      </c>
      <c r="F350" s="116" t="inlineStr">
        <is>
          <t>광주시 곤지암읍 내선길 176</t>
        </is>
      </c>
      <c r="G350" s="190" t="inlineStr">
        <is>
          <t>🟡 2순위</t>
        </is>
      </c>
      <c r="H350" s="121" t="n"/>
    </row>
    <row r="351" ht="18" customHeight="1" s="97">
      <c r="A351" s="101" t="n">
        <v>349</v>
      </c>
      <c r="B351" s="102" t="inlineStr">
        <is>
          <t>경기</t>
        </is>
      </c>
      <c r="C351" s="107" t="inlineStr">
        <is>
          <t>금강</t>
        </is>
      </c>
      <c r="D351" s="102" t="inlineStr">
        <is>
          <t>회원제</t>
        </is>
      </c>
      <c r="E351" s="101" t="n">
        <v>18</v>
      </c>
      <c r="F351" s="105" t="inlineStr">
        <is>
          <t>여주시 가남읍 여주남로 541(가남면 본두리 1-2)</t>
        </is>
      </c>
      <c r="G351" s="190" t="inlineStr">
        <is>
          <t>🟡 2순위</t>
        </is>
      </c>
      <c r="H351" s="111" t="n"/>
    </row>
    <row r="352" ht="18" customHeight="1" s="97">
      <c r="A352" s="112" t="n">
        <v>350</v>
      </c>
      <c r="B352" s="113" t="inlineStr">
        <is>
          <t>경기</t>
        </is>
      </c>
      <c r="C352" s="118" t="inlineStr">
        <is>
          <t>기흥CC</t>
        </is>
      </c>
      <c r="D352" s="113" t="inlineStr">
        <is>
          <t>회원제</t>
        </is>
      </c>
      <c r="E352" s="112" t="n">
        <v>36</v>
      </c>
      <c r="F352" s="116" t="inlineStr">
        <is>
          <t>화성시 동탄면 풀무골로106번길 244</t>
        </is>
      </c>
      <c r="G352" s="190" t="inlineStr">
        <is>
          <t>🟡 2순위</t>
        </is>
      </c>
      <c r="H352" s="121" t="n"/>
    </row>
    <row r="353" ht="18" customHeight="1" s="97">
      <c r="A353" s="101" t="n">
        <v>351</v>
      </c>
      <c r="B353" s="102" t="inlineStr">
        <is>
          <t>경기</t>
        </is>
      </c>
      <c r="C353" s="107" t="inlineStr">
        <is>
          <t>김포 SEASIDE 컨트리클럽</t>
        </is>
      </c>
      <c r="D353" s="102" t="inlineStr">
        <is>
          <t>회원제</t>
        </is>
      </c>
      <c r="E353" s="101" t="n">
        <v>18</v>
      </c>
      <c r="F353" s="105" t="inlineStr">
        <is>
          <t>김포시 월곶면 김포대로 2081번길 219</t>
        </is>
      </c>
      <c r="G353" s="190" t="inlineStr">
        <is>
          <t>🟡 2순위</t>
        </is>
      </c>
      <c r="H353" s="111" t="n"/>
    </row>
    <row r="354" ht="18" customHeight="1" s="97">
      <c r="A354" s="112" t="n">
        <v>352</v>
      </c>
      <c r="B354" s="113" t="inlineStr">
        <is>
          <t>경기</t>
        </is>
      </c>
      <c r="C354" s="118" t="inlineStr">
        <is>
          <t>남부CC</t>
        </is>
      </c>
      <c r="D354" s="113" t="inlineStr">
        <is>
          <t>회원제</t>
        </is>
      </c>
      <c r="E354" s="112" t="n">
        <v>18</v>
      </c>
      <c r="F354" s="116" t="inlineStr">
        <is>
          <t>용인시 기흥구 사은로 163</t>
        </is>
      </c>
      <c r="G354" s="190" t="inlineStr">
        <is>
          <t>🟡 2순위</t>
        </is>
      </c>
      <c r="H354" s="121" t="n"/>
    </row>
    <row r="355" ht="18" customHeight="1" s="97">
      <c r="A355" s="101" t="n">
        <v>353</v>
      </c>
      <c r="B355" s="102" t="inlineStr">
        <is>
          <t>경기</t>
        </is>
      </c>
      <c r="C355" s="107" t="inlineStr">
        <is>
          <t>남촌컨트리클럽</t>
        </is>
      </c>
      <c r="D355" s="102" t="inlineStr">
        <is>
          <t>회원제</t>
        </is>
      </c>
      <c r="E355" s="101" t="n">
        <v>18</v>
      </c>
      <c r="F355" s="105" t="inlineStr">
        <is>
          <t>광주시 곤지암읍 부항길 135-38</t>
        </is>
      </c>
      <c r="G355" s="190" t="inlineStr">
        <is>
          <t>🟡 2순위</t>
        </is>
      </c>
      <c r="H355" s="111" t="n"/>
    </row>
    <row r="356" ht="18" customHeight="1" s="97">
      <c r="A356" s="112" t="n">
        <v>354</v>
      </c>
      <c r="B356" s="113" t="inlineStr">
        <is>
          <t>경기</t>
        </is>
      </c>
      <c r="C356" s="118" t="inlineStr">
        <is>
          <t>뉴서울컨트리클럽</t>
        </is>
      </c>
      <c r="D356" s="113" t="inlineStr">
        <is>
          <t>회원제</t>
        </is>
      </c>
      <c r="E356" s="112" t="n">
        <v>36</v>
      </c>
      <c r="F356" s="116" t="inlineStr">
        <is>
          <t>광주시 삼지곡길 95(삼동)</t>
        </is>
      </c>
      <c r="G356" s="190" t="inlineStr">
        <is>
          <t>🟡 2순위</t>
        </is>
      </c>
      <c r="H356" s="121" t="n"/>
    </row>
    <row r="357" ht="18" customHeight="1" s="97">
      <c r="A357" s="101" t="n">
        <v>355</v>
      </c>
      <c r="B357" s="102" t="inlineStr">
        <is>
          <t>경기</t>
        </is>
      </c>
      <c r="C357" s="107" t="inlineStr">
        <is>
          <t>뉴스프링빌C.C.</t>
        </is>
      </c>
      <c r="D357" s="102" t="inlineStr">
        <is>
          <t>회원제</t>
        </is>
      </c>
      <c r="E357" s="101" t="n">
        <v>36</v>
      </c>
      <c r="F357" s="105" t="inlineStr">
        <is>
          <t>이천시 모가면 사실로 527번길 158</t>
        </is>
      </c>
      <c r="G357" s="190" t="inlineStr">
        <is>
          <t>🟡 2순위</t>
        </is>
      </c>
      <c r="H357" s="111" t="n"/>
    </row>
    <row r="358" ht="18" customHeight="1" s="97">
      <c r="A358" s="112" t="n">
        <v>356</v>
      </c>
      <c r="B358" s="113" t="inlineStr">
        <is>
          <t>경기</t>
        </is>
      </c>
      <c r="C358" s="118" t="inlineStr">
        <is>
          <t>뉴코리아 컨트리클럽</t>
        </is>
      </c>
      <c r="D358" s="113" t="inlineStr">
        <is>
          <t>회원제</t>
        </is>
      </c>
      <c r="E358" s="112" t="n">
        <v>18</v>
      </c>
      <c r="F358" s="116" t="inlineStr">
        <is>
          <t>고양시 덕양구 신원2로 57</t>
        </is>
      </c>
      <c r="G358" s="190" t="inlineStr">
        <is>
          <t>🟡 2순위</t>
        </is>
      </c>
      <c r="H358" s="121" t="n"/>
    </row>
    <row r="359" ht="18" customHeight="1" s="97">
      <c r="A359" s="101" t="n">
        <v>357</v>
      </c>
      <c r="B359" s="102" t="inlineStr">
        <is>
          <t>경기</t>
        </is>
      </c>
      <c r="C359" s="107" t="inlineStr">
        <is>
          <t>렉스필드</t>
        </is>
      </c>
      <c r="D359" s="102" t="inlineStr">
        <is>
          <t>회원제</t>
        </is>
      </c>
      <c r="E359" s="101" t="n">
        <v>18</v>
      </c>
      <c r="F359" s="105" t="inlineStr">
        <is>
          <t>여주시 산북면 광여로 1115(산북면 상품리 산108)</t>
        </is>
      </c>
      <c r="G359" s="190" t="inlineStr">
        <is>
          <t>🟡 2순위</t>
        </is>
      </c>
      <c r="H359" s="111" t="n"/>
    </row>
    <row r="360" ht="18" customHeight="1" s="97">
      <c r="A360" s="112" t="n">
        <v>358</v>
      </c>
      <c r="B360" s="113" t="inlineStr">
        <is>
          <t>경기</t>
        </is>
      </c>
      <c r="C360" s="118" t="inlineStr">
        <is>
          <t>로얄개발㈜ 레이크우드 골프장</t>
        </is>
      </c>
      <c r="D360" s="113" t="inlineStr">
        <is>
          <t>회원제</t>
        </is>
      </c>
      <c r="E360" s="112" t="n">
        <v>27</v>
      </c>
      <c r="F360" s="116" t="inlineStr">
        <is>
          <t>양주시 만송로 244</t>
        </is>
      </c>
      <c r="G360" s="190" t="inlineStr">
        <is>
          <t>🟡 2순위</t>
        </is>
      </c>
      <c r="H360" s="121" t="n"/>
    </row>
    <row r="361" ht="18" customHeight="1" s="97">
      <c r="A361" s="101" t="n">
        <v>359</v>
      </c>
      <c r="B361" s="102" t="inlineStr">
        <is>
          <t>경기</t>
        </is>
      </c>
      <c r="C361" s="107" t="inlineStr">
        <is>
          <t>리베라CC</t>
        </is>
      </c>
      <c r="D361" s="102" t="inlineStr">
        <is>
          <t>회원제</t>
        </is>
      </c>
      <c r="E361" s="101" t="n">
        <v>36</v>
      </c>
      <c r="F361" s="105" t="inlineStr">
        <is>
          <t>화성시 동탄면 중리길 183</t>
        </is>
      </c>
      <c r="G361" s="190" t="inlineStr">
        <is>
          <t>🟡 2순위</t>
        </is>
      </c>
      <c r="H361" s="111" t="n"/>
    </row>
    <row r="362" ht="18" customHeight="1" s="97">
      <c r="A362" s="112" t="n">
        <v>360</v>
      </c>
      <c r="B362" s="113" t="inlineStr">
        <is>
          <t>경기</t>
        </is>
      </c>
      <c r="C362" s="118" t="inlineStr">
        <is>
          <t>몽베르컨트리클럽</t>
        </is>
      </c>
      <c r="D362" s="113" t="inlineStr">
        <is>
          <t>회원제</t>
        </is>
      </c>
      <c r="E362" s="112" t="n">
        <v>18</v>
      </c>
      <c r="F362" s="116" t="inlineStr">
        <is>
          <t>포천시 영북면 산정호수로 359-12</t>
        </is>
      </c>
      <c r="G362" s="190" t="inlineStr">
        <is>
          <t>🟡 2순위</t>
        </is>
      </c>
      <c r="H362" s="121" t="n"/>
    </row>
    <row r="363" ht="18" customHeight="1" s="97">
      <c r="A363" s="101" t="n">
        <v>361</v>
      </c>
      <c r="B363" s="102" t="inlineStr">
        <is>
          <t>경기</t>
        </is>
      </c>
      <c r="C363" s="107" t="inlineStr">
        <is>
          <t>발리오스CC</t>
        </is>
      </c>
      <c r="D363" s="102" t="inlineStr">
        <is>
          <t>회원제</t>
        </is>
      </c>
      <c r="E363" s="101" t="n">
        <v>18</v>
      </c>
      <c r="F363" s="105" t="inlineStr">
        <is>
          <t>화성시 팔탄면 3.1만세로 641-28</t>
        </is>
      </c>
      <c r="G363" s="190" t="inlineStr">
        <is>
          <t>🟡 2순위</t>
        </is>
      </c>
      <c r="H363" s="111" t="n"/>
    </row>
    <row r="364" ht="18" customHeight="1" s="97">
      <c r="A364" s="112" t="n">
        <v>362</v>
      </c>
      <c r="B364" s="113" t="inlineStr">
        <is>
          <t>경기</t>
        </is>
      </c>
      <c r="C364" s="118" t="inlineStr">
        <is>
          <t>베네스트G.C</t>
        </is>
      </c>
      <c r="D364" s="113" t="inlineStr">
        <is>
          <t>회원제</t>
        </is>
      </c>
      <c r="E364" s="112" t="n">
        <v>27</v>
      </c>
      <c r="F364" s="116" t="inlineStr">
        <is>
          <t>가평군 상면 둔덕말길 232</t>
        </is>
      </c>
      <c r="G364" s="190" t="inlineStr">
        <is>
          <t>🟡 2순위</t>
        </is>
      </c>
      <c r="H364" s="121" t="n"/>
    </row>
    <row r="365" ht="18" customHeight="1" s="97">
      <c r="A365" s="101" t="n">
        <v>363</v>
      </c>
      <c r="B365" s="102" t="inlineStr">
        <is>
          <t>경기</t>
        </is>
      </c>
      <c r="C365" s="107" t="inlineStr">
        <is>
          <t>블랙스톤리조트이천</t>
        </is>
      </c>
      <c r="D365" s="102" t="inlineStr">
        <is>
          <t>회원제</t>
        </is>
      </c>
      <c r="E365" s="101" t="n">
        <v>18</v>
      </c>
      <c r="F365" s="105" t="inlineStr">
        <is>
          <t>이천시 장호원읍 장여로 459-160</t>
        </is>
      </c>
      <c r="G365" s="190" t="inlineStr">
        <is>
          <t>🟡 2순위</t>
        </is>
      </c>
      <c r="H365" s="111" t="n"/>
    </row>
    <row r="366" ht="18" customHeight="1" s="97">
      <c r="A366" s="112" t="n">
        <v>364</v>
      </c>
      <c r="B366" s="113" t="inlineStr">
        <is>
          <t>경기</t>
        </is>
      </c>
      <c r="C366" s="118" t="inlineStr">
        <is>
          <t>블루원용인CC</t>
        </is>
      </c>
      <c r="D366" s="113" t="inlineStr">
        <is>
          <t>회원제</t>
        </is>
      </c>
      <c r="E366" s="112" t="n">
        <v>18</v>
      </c>
      <c r="F366" s="116" t="inlineStr">
        <is>
          <t>용인시 처인구 원삼면 보개원삼로 1534번길 40</t>
        </is>
      </c>
      <c r="G366" s="190" t="inlineStr">
        <is>
          <t>🟡 2순위</t>
        </is>
      </c>
      <c r="H366" s="121" t="n"/>
    </row>
    <row r="367" ht="18" customHeight="1" s="97">
      <c r="A367" s="101" t="n">
        <v>365</v>
      </c>
      <c r="B367" s="102" t="inlineStr">
        <is>
          <t>경기</t>
        </is>
      </c>
      <c r="C367" s="107" t="inlineStr">
        <is>
          <t>블루헤런</t>
        </is>
      </c>
      <c r="D367" s="102" t="inlineStr">
        <is>
          <t>회원제</t>
        </is>
      </c>
      <c r="E367" s="101" t="n">
        <v>18</v>
      </c>
      <c r="F367" s="105" t="inlineStr">
        <is>
          <t>여주시 대신면 고달사로 67(대신면 상구리 산11-1)</t>
        </is>
      </c>
      <c r="G367" s="190" t="inlineStr">
        <is>
          <t>🟡 2순위</t>
        </is>
      </c>
      <c r="H367" s="111" t="n"/>
    </row>
    <row r="368" ht="18" customHeight="1" s="97">
      <c r="A368" s="112" t="n">
        <v>366</v>
      </c>
      <c r="B368" s="113" t="inlineStr">
        <is>
          <t>경기</t>
        </is>
      </c>
      <c r="C368" s="118" t="inlineStr">
        <is>
          <t>비에이비스타C.C.</t>
        </is>
      </c>
      <c r="D368" s="113" t="inlineStr">
        <is>
          <t>회원제</t>
        </is>
      </c>
      <c r="E368" s="112" t="n">
        <v>36</v>
      </c>
      <c r="F368" s="116" t="inlineStr">
        <is>
          <t>이천시 모가면 어농로 272</t>
        </is>
      </c>
      <c r="G368" s="190" t="inlineStr">
        <is>
          <t>🟡 2순위</t>
        </is>
      </c>
      <c r="H368" s="121" t="n"/>
    </row>
    <row r="369" ht="18" customHeight="1" s="97">
      <c r="A369" s="101" t="n">
        <v>367</v>
      </c>
      <c r="B369" s="102" t="inlineStr">
        <is>
          <t>경기</t>
        </is>
      </c>
      <c r="C369" s="107" t="inlineStr">
        <is>
          <t>비전힐스C.C</t>
        </is>
      </c>
      <c r="D369" s="102" t="inlineStr">
        <is>
          <t>회원제</t>
        </is>
      </c>
      <c r="E369" s="101" t="n">
        <v>18</v>
      </c>
      <c r="F369" s="105" t="inlineStr">
        <is>
          <t>남양주시 화도읍 마치로 226-220</t>
        </is>
      </c>
      <c r="G369" s="190" t="inlineStr">
        <is>
          <t>🟡 2순위</t>
        </is>
      </c>
      <c r="H369" s="111" t="n"/>
    </row>
    <row r="370" ht="18" customHeight="1" s="97">
      <c r="A370" s="112" t="n">
        <v>368</v>
      </c>
      <c r="B370" s="113" t="inlineStr">
        <is>
          <t>경기</t>
        </is>
      </c>
      <c r="C370" s="118" t="inlineStr">
        <is>
          <t>삼성물산(주)안양컨트리클럽</t>
        </is>
      </c>
      <c r="D370" s="113" t="inlineStr">
        <is>
          <t>회원제</t>
        </is>
      </c>
      <c r="E370" s="112" t="n">
        <v>18</v>
      </c>
      <c r="F370" s="116" t="inlineStr">
        <is>
          <t>군포시 군포로364(부곡동)</t>
        </is>
      </c>
      <c r="G370" s="190" t="inlineStr">
        <is>
          <t>🟡 2순위</t>
        </is>
      </c>
      <c r="H370" s="121" t="n"/>
    </row>
    <row r="371" ht="18" customHeight="1" s="97">
      <c r="A371" s="101" t="n">
        <v>369</v>
      </c>
      <c r="B371" s="102" t="inlineStr">
        <is>
          <t>경기</t>
        </is>
      </c>
      <c r="C371" s="107" t="inlineStr">
        <is>
          <t>서서울</t>
        </is>
      </c>
      <c r="D371" s="102" t="inlineStr">
        <is>
          <t>회원제</t>
        </is>
      </c>
      <c r="E371" s="101" t="n">
        <v>18</v>
      </c>
      <c r="F371" s="105" t="inlineStr">
        <is>
          <t>파주시 광탄면 혜음로 324</t>
        </is>
      </c>
      <c r="G371" s="190" t="inlineStr">
        <is>
          <t>🟡 2순위</t>
        </is>
      </c>
      <c r="H371" s="111" t="n"/>
    </row>
    <row r="372" ht="18" customHeight="1" s="97">
      <c r="A372" s="112" t="n">
        <v>370</v>
      </c>
      <c r="B372" s="113" t="inlineStr">
        <is>
          <t>경기</t>
        </is>
      </c>
      <c r="C372" s="118" t="inlineStr">
        <is>
          <t>서원밸리</t>
        </is>
      </c>
      <c r="D372" s="113" t="inlineStr">
        <is>
          <t>회원제</t>
        </is>
      </c>
      <c r="E372" s="112" t="n">
        <v>27</v>
      </c>
      <c r="F372" s="116" t="inlineStr">
        <is>
          <t>파주시 광탄면 서원길 333</t>
        </is>
      </c>
      <c r="G372" s="190" t="inlineStr">
        <is>
          <t>🟡 2순위</t>
        </is>
      </c>
      <c r="H372" s="121" t="n"/>
    </row>
    <row r="373" ht="18" customHeight="1" s="97">
      <c r="A373" s="101" t="n">
        <v>371</v>
      </c>
      <c r="B373" s="102" t="inlineStr">
        <is>
          <t>경기</t>
        </is>
      </c>
      <c r="C373" s="107" t="inlineStr">
        <is>
          <t>솔모로</t>
        </is>
      </c>
      <c r="D373" s="102" t="inlineStr">
        <is>
          <t>회원제</t>
        </is>
      </c>
      <c r="E373" s="101" t="n">
        <v>36</v>
      </c>
      <c r="F373" s="105" t="inlineStr">
        <is>
          <t>여주시 가남읍 솔모로그린길 171(가남면 양귀리 산69)</t>
        </is>
      </c>
      <c r="G373" s="190" t="inlineStr">
        <is>
          <t>🟡 2순위</t>
        </is>
      </c>
      <c r="H373" s="111" t="n"/>
    </row>
    <row r="374" ht="18" customHeight="1" s="97">
      <c r="A374" s="112" t="n">
        <v>372</v>
      </c>
      <c r="B374" s="113" t="inlineStr">
        <is>
          <t>경기</t>
        </is>
      </c>
      <c r="C374" s="118" t="inlineStr">
        <is>
          <t>송추cc</t>
        </is>
      </c>
      <c r="D374" s="113" t="inlineStr">
        <is>
          <t>회원제</t>
        </is>
      </c>
      <c r="E374" s="112" t="n">
        <v>18</v>
      </c>
      <c r="F374" s="116" t="inlineStr">
        <is>
          <t>양주시 광적면 쇠장이길 435</t>
        </is>
      </c>
      <c r="G374" s="190" t="inlineStr">
        <is>
          <t>🟡 2순위</t>
        </is>
      </c>
      <c r="H374" s="121" t="n"/>
    </row>
    <row r="375" ht="18" customHeight="1" s="97">
      <c r="A375" s="101" t="n">
        <v>373</v>
      </c>
      <c r="B375" s="102" t="inlineStr">
        <is>
          <t>경기</t>
        </is>
      </c>
      <c r="C375" s="107" t="inlineStr">
        <is>
          <t>수원CC</t>
        </is>
      </c>
      <c r="D375" s="102" t="inlineStr">
        <is>
          <t>회원제</t>
        </is>
      </c>
      <c r="E375" s="101" t="n">
        <v>36</v>
      </c>
      <c r="F375" s="105" t="inlineStr">
        <is>
          <t>용인시 기흥구 중부대로 495</t>
        </is>
      </c>
      <c r="G375" s="190" t="inlineStr">
        <is>
          <t>🟡 2순위</t>
        </is>
      </c>
      <c r="H375" s="111" t="n"/>
    </row>
    <row r="376" ht="18" customHeight="1" s="97">
      <c r="A376" s="112" t="n">
        <v>374</v>
      </c>
      <c r="B376" s="113" t="inlineStr">
        <is>
          <t>경기</t>
        </is>
      </c>
      <c r="C376" s="118" t="inlineStr">
        <is>
          <t>스카이밸리</t>
        </is>
      </c>
      <c r="D376" s="113" t="inlineStr">
        <is>
          <t>회원제</t>
        </is>
      </c>
      <c r="E376" s="112" t="n">
        <v>18</v>
      </c>
      <c r="F376" s="116" t="inlineStr">
        <is>
          <t>여주시 북내면 운촌길 254(북내면 운촌리 산40)</t>
        </is>
      </c>
      <c r="G376" s="190" t="inlineStr">
        <is>
          <t>🟡 2순위</t>
        </is>
      </c>
      <c r="H376" s="121" t="n"/>
    </row>
    <row r="377" ht="18" customHeight="1" s="97">
      <c r="A377" s="101" t="n">
        <v>375</v>
      </c>
      <c r="B377" s="102" t="inlineStr">
        <is>
          <t>경기</t>
        </is>
      </c>
      <c r="C377" s="107" t="inlineStr">
        <is>
          <t>신안컨트리클럽</t>
        </is>
      </c>
      <c r="D377" s="102" t="inlineStr">
        <is>
          <t>회원제</t>
        </is>
      </c>
      <c r="E377" s="101" t="n">
        <v>18</v>
      </c>
      <c r="F377" s="105" t="inlineStr">
        <is>
          <t>안성시 고삼면 개울말길 149</t>
        </is>
      </c>
      <c r="G377" s="190" t="inlineStr">
        <is>
          <t>🟡 2순위</t>
        </is>
      </c>
      <c r="H377" s="111" t="n"/>
    </row>
    <row r="378" ht="18" customHeight="1" s="97">
      <c r="A378" s="112" t="n">
        <v>376</v>
      </c>
      <c r="B378" s="113" t="inlineStr">
        <is>
          <t>경기</t>
        </is>
      </c>
      <c r="C378" s="118" t="inlineStr">
        <is>
          <t>신원CC</t>
        </is>
      </c>
      <c r="D378" s="113" t="inlineStr">
        <is>
          <t>회원제</t>
        </is>
      </c>
      <c r="E378" s="112" t="n">
        <v>27</v>
      </c>
      <c r="F378" s="116" t="inlineStr">
        <is>
          <t>용인시 이동읍 이원로 225</t>
        </is>
      </c>
      <c r="G378" s="190" t="inlineStr">
        <is>
          <t>🟡 2순위</t>
        </is>
      </c>
      <c r="H378" s="121" t="n"/>
    </row>
    <row r="379" ht="18" customHeight="1" s="97">
      <c r="A379" s="101" t="n">
        <v>377</v>
      </c>
      <c r="B379" s="102" t="inlineStr">
        <is>
          <t>경기</t>
        </is>
      </c>
      <c r="C379" s="107" t="inlineStr">
        <is>
          <t>썬힐G.C</t>
        </is>
      </c>
      <c r="D379" s="102" t="inlineStr">
        <is>
          <t>회원제</t>
        </is>
      </c>
      <c r="E379" s="101" t="n">
        <v>18</v>
      </c>
      <c r="F379" s="105" t="inlineStr">
        <is>
          <t>가평군 조종면 운악청계로589번길 73</t>
        </is>
      </c>
      <c r="G379" s="190" t="inlineStr">
        <is>
          <t>🟡 2순위</t>
        </is>
      </c>
      <c r="H379" s="111" t="n"/>
    </row>
    <row r="380" ht="18" customHeight="1" s="97">
      <c r="A380" s="112" t="n">
        <v>378</v>
      </c>
      <c r="B380" s="113" t="inlineStr">
        <is>
          <t>경기</t>
        </is>
      </c>
      <c r="C380" s="118" t="inlineStr">
        <is>
          <t>아난티클럽    서울</t>
        </is>
      </c>
      <c r="D380" s="113" t="inlineStr">
        <is>
          <t>회원제</t>
        </is>
      </c>
      <c r="E380" s="112" t="n">
        <v>27</v>
      </c>
      <c r="F380" s="116" t="inlineStr">
        <is>
          <t>가평군 설악면 유명산로961-34</t>
        </is>
      </c>
      <c r="G380" s="190" t="inlineStr">
        <is>
          <t>🟡 2순위</t>
        </is>
      </c>
      <c r="H380" s="121" t="n"/>
    </row>
    <row r="381" ht="18" customHeight="1" s="97">
      <c r="A381" s="101" t="n">
        <v>379</v>
      </c>
      <c r="B381" s="102" t="inlineStr">
        <is>
          <t>경기</t>
        </is>
      </c>
      <c r="C381" s="107" t="inlineStr">
        <is>
          <t>아시아나CC</t>
        </is>
      </c>
      <c r="D381" s="102" t="inlineStr">
        <is>
          <t>회원제</t>
        </is>
      </c>
      <c r="E381" s="101" t="n">
        <v>36</v>
      </c>
      <c r="F381" s="105" t="inlineStr">
        <is>
          <t>용인시 처인구 양지면 양대로 290</t>
        </is>
      </c>
      <c r="G381" s="190" t="inlineStr">
        <is>
          <t>🟡 2순위</t>
        </is>
      </c>
      <c r="H381" s="111" t="n"/>
    </row>
    <row r="382" ht="18" customHeight="1" s="97">
      <c r="A382" s="112" t="n">
        <v>380</v>
      </c>
      <c r="B382" s="113" t="inlineStr">
        <is>
          <t>경기</t>
        </is>
      </c>
      <c r="C382" s="118" t="inlineStr">
        <is>
          <t>안성베네스트G.C</t>
        </is>
      </c>
      <c r="D382" s="113" t="inlineStr">
        <is>
          <t>회원제</t>
        </is>
      </c>
      <c r="E382" s="112" t="n">
        <v>27</v>
      </c>
      <c r="F382" s="116" t="inlineStr">
        <is>
          <t>안성시 금광면 삼흥로 660</t>
        </is>
      </c>
      <c r="G382" s="190" t="inlineStr">
        <is>
          <t>🟡 2순위</t>
        </is>
      </c>
      <c r="H382" s="121" t="n"/>
    </row>
    <row r="383" ht="18" customHeight="1" s="97">
      <c r="A383" s="101" t="n">
        <v>381</v>
      </c>
      <c r="B383" s="102" t="inlineStr">
        <is>
          <t>경기</t>
        </is>
      </c>
      <c r="C383" s="107" t="inlineStr">
        <is>
          <t>안성컨트리클럽</t>
        </is>
      </c>
      <c r="D383" s="102" t="inlineStr">
        <is>
          <t>회원제</t>
        </is>
      </c>
      <c r="E383" s="101" t="n">
        <v>18</v>
      </c>
      <c r="F383" s="105" t="inlineStr">
        <is>
          <t>안성시 죽산면 장계길 134</t>
        </is>
      </c>
      <c r="G383" s="190" t="inlineStr">
        <is>
          <t>🟡 2순위</t>
        </is>
      </c>
      <c r="H383" s="111" t="n"/>
    </row>
    <row r="384" ht="18" customHeight="1" s="97">
      <c r="A384" s="112" t="n">
        <v>382</v>
      </c>
      <c r="B384" s="113" t="inlineStr">
        <is>
          <t>경기</t>
        </is>
      </c>
      <c r="C384" s="118" t="inlineStr">
        <is>
          <t>양주C.C</t>
        </is>
      </c>
      <c r="D384" s="113" t="inlineStr">
        <is>
          <t>회원제</t>
        </is>
      </c>
      <c r="E384" s="112" t="n">
        <v>18</v>
      </c>
      <c r="F384" s="116" t="inlineStr">
        <is>
          <t>남양주시 화도읍 북한강로 1525-52</t>
        </is>
      </c>
      <c r="G384" s="190" t="inlineStr">
        <is>
          <t>🟡 2순위</t>
        </is>
      </c>
      <c r="H384" s="121" t="n"/>
    </row>
    <row r="385" ht="18" customHeight="1" s="97">
      <c r="A385" s="101" t="n">
        <v>383</v>
      </c>
      <c r="B385" s="102" t="inlineStr">
        <is>
          <t>경기</t>
        </is>
      </c>
      <c r="C385" s="107" t="inlineStr">
        <is>
          <t>에이치원클럽</t>
        </is>
      </c>
      <c r="D385" s="102" t="inlineStr">
        <is>
          <t>회원제</t>
        </is>
      </c>
      <c r="E385" s="101" t="n">
        <v>18</v>
      </c>
      <c r="F385" s="105" t="inlineStr">
        <is>
          <t>이천시 호법면 장자터로 115</t>
        </is>
      </c>
      <c r="G385" s="190" t="inlineStr">
        <is>
          <t>🟡 2순위</t>
        </is>
      </c>
      <c r="H385" s="111" t="n"/>
    </row>
    <row r="386" ht="18" customHeight="1" s="97">
      <c r="A386" s="112" t="n">
        <v>384</v>
      </c>
      <c r="B386" s="113" t="inlineStr">
        <is>
          <t>경기</t>
        </is>
      </c>
      <c r="C386" s="118" t="inlineStr">
        <is>
          <t>여주</t>
        </is>
      </c>
      <c r="D386" s="113" t="inlineStr">
        <is>
          <t>회원제</t>
        </is>
      </c>
      <c r="E386" s="112" t="n">
        <v>27</v>
      </c>
      <c r="F386" s="116" t="inlineStr">
        <is>
          <t>여주시 월평로 78(여주읍 월송리 35-10)</t>
        </is>
      </c>
      <c r="G386" s="190" t="inlineStr">
        <is>
          <t>🟡 2순위</t>
        </is>
      </c>
      <c r="H386" s="121" t="n"/>
    </row>
    <row r="387" ht="18" customHeight="1" s="97">
      <c r="A387" s="101" t="n">
        <v>385</v>
      </c>
      <c r="B387" s="102" t="inlineStr">
        <is>
          <t>경기</t>
        </is>
      </c>
      <c r="C387" s="107" t="inlineStr">
        <is>
          <t>웰링턴C.C.</t>
        </is>
      </c>
      <c r="D387" s="102" t="inlineStr">
        <is>
          <t>회원제</t>
        </is>
      </c>
      <c r="E387" s="101" t="n">
        <v>27</v>
      </c>
      <c r="F387" s="105" t="inlineStr">
        <is>
          <t>이천시 모가면 사실로 725번길 119-73</t>
        </is>
      </c>
      <c r="G387" s="190" t="inlineStr">
        <is>
          <t>🟡 2순위</t>
        </is>
      </c>
      <c r="H387" s="111" t="n"/>
    </row>
    <row r="388" ht="18" customHeight="1" s="97">
      <c r="A388" s="112" t="n">
        <v>386</v>
      </c>
      <c r="B388" s="113" t="inlineStr">
        <is>
          <t>경기</t>
        </is>
      </c>
      <c r="C388" s="118" t="inlineStr">
        <is>
          <t>은화삼CC</t>
        </is>
      </c>
      <c r="D388" s="113" t="inlineStr">
        <is>
          <t>회원제</t>
        </is>
      </c>
      <c r="E388" s="112" t="n">
        <v>18</v>
      </c>
      <c r="F388" s="116" t="inlineStr">
        <is>
          <t>용인시 처인구 백옥대로 860-38</t>
        </is>
      </c>
      <c r="G388" s="190" t="inlineStr">
        <is>
          <t>🟡 2순위</t>
        </is>
      </c>
      <c r="H388" s="121" t="n"/>
    </row>
    <row r="389" ht="18" customHeight="1" s="97">
      <c r="A389" s="101" t="n">
        <v>387</v>
      </c>
      <c r="B389" s="102" t="inlineStr">
        <is>
          <t>경기</t>
        </is>
      </c>
      <c r="C389" s="107" t="inlineStr">
        <is>
          <t>이포</t>
        </is>
      </c>
      <c r="D389" s="102" t="inlineStr">
        <is>
          <t>회원제</t>
        </is>
      </c>
      <c r="E389" s="101" t="n">
        <v>18</v>
      </c>
      <c r="F389" s="105" t="inlineStr">
        <is>
          <t>여주시 금사면 장흥로 416(금사면 장흥리 산1)</t>
        </is>
      </c>
      <c r="G389" s="190" t="inlineStr">
        <is>
          <t>🟡 2순위</t>
        </is>
      </c>
      <c r="H389" s="111" t="n"/>
    </row>
    <row r="390" ht="18" customHeight="1" s="97">
      <c r="A390" s="112" t="n">
        <v>388</v>
      </c>
      <c r="B390" s="113" t="inlineStr">
        <is>
          <t>경기</t>
        </is>
      </c>
      <c r="C390" s="118" t="inlineStr">
        <is>
          <t>일동레이크 골프클럽</t>
        </is>
      </c>
      <c r="D390" s="113" t="inlineStr">
        <is>
          <t>회원제</t>
        </is>
      </c>
      <c r="E390" s="112" t="n">
        <v>27</v>
      </c>
      <c r="F390" s="116" t="inlineStr">
        <is>
          <t>포천시 일동면 화동로 738/일동면 유동리 21-2</t>
        </is>
      </c>
      <c r="G390" s="190" t="inlineStr">
        <is>
          <t>🟡 2순위</t>
        </is>
      </c>
      <c r="H390" s="121" t="n"/>
    </row>
    <row r="391" ht="18" customHeight="1" s="97">
      <c r="A391" s="101" t="n">
        <v>389</v>
      </c>
      <c r="B391" s="102" t="inlineStr">
        <is>
          <t>경기</t>
        </is>
      </c>
      <c r="C391" s="107" t="inlineStr">
        <is>
          <t>자유</t>
        </is>
      </c>
      <c r="D391" s="102" t="inlineStr">
        <is>
          <t>회원제</t>
        </is>
      </c>
      <c r="E391" s="101" t="n">
        <v>36</v>
      </c>
      <c r="F391" s="105" t="inlineStr">
        <is>
          <t>여주시 가남읍 자유그린길 69(가남면 삼군리 산44외)</t>
        </is>
      </c>
      <c r="G391" s="190" t="inlineStr">
        <is>
          <t>🟡 2순위</t>
        </is>
      </c>
      <c r="H391" s="111" t="n"/>
    </row>
    <row r="392" ht="18" customHeight="1" s="97">
      <c r="A392" s="112" t="n">
        <v>390</v>
      </c>
      <c r="B392" s="113" t="inlineStr">
        <is>
          <t>경기</t>
        </is>
      </c>
      <c r="C392" s="118" t="inlineStr">
        <is>
          <t>제일스포츠센타</t>
        </is>
      </c>
      <c r="D392" s="113" t="inlineStr">
        <is>
          <t>회원제</t>
        </is>
      </c>
      <c r="E392" s="112" t="n">
        <v>27</v>
      </c>
      <c r="F392" s="116" t="inlineStr">
        <is>
          <t>안산시 상록구 태마당로28(부곡동)</t>
        </is>
      </c>
      <c r="G392" s="190" t="inlineStr">
        <is>
          <t>🟡 2순위</t>
        </is>
      </c>
      <c r="H392" s="121" t="n"/>
    </row>
    <row r="393" ht="18" customHeight="1" s="97">
      <c r="A393" s="101" t="n">
        <v>391</v>
      </c>
      <c r="B393" s="102" t="inlineStr">
        <is>
          <t>경기</t>
        </is>
      </c>
      <c r="C393" s="107" t="inlineStr">
        <is>
          <t>중부컨트리클럽</t>
        </is>
      </c>
      <c r="D393" s="102" t="inlineStr">
        <is>
          <t>회원제</t>
        </is>
      </c>
      <c r="E393" s="101" t="n">
        <v>18</v>
      </c>
      <c r="F393" s="105" t="inlineStr">
        <is>
          <t>광주시 곤지암읍 경충대로 451</t>
        </is>
      </c>
      <c r="G393" s="190" t="inlineStr">
        <is>
          <t>🟡 2순위</t>
        </is>
      </c>
      <c r="H393" s="111" t="n"/>
    </row>
    <row r="394" ht="18" customHeight="1" s="97">
      <c r="A394" s="112" t="n">
        <v>392</v>
      </c>
      <c r="B394" s="113" t="inlineStr">
        <is>
          <t>경기</t>
        </is>
      </c>
      <c r="C394" s="118" t="inlineStr">
        <is>
          <t>지산CC</t>
        </is>
      </c>
      <c r="D394" s="113" t="inlineStr">
        <is>
          <t>회원제</t>
        </is>
      </c>
      <c r="E394" s="112" t="n">
        <v>27</v>
      </c>
      <c r="F394" s="116" t="inlineStr">
        <is>
          <t>용인시 처인구 원삼면 죽양대로 2000번길 60</t>
        </is>
      </c>
      <c r="G394" s="190" t="inlineStr">
        <is>
          <t>🟡 2순위</t>
        </is>
      </c>
      <c r="H394" s="121" t="n"/>
    </row>
    <row r="395" ht="18" customHeight="1" s="97">
      <c r="A395" s="101" t="n">
        <v>393</v>
      </c>
      <c r="B395" s="102" t="inlineStr">
        <is>
          <t>경기</t>
        </is>
      </c>
      <c r="C395" s="107" t="inlineStr">
        <is>
          <t>청평마이다스G.C</t>
        </is>
      </c>
      <c r="D395" s="102" t="inlineStr">
        <is>
          <t>회원제</t>
        </is>
      </c>
      <c r="E395" s="101" t="n">
        <v>18</v>
      </c>
      <c r="F395" s="105" t="inlineStr">
        <is>
          <t>가평군 설악면 다락재로 73-111</t>
        </is>
      </c>
      <c r="G395" s="190" t="inlineStr">
        <is>
          <t>🟡 2순위</t>
        </is>
      </c>
      <c r="H395" s="111" t="n"/>
    </row>
    <row r="396" ht="18" customHeight="1" s="97">
      <c r="A396" s="112" t="n">
        <v>394</v>
      </c>
      <c r="B396" s="113" t="inlineStr">
        <is>
          <t>경기</t>
        </is>
      </c>
      <c r="C396" s="118" t="inlineStr">
        <is>
          <t>코리아CC</t>
        </is>
      </c>
      <c r="D396" s="113" t="inlineStr">
        <is>
          <t>회원제</t>
        </is>
      </c>
      <c r="E396" s="112" t="n">
        <v>27</v>
      </c>
      <c r="F396" s="116" t="inlineStr">
        <is>
          <t>용인시 처인구 이동읍 기흥단지로 579</t>
        </is>
      </c>
      <c r="G396" s="190" t="inlineStr">
        <is>
          <t>🟡 2순위</t>
        </is>
      </c>
      <c r="H396" s="121" t="n"/>
    </row>
    <row r="397" ht="18" customHeight="1" s="97">
      <c r="A397" s="101" t="n">
        <v>395</v>
      </c>
      <c r="B397" s="102" t="inlineStr">
        <is>
          <t>경기</t>
        </is>
      </c>
      <c r="C397" s="107" t="inlineStr">
        <is>
          <t>크리스탈밸리C.C</t>
        </is>
      </c>
      <c r="D397" s="102" t="inlineStr">
        <is>
          <t>회원제</t>
        </is>
      </c>
      <c r="E397" s="101" t="n">
        <v>18</v>
      </c>
      <c r="F397" s="105" t="inlineStr">
        <is>
          <t>가평군 상면 대보간선로 602-111</t>
        </is>
      </c>
      <c r="G397" s="190" t="inlineStr">
        <is>
          <t>🟡 2순위</t>
        </is>
      </c>
      <c r="H397" s="111" t="n"/>
    </row>
    <row r="398" ht="18" customHeight="1" s="97">
      <c r="A398" s="112" t="n">
        <v>396</v>
      </c>
      <c r="B398" s="113" t="inlineStr">
        <is>
          <t>경기</t>
        </is>
      </c>
      <c r="C398" s="118" t="inlineStr">
        <is>
          <t>태광CC</t>
        </is>
      </c>
      <c r="D398" s="113" t="inlineStr">
        <is>
          <t>회원제</t>
        </is>
      </c>
      <c r="E398" s="112" t="n">
        <v>27</v>
      </c>
      <c r="F398" s="116" t="inlineStr">
        <is>
          <t>용인시 기흥구 흥덕4로 77</t>
        </is>
      </c>
      <c r="G398" s="190" t="inlineStr">
        <is>
          <t>🟡 2순위</t>
        </is>
      </c>
      <c r="H398" s="121" t="n"/>
    </row>
    <row r="399" ht="18" customHeight="1" s="97">
      <c r="A399" s="101" t="n">
        <v>397</v>
      </c>
      <c r="B399" s="102" t="inlineStr">
        <is>
          <t>경기</t>
        </is>
      </c>
      <c r="C399" s="107" t="inlineStr">
        <is>
          <t>티클라우드 컨트리클럽</t>
        </is>
      </c>
      <c r="D399" s="102" t="inlineStr">
        <is>
          <t>회원제</t>
        </is>
      </c>
      <c r="E399" s="101" t="n">
        <v>18</v>
      </c>
      <c r="F399" s="105" t="inlineStr">
        <is>
          <t>동두천시 평화로 3202 (하봉암동)</t>
        </is>
      </c>
      <c r="G399" s="190" t="inlineStr">
        <is>
          <t>🟡 2순위</t>
        </is>
      </c>
      <c r="H399" s="111" t="n"/>
    </row>
    <row r="400" ht="18" customHeight="1" s="97">
      <c r="A400" s="112" t="n">
        <v>398</v>
      </c>
      <c r="B400" s="113" t="inlineStr">
        <is>
          <t>경기</t>
        </is>
      </c>
      <c r="C400" s="118" t="inlineStr">
        <is>
          <t>포천아도니스 C.C</t>
        </is>
      </c>
      <c r="D400" s="113" t="inlineStr">
        <is>
          <t>회원제</t>
        </is>
      </c>
      <c r="E400" s="112" t="n">
        <v>27</v>
      </c>
      <c r="F400" s="116" t="inlineStr">
        <is>
          <t>포천시 신북면 포천로 2499/신북면 고일리(산) 59</t>
        </is>
      </c>
      <c r="G400" s="190" t="inlineStr">
        <is>
          <t>🟡 2순위</t>
        </is>
      </c>
      <c r="H400" s="121" t="n"/>
    </row>
    <row r="401" ht="18" customHeight="1" s="97">
      <c r="A401" s="101" t="n">
        <v>399</v>
      </c>
      <c r="B401" s="102" t="inlineStr">
        <is>
          <t>경기</t>
        </is>
      </c>
      <c r="C401" s="107" t="inlineStr">
        <is>
          <t>프리스틴밸리    G.C</t>
        </is>
      </c>
      <c r="D401" s="102" t="inlineStr">
        <is>
          <t>회원제</t>
        </is>
      </c>
      <c r="E401" s="101" t="n">
        <v>18</v>
      </c>
      <c r="F401" s="105" t="inlineStr">
        <is>
          <t>가평군 설악면 유명산로 1234-199</t>
        </is>
      </c>
      <c r="G401" s="190" t="inlineStr">
        <is>
          <t>🟡 2순위</t>
        </is>
      </c>
      <c r="H401" s="111" t="n"/>
    </row>
    <row r="402" ht="18" customHeight="1" s="97">
      <c r="A402" s="112" t="n">
        <v>400</v>
      </c>
      <c r="B402" s="113" t="inlineStr">
        <is>
          <t>경기</t>
        </is>
      </c>
      <c r="C402" s="118" t="inlineStr">
        <is>
          <t>플라자CC</t>
        </is>
      </c>
      <c r="D402" s="113" t="inlineStr">
        <is>
          <t>회원제</t>
        </is>
      </c>
      <c r="E402" s="112" t="n">
        <v>36</v>
      </c>
      <c r="F402" s="116" t="inlineStr">
        <is>
          <t>용인시 처인구 남사읍 봉무로 153번길 79</t>
        </is>
      </c>
      <c r="G402" s="190" t="inlineStr">
        <is>
          <t>🟡 2순위</t>
        </is>
      </c>
      <c r="H402" s="121" t="n"/>
    </row>
    <row r="403" ht="18" customHeight="1" s="97">
      <c r="A403" s="101" t="n">
        <v>401</v>
      </c>
      <c r="B403" s="102" t="inlineStr">
        <is>
          <t>경기</t>
        </is>
      </c>
      <c r="C403" s="107" t="inlineStr">
        <is>
          <t>한림광릉C.C</t>
        </is>
      </c>
      <c r="D403" s="102" t="inlineStr">
        <is>
          <t>회원제</t>
        </is>
      </c>
      <c r="E403" s="101" t="n">
        <v>18</v>
      </c>
      <c r="F403" s="105" t="inlineStr">
        <is>
          <t>남양주시 진접읍 팔야로 280</t>
        </is>
      </c>
      <c r="G403" s="190" t="inlineStr">
        <is>
          <t>🟡 2순위</t>
        </is>
      </c>
      <c r="H403" s="111" t="n"/>
    </row>
    <row r="404" ht="18" customHeight="1" s="97">
      <c r="A404" s="112" t="n">
        <v>402</v>
      </c>
      <c r="B404" s="113" t="inlineStr">
        <is>
          <t>경기</t>
        </is>
      </c>
      <c r="C404" s="118" t="inlineStr">
        <is>
          <t>한성CC</t>
        </is>
      </c>
      <c r="D404" s="113" t="inlineStr">
        <is>
          <t>회원제</t>
        </is>
      </c>
      <c r="E404" s="112" t="n">
        <v>27</v>
      </c>
      <c r="F404" s="116" t="inlineStr">
        <is>
          <t>용인시 기흥구 구교동로 151</t>
        </is>
      </c>
      <c r="G404" s="190" t="inlineStr">
        <is>
          <t>🟡 2순위</t>
        </is>
      </c>
      <c r="H404" s="121" t="n"/>
    </row>
    <row r="405" ht="18" customHeight="1" s="97">
      <c r="A405" s="101" t="n">
        <v>403</v>
      </c>
      <c r="B405" s="102" t="inlineStr">
        <is>
          <t>경기</t>
        </is>
      </c>
      <c r="C405" s="107" t="inlineStr">
        <is>
          <t>한원CC</t>
        </is>
      </c>
      <c r="D405" s="102" t="inlineStr">
        <is>
          <t>회원제</t>
        </is>
      </c>
      <c r="E405" s="101" t="n">
        <v>27</v>
      </c>
      <c r="F405" s="105" t="inlineStr">
        <is>
          <t>용인시 처인구 남사읍 전나무골길 2번길 94</t>
        </is>
      </c>
      <c r="G405" s="190" t="inlineStr">
        <is>
          <t>🟡 2순위</t>
        </is>
      </c>
      <c r="H405" s="111" t="n"/>
    </row>
    <row r="406" ht="18" customHeight="1" s="97">
      <c r="A406" s="112" t="n">
        <v>404</v>
      </c>
      <c r="B406" s="113" t="inlineStr">
        <is>
          <t>경기</t>
        </is>
      </c>
      <c r="C406" s="118" t="inlineStr">
        <is>
          <t>해비치C.C</t>
        </is>
      </c>
      <c r="D406" s="113" t="inlineStr">
        <is>
          <t>회원제</t>
        </is>
      </c>
      <c r="E406" s="112" t="n">
        <v>18</v>
      </c>
      <c r="F406" s="116" t="inlineStr">
        <is>
          <t>남양주시 화도읍 재재기로 190번길 160</t>
        </is>
      </c>
      <c r="G406" s="190" t="inlineStr">
        <is>
          <t>🟡 2순위</t>
        </is>
      </c>
      <c r="H406" s="121" t="n"/>
    </row>
    <row r="407" ht="18" customHeight="1" s="97">
      <c r="A407" s="101" t="n">
        <v>405</v>
      </c>
      <c r="B407" s="102" t="inlineStr">
        <is>
          <t>경기</t>
        </is>
      </c>
      <c r="C407" s="107" t="inlineStr">
        <is>
          <t>해슬리나인브릿지</t>
        </is>
      </c>
      <c r="D407" s="102" t="inlineStr">
        <is>
          <t>회원제</t>
        </is>
      </c>
      <c r="E407" s="101" t="n">
        <v>18</v>
      </c>
      <c r="F407" s="105" t="inlineStr">
        <is>
          <t>여주시 명품1로 76(여주읍 연라리 산67-1 일원)</t>
        </is>
      </c>
      <c r="G407" s="190" t="inlineStr">
        <is>
          <t>🟡 2순위</t>
        </is>
      </c>
      <c r="H407" s="111" t="n"/>
    </row>
    <row r="408" ht="18" customHeight="1" s="97">
      <c r="A408" s="112" t="n">
        <v>406</v>
      </c>
      <c r="B408" s="113" t="inlineStr">
        <is>
          <t>경기</t>
        </is>
      </c>
      <c r="C408" s="118" t="inlineStr">
        <is>
          <t>화산CC</t>
        </is>
      </c>
      <c r="D408" s="113" t="inlineStr">
        <is>
          <t>회원제</t>
        </is>
      </c>
      <c r="E408" s="112" t="n">
        <v>18</v>
      </c>
      <c r="F408" s="116" t="inlineStr">
        <is>
          <t>용인시 처인구 이동읍 화산로 239</t>
        </is>
      </c>
      <c r="G408" s="190" t="inlineStr">
        <is>
          <t>🟡 2순위</t>
        </is>
      </c>
      <c r="H408" s="121" t="n"/>
    </row>
    <row r="409" ht="18" customHeight="1" s="97">
      <c r="A409" s="101" t="n">
        <v>407</v>
      </c>
      <c r="B409" s="102" t="inlineStr">
        <is>
          <t>경남</t>
        </is>
      </c>
      <c r="C409" s="107" t="inlineStr">
        <is>
          <t>거제드비치골프클럽</t>
        </is>
      </c>
      <c r="D409" s="102" t="inlineStr">
        <is>
          <t>회원제</t>
        </is>
      </c>
      <c r="E409" s="101" t="n">
        <v>18</v>
      </c>
      <c r="F409" s="105" t="inlineStr">
        <is>
          <t>거제시 장목면 거제북로 1573</t>
        </is>
      </c>
      <c r="G409" s="190" t="inlineStr">
        <is>
          <t>🟡 2순위</t>
        </is>
      </c>
      <c r="H409" s="111" t="n"/>
    </row>
    <row r="410" ht="18" customHeight="1" s="97">
      <c r="A410" s="112" t="n">
        <v>408</v>
      </c>
      <c r="B410" s="113" t="inlineStr">
        <is>
          <t>경남</t>
        </is>
      </c>
      <c r="C410" s="118" t="inlineStr">
        <is>
          <t>고성노벨컨트리클럽</t>
        </is>
      </c>
      <c r="D410" s="113" t="inlineStr">
        <is>
          <t>회원제</t>
        </is>
      </c>
      <c r="E410" s="112" t="n">
        <v>27</v>
      </c>
      <c r="F410" s="116" t="inlineStr">
        <is>
          <t>고성군 회화면 회진로 567</t>
        </is>
      </c>
      <c r="G410" s="190" t="inlineStr">
        <is>
          <t>🟡 2순위</t>
        </is>
      </c>
      <c r="H410" s="121" t="n"/>
    </row>
    <row r="411" ht="18" customHeight="1" s="97">
      <c r="A411" s="101" t="n">
        <v>409</v>
      </c>
      <c r="B411" s="102" t="inlineStr">
        <is>
          <t>경남</t>
        </is>
      </c>
      <c r="C411" s="107" t="inlineStr">
        <is>
          <t>김해정산컨트리클럽</t>
        </is>
      </c>
      <c r="D411" s="102" t="inlineStr">
        <is>
          <t>회원제</t>
        </is>
      </c>
      <c r="E411" s="101" t="n">
        <v>27</v>
      </c>
      <c r="F411" s="105" t="inlineStr">
        <is>
          <t>김해시 주촌면 서부로 1637번길 299-194</t>
        </is>
      </c>
      <c r="G411" s="190" t="inlineStr">
        <is>
          <t>🟡 2순위</t>
        </is>
      </c>
      <c r="H411" s="111" t="n"/>
    </row>
    <row r="412" ht="18" customHeight="1" s="97">
      <c r="A412" s="112" t="n">
        <v>410</v>
      </c>
      <c r="B412" s="113" t="inlineStr">
        <is>
          <t>경남</t>
        </is>
      </c>
      <c r="C412" s="118" t="inlineStr">
        <is>
          <t>동부산컨트리클럽</t>
        </is>
      </c>
      <c r="D412" s="113" t="inlineStr">
        <is>
          <t>회원제</t>
        </is>
      </c>
      <c r="E412" s="112" t="n">
        <v>27</v>
      </c>
      <c r="F412" s="116" t="inlineStr">
        <is>
          <t>양산시 매곡외산로 282</t>
        </is>
      </c>
      <c r="G412" s="190" t="inlineStr">
        <is>
          <t>🟡 2순위</t>
        </is>
      </c>
      <c r="H412" s="121" t="n"/>
    </row>
    <row r="413" ht="18" customHeight="1" s="97">
      <c r="A413" s="101" t="n">
        <v>411</v>
      </c>
      <c r="B413" s="102" t="inlineStr">
        <is>
          <t>경남</t>
        </is>
      </c>
      <c r="C413" s="107" t="inlineStr">
        <is>
          <t>롯데스카이힐김해컨트리클럽</t>
        </is>
      </c>
      <c r="D413" s="102" t="inlineStr">
        <is>
          <t>회원제</t>
        </is>
      </c>
      <c r="E413" s="101" t="n">
        <v>18</v>
      </c>
      <c r="F413" s="105" t="inlineStr">
        <is>
          <t>김해시 진례면 고모로 134번길 54-49</t>
        </is>
      </c>
      <c r="G413" s="190" t="inlineStr">
        <is>
          <t>🟡 2순위</t>
        </is>
      </c>
      <c r="H413" s="111" t="n"/>
    </row>
    <row r="414" ht="18" customHeight="1" s="97">
      <c r="A414" s="112" t="n">
        <v>412</v>
      </c>
      <c r="B414" s="113" t="inlineStr">
        <is>
          <t>경남</t>
        </is>
      </c>
      <c r="C414" s="118" t="inlineStr">
        <is>
          <t>부곡컨트리클럽</t>
        </is>
      </c>
      <c r="D414" s="113" t="inlineStr">
        <is>
          <t>회원제</t>
        </is>
      </c>
      <c r="E414" s="112" t="n">
        <v>18</v>
      </c>
      <c r="F414" s="116" t="inlineStr">
        <is>
          <t>창녕군 부곡면 온천로 445</t>
        </is>
      </c>
      <c r="G414" s="190" t="inlineStr">
        <is>
          <t>🟡 2순위</t>
        </is>
      </c>
      <c r="H414" s="121" t="n"/>
    </row>
    <row r="415" ht="18" customHeight="1" s="97">
      <c r="A415" s="101" t="n">
        <v>413</v>
      </c>
      <c r="B415" s="102" t="inlineStr">
        <is>
          <t>경남</t>
        </is>
      </c>
      <c r="C415" s="107" t="inlineStr">
        <is>
          <t>에덴밸리컨트리클럽</t>
        </is>
      </c>
      <c r="D415" s="102" t="inlineStr">
        <is>
          <t>회원제</t>
        </is>
      </c>
      <c r="E415" s="101" t="n">
        <v>18</v>
      </c>
      <c r="F415" s="105" t="inlineStr">
        <is>
          <t>양산시 원동면 어실로 910</t>
        </is>
      </c>
      <c r="G415" s="190" t="inlineStr">
        <is>
          <t>🟡 2순위</t>
        </is>
      </c>
      <c r="H415" s="111" t="n"/>
    </row>
    <row r="416" ht="18" customHeight="1" s="97">
      <c r="A416" s="112" t="n">
        <v>414</v>
      </c>
      <c r="B416" s="113" t="inlineStr">
        <is>
          <t>경남</t>
        </is>
      </c>
      <c r="C416" s="118" t="inlineStr">
        <is>
          <t>에이원컨트리클럽</t>
        </is>
      </c>
      <c r="D416" s="113" t="inlineStr">
        <is>
          <t>회원제</t>
        </is>
      </c>
      <c r="E416" s="112" t="n">
        <v>27</v>
      </c>
      <c r="F416" s="116" t="inlineStr">
        <is>
          <t>양산시 덕명로 190</t>
        </is>
      </c>
      <c r="G416" s="190" t="inlineStr">
        <is>
          <t>🟡 2순위</t>
        </is>
      </c>
      <c r="H416" s="121" t="n"/>
    </row>
    <row r="417" ht="18" customHeight="1" s="97">
      <c r="A417" s="101" t="n">
        <v>415</v>
      </c>
      <c r="B417" s="102" t="inlineStr">
        <is>
          <t>경남</t>
        </is>
      </c>
      <c r="C417" s="107" t="inlineStr">
        <is>
          <t>용원컨트리클럽</t>
        </is>
      </c>
      <c r="D417" s="102" t="inlineStr">
        <is>
          <t>회원제</t>
        </is>
      </c>
      <c r="E417" s="101" t="n">
        <v>27</v>
      </c>
      <c r="F417" s="105" t="inlineStr">
        <is>
          <t>창원시 진해구 가주로 133</t>
        </is>
      </c>
      <c r="G417" s="190" t="inlineStr">
        <is>
          <t>🟡 2순위</t>
        </is>
      </c>
      <c r="H417" s="111" t="n"/>
    </row>
    <row r="418" ht="18" customHeight="1" s="97">
      <c r="A418" s="112" t="n">
        <v>416</v>
      </c>
      <c r="B418" s="113" t="inlineStr">
        <is>
          <t>경남</t>
        </is>
      </c>
      <c r="C418" s="118" t="inlineStr">
        <is>
          <t>창원컨트리클럽</t>
        </is>
      </c>
      <c r="D418" s="113" t="inlineStr">
        <is>
          <t>회원제</t>
        </is>
      </c>
      <c r="E418" s="112" t="n">
        <v>18</v>
      </c>
      <c r="F418" s="116" t="inlineStr">
        <is>
          <t>창원시 의창구 대봉로 137</t>
        </is>
      </c>
      <c r="G418" s="190" t="inlineStr">
        <is>
          <t>🟡 2순위</t>
        </is>
      </c>
      <c r="H418" s="121" t="n"/>
    </row>
    <row r="419" ht="18" customHeight="1" s="97">
      <c r="A419" s="101" t="n">
        <v>417</v>
      </c>
      <c r="B419" s="102" t="inlineStr">
        <is>
          <t>경남</t>
        </is>
      </c>
      <c r="C419" s="107" t="inlineStr">
        <is>
          <t>통도파인이스트컨트리클럽</t>
        </is>
      </c>
      <c r="D419" s="102" t="inlineStr">
        <is>
          <t>회원제</t>
        </is>
      </c>
      <c r="E419" s="101" t="n">
        <v>36</v>
      </c>
      <c r="F419" s="105" t="inlineStr">
        <is>
          <t>양산시 하북면 신평남부길 29-12</t>
        </is>
      </c>
      <c r="G419" s="190" t="inlineStr">
        <is>
          <t>🟡 2순위</t>
        </is>
      </c>
      <c r="H419" s="111" t="n"/>
    </row>
    <row r="420" ht="18" customHeight="1" s="97">
      <c r="A420" s="112" t="n">
        <v>418</v>
      </c>
      <c r="B420" s="113" t="inlineStr">
        <is>
          <t>경남</t>
        </is>
      </c>
      <c r="C420" s="118" t="inlineStr">
        <is>
          <t>힐마루컨트리클럽</t>
        </is>
      </c>
      <c r="D420" s="113" t="inlineStr">
        <is>
          <t>회원제</t>
        </is>
      </c>
      <c r="E420" s="112" t="n">
        <v>18</v>
      </c>
      <c r="F420" s="116" t="inlineStr">
        <is>
          <t>창녕군 장마면 영산계성로 469-195</t>
        </is>
      </c>
      <c r="G420" s="190" t="inlineStr">
        <is>
          <t>🟡 2순위</t>
        </is>
      </c>
      <c r="H420" s="121" t="n"/>
    </row>
    <row r="421" ht="18" customHeight="1" s="97">
      <c r="A421" s="101" t="n">
        <v>419</v>
      </c>
      <c r="B421" s="102" t="inlineStr">
        <is>
          <t>경북</t>
        </is>
      </c>
      <c r="C421" s="107" t="inlineStr">
        <is>
          <t>경주신라C.C</t>
        </is>
      </c>
      <c r="D421" s="102" t="inlineStr">
        <is>
          <t>회원제</t>
        </is>
      </c>
      <c r="E421" s="101" t="n">
        <v>36</v>
      </c>
      <c r="F421" s="105" t="inlineStr">
        <is>
          <t>경주시 보문로 319</t>
        </is>
      </c>
      <c r="G421" s="190" t="inlineStr">
        <is>
          <t>🟡 2순위</t>
        </is>
      </c>
      <c r="H421" s="111" t="n"/>
    </row>
    <row r="422" ht="18" customHeight="1" s="97">
      <c r="A422" s="112" t="n">
        <v>420</v>
      </c>
      <c r="B422" s="113" t="inlineStr">
        <is>
          <t>경북</t>
        </is>
      </c>
      <c r="C422" s="118" t="inlineStr">
        <is>
          <t>골프존카운티 선산</t>
        </is>
      </c>
      <c r="D422" s="113" t="inlineStr">
        <is>
          <t>회원제</t>
        </is>
      </c>
      <c r="E422" s="112" t="n">
        <v>18</v>
      </c>
      <c r="F422" s="116" t="inlineStr">
        <is>
          <t>구미시 산동면 강동로 953-73</t>
        </is>
      </c>
      <c r="G422" s="190" t="inlineStr">
        <is>
          <t>🟡 2순위</t>
        </is>
      </c>
      <c r="H422" s="121" t="n"/>
    </row>
    <row r="423" ht="18" customHeight="1" s="97">
      <c r="A423" s="101" t="n">
        <v>421</v>
      </c>
      <c r="B423" s="102" t="inlineStr">
        <is>
          <t>경북</t>
        </is>
      </c>
      <c r="C423" s="107" t="inlineStr">
        <is>
          <t>남안동C.C</t>
        </is>
      </c>
      <c r="D423" s="102" t="inlineStr">
        <is>
          <t>회원제</t>
        </is>
      </c>
      <c r="E423" s="101" t="n">
        <v>18</v>
      </c>
      <c r="F423" s="105" t="inlineStr">
        <is>
          <t>안동시 일직면 풍일로 1887</t>
        </is>
      </c>
      <c r="G423" s="190" t="inlineStr">
        <is>
          <t>🟡 2순위</t>
        </is>
      </c>
      <c r="H423" s="111" t="n"/>
    </row>
    <row r="424" ht="18" customHeight="1" s="97">
      <c r="A424" s="112" t="n">
        <v>422</v>
      </c>
      <c r="B424" s="113" t="inlineStr">
        <is>
          <t>경북</t>
        </is>
      </c>
      <c r="C424" s="118" t="inlineStr">
        <is>
          <t>대구C.C</t>
        </is>
      </c>
      <c r="D424" s="113" t="inlineStr">
        <is>
          <t>회원제</t>
        </is>
      </c>
      <c r="E424" s="112" t="n">
        <v>27</v>
      </c>
      <c r="F424" s="116" t="inlineStr">
        <is>
          <t>경산시 진량읍 일연로 718-42</t>
        </is>
      </c>
      <c r="G424" s="190" t="inlineStr">
        <is>
          <t>🟡 2순위</t>
        </is>
      </c>
      <c r="H424" s="121" t="n"/>
    </row>
    <row r="425" ht="18" customHeight="1" s="97">
      <c r="A425" s="101" t="n">
        <v>423</v>
      </c>
      <c r="B425" s="102" t="inlineStr">
        <is>
          <t>경북</t>
        </is>
      </c>
      <c r="C425" s="107" t="inlineStr">
        <is>
          <t>디아너스C.C</t>
        </is>
      </c>
      <c r="D425" s="102" t="inlineStr">
        <is>
          <t>회원제</t>
        </is>
      </c>
      <c r="E425" s="101" t="n">
        <v>27</v>
      </c>
      <c r="F425" s="105" t="inlineStr">
        <is>
          <t>경주시 보불로 391(천군동)</t>
        </is>
      </c>
      <c r="G425" s="190" t="inlineStr">
        <is>
          <t>🟡 2순위</t>
        </is>
      </c>
      <c r="H425" s="111" t="n"/>
    </row>
    <row r="426" ht="18" customHeight="1" s="97">
      <c r="A426" s="112" t="n">
        <v>424</v>
      </c>
      <c r="B426" s="113" t="inlineStr">
        <is>
          <t>경북</t>
        </is>
      </c>
      <c r="C426" s="118" t="inlineStr">
        <is>
          <t>마우나오션C.C</t>
        </is>
      </c>
      <c r="D426" s="113" t="inlineStr">
        <is>
          <t>회원제</t>
        </is>
      </c>
      <c r="E426" s="112" t="n">
        <v>18</v>
      </c>
      <c r="F426" s="116" t="inlineStr">
        <is>
          <t>경주시 양남면 동남로 982</t>
        </is>
      </c>
      <c r="G426" s="190" t="inlineStr">
        <is>
          <t>🟡 2순위</t>
        </is>
      </c>
      <c r="H426" s="121" t="n"/>
    </row>
    <row r="427" ht="18" customHeight="1" s="97">
      <c r="A427" s="101" t="n">
        <v>425</v>
      </c>
      <c r="B427" s="102" t="inlineStr">
        <is>
          <t>경북</t>
        </is>
      </c>
      <c r="C427" s="107" t="inlineStr">
        <is>
          <t>안동리버힐C.C</t>
        </is>
      </c>
      <c r="D427" s="102" t="inlineStr">
        <is>
          <t>회원제</t>
        </is>
      </c>
      <c r="E427" s="101" t="n">
        <v>18</v>
      </c>
      <c r="F427" s="105" t="inlineStr">
        <is>
          <t>안동시 풍천면 풍일로 1572</t>
        </is>
      </c>
      <c r="G427" s="190" t="inlineStr">
        <is>
          <t>🟡 2순위</t>
        </is>
      </c>
      <c r="H427" s="111" t="n"/>
    </row>
    <row r="428" ht="18" customHeight="1" s="97">
      <c r="A428" s="112" t="n">
        <v>426</v>
      </c>
      <c r="B428" s="113" t="inlineStr">
        <is>
          <t>경북</t>
        </is>
      </c>
      <c r="C428" s="118" t="inlineStr">
        <is>
          <t>영천C.C</t>
        </is>
      </c>
      <c r="D428" s="113" t="inlineStr">
        <is>
          <t>회원제</t>
        </is>
      </c>
      <c r="E428" s="112" t="n">
        <v>27</v>
      </c>
      <c r="F428" s="116" t="inlineStr">
        <is>
          <t>영천시 임고면 방목길 34-2</t>
        </is>
      </c>
      <c r="G428" s="190" t="inlineStr">
        <is>
          <t>🟡 2순위</t>
        </is>
      </c>
      <c r="H428" s="121" t="n"/>
    </row>
    <row r="429" ht="18" customHeight="1" s="97">
      <c r="A429" s="101" t="n">
        <v>427</v>
      </c>
      <c r="B429" s="102" t="inlineStr">
        <is>
          <t>경북</t>
        </is>
      </c>
      <c r="C429" s="107" t="inlineStr">
        <is>
          <t>오션힐스포항C.C(회)</t>
        </is>
      </c>
      <c r="D429" s="102" t="inlineStr">
        <is>
          <t>회원제</t>
        </is>
      </c>
      <c r="E429" s="101" t="n">
        <v>18</v>
      </c>
      <c r="F429" s="105" t="inlineStr">
        <is>
          <t>포항시 북구 송라면 대전길 7</t>
        </is>
      </c>
      <c r="G429" s="190" t="inlineStr">
        <is>
          <t>🟡 2순위</t>
        </is>
      </c>
      <c r="H429" s="111" t="n"/>
    </row>
    <row r="430" ht="18" customHeight="1" s="97">
      <c r="A430" s="112" t="n">
        <v>428</v>
      </c>
      <c r="B430" s="113" t="inlineStr">
        <is>
          <t>경북</t>
        </is>
      </c>
      <c r="C430" s="118" t="inlineStr">
        <is>
          <t>오펠G.C</t>
        </is>
      </c>
      <c r="D430" s="113" t="inlineStr">
        <is>
          <t>회원제</t>
        </is>
      </c>
      <c r="E430" s="112" t="n">
        <v>27</v>
      </c>
      <c r="F430" s="116" t="inlineStr">
        <is>
          <t>영천시 고경면 호국로 1221-24</t>
        </is>
      </c>
      <c r="G430" s="190" t="inlineStr">
        <is>
          <t>🟡 2순위</t>
        </is>
      </c>
      <c r="H430" s="121" t="n"/>
    </row>
    <row r="431" ht="18" customHeight="1" s="97">
      <c r="A431" s="101" t="n">
        <v>429</v>
      </c>
      <c r="B431" s="102" t="inlineStr">
        <is>
          <t>경북</t>
        </is>
      </c>
      <c r="C431" s="107" t="inlineStr">
        <is>
          <t>인터불고컨트리클럽</t>
        </is>
      </c>
      <c r="D431" s="102" t="inlineStr">
        <is>
          <t>회원제</t>
        </is>
      </c>
      <c r="E431" s="101" t="n">
        <v>27</v>
      </c>
      <c r="F431" s="105" t="inlineStr">
        <is>
          <t>경산시 삼성현로 614-26</t>
        </is>
      </c>
      <c r="G431" s="190" t="inlineStr">
        <is>
          <t>🟡 2순위</t>
        </is>
      </c>
      <c r="H431" s="111" t="n"/>
    </row>
    <row r="432" ht="18" customHeight="1" s="97">
      <c r="A432" s="112" t="n">
        <v>430</v>
      </c>
      <c r="B432" s="113" t="inlineStr">
        <is>
          <t>경북</t>
        </is>
      </c>
      <c r="C432" s="118" t="inlineStr">
        <is>
          <t>파미힐스C.C</t>
        </is>
      </c>
      <c r="D432" s="113" t="inlineStr">
        <is>
          <t>회원제</t>
        </is>
      </c>
      <c r="E432" s="112" t="n">
        <v>36</v>
      </c>
      <c r="F432" s="116" t="inlineStr">
        <is>
          <t>칠곡군 왜관읍 봉계로 263</t>
        </is>
      </c>
      <c r="G432" s="190" t="inlineStr">
        <is>
          <t>🟡 2순위</t>
        </is>
      </c>
      <c r="H432" s="121" t="n"/>
    </row>
    <row r="433" ht="18" customHeight="1" s="97">
      <c r="A433" s="101" t="n">
        <v>431</v>
      </c>
      <c r="B433" s="102" t="inlineStr">
        <is>
          <t>대구</t>
        </is>
      </c>
      <c r="C433" s="107" t="inlineStr">
        <is>
          <t>팔공컨트리클럽</t>
        </is>
      </c>
      <c r="D433" s="102" t="inlineStr">
        <is>
          <t>회원제</t>
        </is>
      </c>
      <c r="E433" s="101" t="n">
        <v>18</v>
      </c>
      <c r="F433" s="105" t="inlineStr">
        <is>
          <t>대구광역시 동구 팔공산로 237길 186</t>
        </is>
      </c>
      <c r="G433" s="190" t="inlineStr">
        <is>
          <t>🟡 2순위</t>
        </is>
      </c>
      <c r="H433" s="111" t="n"/>
    </row>
    <row r="434" ht="18" customHeight="1" s="97">
      <c r="A434" s="112" t="n">
        <v>432</v>
      </c>
      <c r="B434" s="113" t="inlineStr">
        <is>
          <t>부산</t>
        </is>
      </c>
      <c r="C434" s="118" t="inlineStr">
        <is>
          <t>동래베네스트골프클럽</t>
        </is>
      </c>
      <c r="D434" s="113" t="inlineStr">
        <is>
          <t>회원제</t>
        </is>
      </c>
      <c r="E434" s="112" t="n">
        <v>18</v>
      </c>
      <c r="F434" s="116" t="inlineStr">
        <is>
          <t>부산 금정구 선동 하정로 66</t>
        </is>
      </c>
      <c r="G434" s="190" t="inlineStr">
        <is>
          <t>🟡 2순위</t>
        </is>
      </c>
      <c r="H434" s="121" t="n"/>
    </row>
    <row r="435" ht="18" customHeight="1" s="97">
      <c r="A435" s="101" t="n">
        <v>433</v>
      </c>
      <c r="B435" s="102" t="inlineStr">
        <is>
          <t>부산</t>
        </is>
      </c>
      <c r="C435" s="107" t="inlineStr">
        <is>
          <t>베이사이트골프클럽</t>
        </is>
      </c>
      <c r="D435" s="102" t="inlineStr">
        <is>
          <t>회원제</t>
        </is>
      </c>
      <c r="E435" s="101" t="n">
        <v>27</v>
      </c>
      <c r="F435" s="105" t="inlineStr">
        <is>
          <t>부산 기장군 일광면 이천8길 100</t>
        </is>
      </c>
      <c r="G435" s="190" t="inlineStr">
        <is>
          <t>🟡 2순위</t>
        </is>
      </c>
      <c r="H435" s="111" t="n"/>
    </row>
    <row r="436" ht="18" customHeight="1" s="97">
      <c r="A436" s="112" t="n">
        <v>434</v>
      </c>
      <c r="B436" s="113" t="inlineStr">
        <is>
          <t>부산</t>
        </is>
      </c>
      <c r="C436" s="118" t="inlineStr">
        <is>
          <t>부산컨트리클럽</t>
        </is>
      </c>
      <c r="D436" s="113" t="inlineStr">
        <is>
          <t>회원제</t>
        </is>
      </c>
      <c r="E436" s="112" t="n">
        <v>18</v>
      </c>
      <c r="F436" s="116" t="inlineStr">
        <is>
          <t>부산 금정구 중앙대로 2327번길 112(노포동)</t>
        </is>
      </c>
      <c r="G436" s="190" t="inlineStr">
        <is>
          <t>🟡 2순위</t>
        </is>
      </c>
      <c r="H436" s="121" t="n"/>
    </row>
    <row r="437" ht="18" customHeight="1" s="97">
      <c r="A437" s="101" t="n">
        <v>435</v>
      </c>
      <c r="B437" s="102" t="inlineStr">
        <is>
          <t>부산</t>
        </is>
      </c>
      <c r="C437" s="107" t="inlineStr">
        <is>
          <t>아시아드컨드리클럽</t>
        </is>
      </c>
      <c r="D437" s="102" t="inlineStr">
        <is>
          <t>회원제</t>
        </is>
      </c>
      <c r="E437" s="101" t="n">
        <v>27</v>
      </c>
      <c r="F437" s="105" t="inlineStr">
        <is>
          <t>부산 기장군 일광면 차양길 26</t>
        </is>
      </c>
      <c r="G437" s="190" t="inlineStr">
        <is>
          <t>🟡 2순위</t>
        </is>
      </c>
      <c r="H437" s="111" t="n"/>
    </row>
    <row r="438" ht="18" customHeight="1" s="97">
      <c r="A438" s="112" t="n">
        <v>436</v>
      </c>
      <c r="B438" s="113" t="inlineStr">
        <is>
          <t>부산</t>
        </is>
      </c>
      <c r="C438" s="118" t="inlineStr">
        <is>
          <t>해운대비치골프앤리조트</t>
        </is>
      </c>
      <c r="D438" s="113" t="inlineStr">
        <is>
          <t>회원제</t>
        </is>
      </c>
      <c r="E438" s="112" t="n">
        <v>18</v>
      </c>
      <c r="F438" s="116" t="inlineStr">
        <is>
          <t>부산 기장군 기장읍 대변로 74</t>
        </is>
      </c>
      <c r="G438" s="190" t="inlineStr">
        <is>
          <t>🟡 2순위</t>
        </is>
      </c>
      <c r="H438" s="121" t="n"/>
    </row>
    <row r="439" ht="18" customHeight="1" s="97">
      <c r="A439" s="101" t="n">
        <v>437</v>
      </c>
      <c r="B439" s="102" t="inlineStr">
        <is>
          <t>부산</t>
        </is>
      </c>
      <c r="C439" s="107" t="inlineStr">
        <is>
          <t>해운대컨트리클럽</t>
        </is>
      </c>
      <c r="D439" s="102" t="inlineStr">
        <is>
          <t>회원제</t>
        </is>
      </c>
      <c r="E439" s="101" t="n">
        <v>27</v>
      </c>
      <c r="F439" s="105" t="inlineStr">
        <is>
          <t>부산 기장군 정관면 병산2로 265</t>
        </is>
      </c>
      <c r="G439" s="190" t="inlineStr">
        <is>
          <t>🟡 2순위</t>
        </is>
      </c>
      <c r="H439" s="111" t="n"/>
    </row>
    <row r="440" ht="18" customHeight="1" s="97">
      <c r="A440" s="112" t="n">
        <v>438</v>
      </c>
      <c r="B440" s="113" t="inlineStr">
        <is>
          <t>세종</t>
        </is>
      </c>
      <c r="C440" s="118" t="inlineStr">
        <is>
          <t>세종에머슨컨트리클럽</t>
        </is>
      </c>
      <c r="D440" s="113" t="inlineStr">
        <is>
          <t>회원제</t>
        </is>
      </c>
      <c r="E440" s="112" t="n">
        <v>27</v>
      </c>
      <c r="F440" s="116" t="inlineStr">
        <is>
          <t>세종시 전의면 운주산로 1510</t>
        </is>
      </c>
      <c r="G440" s="190" t="inlineStr">
        <is>
          <t>🟡 2순위</t>
        </is>
      </c>
      <c r="H440" s="121" t="n"/>
    </row>
    <row r="441" ht="18" customHeight="1" s="97">
      <c r="A441" s="101" t="n">
        <v>439</v>
      </c>
      <c r="B441" s="102" t="inlineStr">
        <is>
          <t>울산</t>
        </is>
      </c>
      <c r="C441" s="107" t="inlineStr">
        <is>
          <t>보라골프장</t>
        </is>
      </c>
      <c r="D441" s="102" t="inlineStr">
        <is>
          <t>회원제</t>
        </is>
      </c>
      <c r="E441" s="101" t="n">
        <v>27</v>
      </c>
      <c r="F441" s="105" t="inlineStr">
        <is>
          <t>울주군 삼동면 삼동로 404</t>
        </is>
      </c>
      <c r="G441" s="190" t="inlineStr">
        <is>
          <t>🟡 2순위</t>
        </is>
      </c>
      <c r="H441" s="111" t="n"/>
    </row>
    <row r="442" ht="18" customHeight="1" s="97">
      <c r="A442" s="112" t="n">
        <v>440</v>
      </c>
      <c r="B442" s="113" t="inlineStr">
        <is>
          <t>울산</t>
        </is>
      </c>
      <c r="C442" s="118" t="inlineStr">
        <is>
          <t>울산골프장</t>
        </is>
      </c>
      <c r="D442" s="113" t="inlineStr">
        <is>
          <t>회원제</t>
        </is>
      </c>
      <c r="E442" s="112" t="n">
        <v>27</v>
      </c>
      <c r="F442" s="116" t="inlineStr">
        <is>
          <t>울주군 웅촌면 웅촌로 1</t>
        </is>
      </c>
      <c r="G442" s="190" t="inlineStr">
        <is>
          <t>🟡 2순위</t>
        </is>
      </c>
      <c r="H442" s="121" t="n"/>
    </row>
    <row r="443" ht="18" customHeight="1" s="97">
      <c r="A443" s="101" t="n">
        <v>441</v>
      </c>
      <c r="B443" s="102" t="inlineStr">
        <is>
          <t>인천</t>
        </is>
      </c>
      <c r="C443" s="107" t="inlineStr">
        <is>
          <t>인천국제컨트리클럽</t>
        </is>
      </c>
      <c r="D443" s="102" t="inlineStr">
        <is>
          <t>회원제</t>
        </is>
      </c>
      <c r="E443" s="101" t="n">
        <v>18</v>
      </c>
      <c r="F443" s="105" t="inlineStr">
        <is>
          <t>인천시 서구 도요지로 37</t>
        </is>
      </c>
      <c r="G443" s="190" t="inlineStr">
        <is>
          <t>🟡 2순위</t>
        </is>
      </c>
      <c r="H443" s="111" t="n"/>
    </row>
    <row r="444" ht="18" customHeight="1" s="97">
      <c r="A444" s="112" t="n">
        <v>442</v>
      </c>
      <c r="B444" s="113" t="inlineStr">
        <is>
          <t>인천</t>
        </is>
      </c>
      <c r="C444" s="118" t="inlineStr">
        <is>
          <t>잭 니클라우스 골프클럽 코리아</t>
        </is>
      </c>
      <c r="D444" s="113" t="inlineStr">
        <is>
          <t>회원제</t>
        </is>
      </c>
      <c r="E444" s="112" t="n">
        <v>18</v>
      </c>
      <c r="F444" s="116" t="inlineStr">
        <is>
          <t>인천시 연수구 아카데미로 209</t>
        </is>
      </c>
      <c r="G444" s="190" t="inlineStr">
        <is>
          <t>🟡 2순위</t>
        </is>
      </c>
      <c r="H444" s="121" t="n"/>
    </row>
    <row r="445" ht="18" customHeight="1" s="97">
      <c r="A445" s="101" t="n">
        <v>443</v>
      </c>
      <c r="B445" s="102" t="inlineStr">
        <is>
          <t>전남</t>
        </is>
      </c>
      <c r="C445" s="107" t="inlineStr">
        <is>
          <t>광주CC</t>
        </is>
      </c>
      <c r="D445" s="102" t="inlineStr">
        <is>
          <t>회원제</t>
        </is>
      </c>
      <c r="E445" s="101" t="n">
        <v>27</v>
      </c>
      <c r="F445" s="105" t="inlineStr">
        <is>
          <t>곡성군 옥과면 입면로 455</t>
        </is>
      </c>
      <c r="G445" s="190" t="inlineStr">
        <is>
          <t>🟡 2순위</t>
        </is>
      </c>
      <c r="H445" s="111" t="n"/>
    </row>
    <row r="446" ht="18" customHeight="1" s="97">
      <c r="A446" s="112" t="n">
        <v>444</v>
      </c>
      <c r="B446" s="113" t="inlineStr">
        <is>
          <t>전남</t>
        </is>
      </c>
      <c r="C446" s="118" t="inlineStr">
        <is>
          <t>승주CC</t>
        </is>
      </c>
      <c r="D446" s="113" t="inlineStr">
        <is>
          <t>회원제</t>
        </is>
      </c>
      <c r="E446" s="112" t="n">
        <v>27</v>
      </c>
      <c r="F446" s="116" t="inlineStr">
        <is>
          <t>순천시 상사면 오실길 333</t>
        </is>
      </c>
      <c r="G446" s="190" t="inlineStr">
        <is>
          <t>🟡 2순위</t>
        </is>
      </c>
      <c r="H446" s="121" t="n"/>
    </row>
    <row r="447" ht="18" customHeight="1" s="97">
      <c r="A447" s="101" t="n">
        <v>445</v>
      </c>
      <c r="B447" s="102" t="inlineStr">
        <is>
          <t>전남</t>
        </is>
      </c>
      <c r="C447" s="107" t="inlineStr">
        <is>
          <t>화순CC</t>
        </is>
      </c>
      <c r="D447" s="102" t="inlineStr">
        <is>
          <t>회원제</t>
        </is>
      </c>
      <c r="E447" s="101" t="n">
        <v>27</v>
      </c>
      <c r="F447" s="105" t="inlineStr">
        <is>
          <t>화순군 도곡면 천태로 1000-151</t>
        </is>
      </c>
      <c r="G447" s="190" t="inlineStr">
        <is>
          <t>🟡 2순위</t>
        </is>
      </c>
      <c r="H447" s="111" t="n"/>
    </row>
    <row r="448" ht="18" customHeight="1" s="97">
      <c r="A448" s="112" t="n">
        <v>446</v>
      </c>
      <c r="B448" s="113" t="inlineStr">
        <is>
          <t>전남</t>
        </is>
      </c>
      <c r="C448" s="118" t="inlineStr">
        <is>
          <t>화순엘리체CC</t>
        </is>
      </c>
      <c r="D448" s="113" t="inlineStr">
        <is>
          <t>회원제</t>
        </is>
      </c>
      <c r="E448" s="112" t="n">
        <v>18</v>
      </c>
      <c r="F448" s="116" t="inlineStr">
        <is>
          <t>화순군 춘양면 장곡길 55</t>
        </is>
      </c>
      <c r="G448" s="190" t="inlineStr">
        <is>
          <t>🟡 2순위</t>
        </is>
      </c>
      <c r="H448" s="121" t="n"/>
    </row>
    <row r="449" ht="18" customHeight="1" s="97">
      <c r="A449" s="101" t="n">
        <v>447</v>
      </c>
      <c r="B449" s="102" t="inlineStr">
        <is>
          <t>전북</t>
        </is>
      </c>
      <c r="C449" s="107" t="inlineStr">
        <is>
          <t>무주덕유산CC</t>
        </is>
      </c>
      <c r="D449" s="102" t="inlineStr">
        <is>
          <t>회원제</t>
        </is>
      </c>
      <c r="E449" s="101" t="n">
        <v>18</v>
      </c>
      <c r="F449" s="105" t="inlineStr">
        <is>
          <t>전라북도 무주군 설천면 만선로 185</t>
        </is>
      </c>
      <c r="G449" s="190" t="inlineStr">
        <is>
          <t>🟡 2순위</t>
        </is>
      </c>
      <c r="H449" s="111" t="n"/>
    </row>
    <row r="450" ht="18" customHeight="1" s="97">
      <c r="A450" s="112" t="n">
        <v>448</v>
      </c>
      <c r="B450" s="113" t="inlineStr">
        <is>
          <t>전북</t>
        </is>
      </c>
      <c r="C450" s="118" t="inlineStr">
        <is>
          <t>전주샹그릴라CC</t>
        </is>
      </c>
      <c r="D450" s="113" t="inlineStr">
        <is>
          <t>회원제</t>
        </is>
      </c>
      <c r="E450" s="112" t="n">
        <v>27</v>
      </c>
      <c r="F450" s="116" t="inlineStr">
        <is>
          <t>전라북도 임실군 신덕면 수지로 559-90</t>
        </is>
      </c>
      <c r="G450" s="190" t="inlineStr">
        <is>
          <t>🟡 2순위</t>
        </is>
      </c>
      <c r="H450" s="121" t="n"/>
    </row>
    <row r="451" ht="18" customHeight="1" s="97">
      <c r="A451" s="101" t="n">
        <v>449</v>
      </c>
      <c r="B451" s="102" t="inlineStr">
        <is>
          <t>제주</t>
        </is>
      </c>
      <c r="C451" s="136" t="inlineStr">
        <is>
          <t>sk핀크스골프장</t>
        </is>
      </c>
      <c r="D451" s="102" t="inlineStr">
        <is>
          <t>회원제</t>
        </is>
      </c>
      <c r="E451" s="101" t="n">
        <v>18</v>
      </c>
      <c r="F451" s="105" t="inlineStr">
        <is>
          <t>서귀포시 안덕면 산록남로 863</t>
        </is>
      </c>
      <c r="G451" s="190" t="inlineStr">
        <is>
          <t>🟡 2순위</t>
        </is>
      </c>
      <c r="H451" s="111" t="n"/>
    </row>
    <row r="452" ht="18" customHeight="1" s="97">
      <c r="A452" s="112" t="n">
        <v>450</v>
      </c>
      <c r="B452" s="113" t="inlineStr">
        <is>
          <t>제주</t>
        </is>
      </c>
      <c r="C452" s="118" t="inlineStr">
        <is>
          <t>㈜호텔롯데스카이힐제주CC</t>
        </is>
      </c>
      <c r="D452" s="113" t="inlineStr">
        <is>
          <t>회원제</t>
        </is>
      </c>
      <c r="E452" s="112" t="n">
        <v>18</v>
      </c>
      <c r="F452" s="116" t="inlineStr">
        <is>
          <t>서귀포시 상예로 530</t>
        </is>
      </c>
      <c r="G452" s="190" t="inlineStr">
        <is>
          <t>🟡 2순위</t>
        </is>
      </c>
      <c r="H452" s="121" t="n"/>
    </row>
    <row r="453" ht="18" customHeight="1" s="97">
      <c r="A453" s="101" t="n">
        <v>451</v>
      </c>
      <c r="B453" s="102" t="inlineStr">
        <is>
          <t>제주</t>
        </is>
      </c>
      <c r="C453" s="107" t="inlineStr">
        <is>
          <t>골프존카운티오라</t>
        </is>
      </c>
      <c r="D453" s="102" t="inlineStr">
        <is>
          <t>회원제</t>
        </is>
      </c>
      <c r="E453" s="101" t="n">
        <v>18</v>
      </c>
      <c r="F453" s="105" t="inlineStr">
        <is>
          <t>제주도 제주시 오라남로 130-16(오라이동)</t>
        </is>
      </c>
      <c r="G453" s="190" t="inlineStr">
        <is>
          <t>🟡 2순위</t>
        </is>
      </c>
      <c r="H453" s="111" t="n"/>
    </row>
    <row r="454" ht="18" customHeight="1" s="97">
      <c r="A454" s="112" t="n">
        <v>452</v>
      </c>
      <c r="B454" s="113" t="inlineStr">
        <is>
          <t>제주</t>
        </is>
      </c>
      <c r="C454" s="118" t="inlineStr">
        <is>
          <t>그린필드골프장</t>
        </is>
      </c>
      <c r="D454" s="113" t="inlineStr">
        <is>
          <t>회원제</t>
        </is>
      </c>
      <c r="E454" s="112" t="n">
        <v>18</v>
      </c>
      <c r="F454" s="116" t="inlineStr">
        <is>
          <t>제주시 조천읍 번영로1040-70</t>
        </is>
      </c>
      <c r="G454" s="190" t="inlineStr">
        <is>
          <t>🟡 2순위</t>
        </is>
      </c>
      <c r="H454" s="121" t="n"/>
    </row>
    <row r="455" ht="18" customHeight="1" s="97">
      <c r="A455" s="101" t="n">
        <v>453</v>
      </c>
      <c r="B455" s="102" t="inlineStr">
        <is>
          <t>제주</t>
        </is>
      </c>
      <c r="C455" s="107" t="inlineStr">
        <is>
          <t>라헨느</t>
        </is>
      </c>
      <c r="D455" s="102" t="inlineStr">
        <is>
          <t>회원제</t>
        </is>
      </c>
      <c r="E455" s="101" t="n">
        <v>18</v>
      </c>
      <c r="F455" s="105" t="inlineStr">
        <is>
          <t>제주시 명림로 375</t>
        </is>
      </c>
      <c r="G455" s="190" t="inlineStr">
        <is>
          <t>🟡 2순위</t>
        </is>
      </c>
      <c r="H455" s="111" t="n"/>
    </row>
    <row r="456" ht="18" customHeight="1" s="97">
      <c r="A456" s="112" t="n">
        <v>454</v>
      </c>
      <c r="B456" s="113" t="inlineStr">
        <is>
          <t>제주</t>
        </is>
      </c>
      <c r="C456" s="118" t="inlineStr">
        <is>
          <t>레이크힐스</t>
        </is>
      </c>
      <c r="D456" s="113" t="inlineStr">
        <is>
          <t>회원제</t>
        </is>
      </c>
      <c r="E456" s="112" t="n">
        <v>27</v>
      </c>
      <c r="F456" s="116" t="inlineStr">
        <is>
          <t>제주특별자치도 서귀포시 중문동 산5</t>
        </is>
      </c>
      <c r="G456" s="190" t="inlineStr">
        <is>
          <t>🟡 2순위</t>
        </is>
      </c>
      <c r="H456" s="121" t="n"/>
    </row>
    <row r="457" ht="18" customHeight="1" s="97">
      <c r="A457" s="101" t="n">
        <v>455</v>
      </c>
      <c r="B457" s="102" t="inlineStr">
        <is>
          <t>제주</t>
        </is>
      </c>
      <c r="C457" s="107" t="inlineStr">
        <is>
          <t>블랙스톤리조트</t>
        </is>
      </c>
      <c r="D457" s="102" t="inlineStr">
        <is>
          <t>회원제</t>
        </is>
      </c>
      <c r="E457" s="101" t="n">
        <v>18</v>
      </c>
      <c r="F457" s="105" t="inlineStr">
        <is>
          <t>제주시 한림읍 한창로 925-122</t>
        </is>
      </c>
      <c r="G457" s="190" t="inlineStr">
        <is>
          <t>🟡 2순위</t>
        </is>
      </c>
      <c r="H457" s="111" t="n"/>
    </row>
    <row r="458" ht="18" customHeight="1" s="97">
      <c r="A458" s="112" t="n">
        <v>456</v>
      </c>
      <c r="B458" s="113" t="inlineStr">
        <is>
          <t>제주</t>
        </is>
      </c>
      <c r="C458" s="118" t="inlineStr">
        <is>
          <t>사이프러스</t>
        </is>
      </c>
      <c r="D458" s="113" t="inlineStr">
        <is>
          <t>회원제</t>
        </is>
      </c>
      <c r="E458" s="112" t="n">
        <v>18</v>
      </c>
      <c r="F458" s="116" t="inlineStr">
        <is>
          <t>서귀포시 표선면 번영로 2300</t>
        </is>
      </c>
      <c r="G458" s="190" t="inlineStr">
        <is>
          <t>🟡 2순위</t>
        </is>
      </c>
      <c r="H458" s="121" t="n"/>
    </row>
    <row r="459" ht="18" customHeight="1" s="97">
      <c r="A459" s="101" t="n">
        <v>457</v>
      </c>
      <c r="B459" s="102" t="inlineStr">
        <is>
          <t>제주</t>
        </is>
      </c>
      <c r="C459" s="107" t="inlineStr">
        <is>
          <t>세인트포CC</t>
        </is>
      </c>
      <c r="D459" s="102" t="inlineStr">
        <is>
          <t>회원제</t>
        </is>
      </c>
      <c r="E459" s="101" t="n">
        <v>27</v>
      </c>
      <c r="F459" s="105" t="inlineStr">
        <is>
          <t>제주시 구좌읍 선유로 445-55</t>
        </is>
      </c>
      <c r="G459" s="190" t="inlineStr">
        <is>
          <t>🟡 2순위</t>
        </is>
      </c>
      <c r="H459" s="111" t="n"/>
    </row>
    <row r="460" ht="18" customHeight="1" s="97">
      <c r="A460" s="112" t="n">
        <v>458</v>
      </c>
      <c r="B460" s="113" t="inlineStr">
        <is>
          <t>제주</t>
        </is>
      </c>
      <c r="C460" s="118" t="inlineStr">
        <is>
          <t>에버리스골프리조트</t>
        </is>
      </c>
      <c r="D460" s="113" t="inlineStr">
        <is>
          <t>회원제</t>
        </is>
      </c>
      <c r="E460" s="112" t="n">
        <v>18</v>
      </c>
      <c r="F460" s="116" t="inlineStr">
        <is>
          <t>제주시 애월읍 평화로 1693-75</t>
        </is>
      </c>
      <c r="G460" s="190" t="inlineStr">
        <is>
          <t>🟡 2순위</t>
        </is>
      </c>
      <c r="H460" s="121" t="n"/>
    </row>
    <row r="461" ht="18" customHeight="1" s="97">
      <c r="A461" s="101" t="n">
        <v>459</v>
      </c>
      <c r="B461" s="102" t="inlineStr">
        <is>
          <t>제주</t>
        </is>
      </c>
      <c r="C461" s="107" t="inlineStr">
        <is>
          <t>엘리시안 제주cc</t>
        </is>
      </c>
      <c r="D461" s="102" t="inlineStr">
        <is>
          <t>회원제</t>
        </is>
      </c>
      <c r="E461" s="101" t="n">
        <v>18</v>
      </c>
      <c r="F461" s="105" t="inlineStr">
        <is>
          <t>제주시 애월읍 평화로 1738-116</t>
        </is>
      </c>
      <c r="G461" s="190" t="inlineStr">
        <is>
          <t>🟡 2순위</t>
        </is>
      </c>
      <c r="H461" s="111" t="n"/>
    </row>
    <row r="462" ht="18" customHeight="1" s="97">
      <c r="A462" s="112" t="n">
        <v>460</v>
      </c>
      <c r="B462" s="113" t="inlineStr">
        <is>
          <t>제주</t>
        </is>
      </c>
      <c r="C462" s="118" t="inlineStr">
        <is>
          <t>캐슬렉스제주GC</t>
        </is>
      </c>
      <c r="D462" s="113" t="inlineStr">
        <is>
          <t>회원제</t>
        </is>
      </c>
      <c r="E462" s="112" t="n">
        <v>18</v>
      </c>
      <c r="F462" s="116" t="inlineStr">
        <is>
          <t>서귀포시 평화로 1241</t>
        </is>
      </c>
      <c r="G462" s="190" t="inlineStr">
        <is>
          <t>🟡 2순위</t>
        </is>
      </c>
      <c r="H462" s="121" t="n"/>
    </row>
    <row r="463" ht="18" customHeight="1" s="97">
      <c r="A463" s="101" t="n">
        <v>461</v>
      </c>
      <c r="B463" s="102" t="inlineStr">
        <is>
          <t>제주</t>
        </is>
      </c>
      <c r="C463" s="107" t="inlineStr">
        <is>
          <t>타미우스CC</t>
        </is>
      </c>
      <c r="D463" s="102" t="inlineStr">
        <is>
          <t>회원제</t>
        </is>
      </c>
      <c r="E463" s="101" t="n">
        <v>27</v>
      </c>
      <c r="F463" s="105" t="inlineStr">
        <is>
          <t>제주시 화전길 201</t>
        </is>
      </c>
      <c r="G463" s="190" t="inlineStr">
        <is>
          <t>🟡 2순위</t>
        </is>
      </c>
      <c r="H463" s="111" t="n"/>
    </row>
    <row r="464" ht="18" customHeight="1" s="97">
      <c r="A464" s="112" t="n">
        <v>462</v>
      </c>
      <c r="B464" s="113" t="inlineStr">
        <is>
          <t>제주</t>
        </is>
      </c>
      <c r="C464" s="118" t="inlineStr">
        <is>
          <t>테디밸리골프앤리조트</t>
        </is>
      </c>
      <c r="D464" s="113" t="inlineStr">
        <is>
          <t>회원제</t>
        </is>
      </c>
      <c r="E464" s="112" t="n">
        <v>18</v>
      </c>
      <c r="F464" s="116" t="inlineStr">
        <is>
          <t>제주 서귀포시 안덕면 한창로 365</t>
        </is>
      </c>
      <c r="G464" s="190" t="inlineStr">
        <is>
          <t>🟡 2순위</t>
        </is>
      </c>
      <c r="H464" s="121" t="n"/>
    </row>
    <row r="465" ht="18" customHeight="1" s="97">
      <c r="A465" s="101" t="n">
        <v>463</v>
      </c>
      <c r="B465" s="102" t="inlineStr">
        <is>
          <t>제주</t>
        </is>
      </c>
      <c r="C465" s="107" t="inlineStr">
        <is>
          <t>해비치CC</t>
        </is>
      </c>
      <c r="D465" s="102" t="inlineStr">
        <is>
          <t>회원제</t>
        </is>
      </c>
      <c r="E465" s="101" t="n">
        <v>18</v>
      </c>
      <c r="F465" s="105" t="inlineStr">
        <is>
          <t>서귀포시 원님로 399번길 319</t>
        </is>
      </c>
      <c r="G465" s="190" t="inlineStr">
        <is>
          <t>🟡 2순위</t>
        </is>
      </c>
      <c r="H465" s="111" t="n"/>
    </row>
    <row r="466" ht="18" customHeight="1" s="97">
      <c r="A466" s="112" t="n">
        <v>464</v>
      </c>
      <c r="B466" s="113" t="inlineStr">
        <is>
          <t>충남</t>
        </is>
      </c>
      <c r="C466" s="118" t="inlineStr">
        <is>
          <t>뉴데이컨트리클럽</t>
        </is>
      </c>
      <c r="D466" s="113" t="inlineStr">
        <is>
          <t>회원제</t>
        </is>
      </c>
      <c r="E466" s="112" t="n">
        <v>18</v>
      </c>
      <c r="F466" s="116" t="inlineStr">
        <is>
          <t>천안시 동남구 북면 납안5길 74</t>
        </is>
      </c>
      <c r="G466" s="190" t="inlineStr">
        <is>
          <t>🟡 2순위</t>
        </is>
      </c>
      <c r="H466" s="121" t="n"/>
    </row>
    <row r="467" ht="18" customHeight="1" s="97">
      <c r="A467" s="101" t="n">
        <v>465</v>
      </c>
      <c r="B467" s="102" t="inlineStr">
        <is>
          <t>충남</t>
        </is>
      </c>
      <c r="C467" s="107" t="inlineStr">
        <is>
          <t>도고컨트리구락부</t>
        </is>
      </c>
      <c r="D467" s="102" t="inlineStr">
        <is>
          <t>회원제</t>
        </is>
      </c>
      <c r="E467" s="101" t="n">
        <v>18</v>
      </c>
      <c r="F467" s="105" t="inlineStr">
        <is>
          <t>아산시 선장면 삼봉산길 188</t>
        </is>
      </c>
      <c r="G467" s="190" t="inlineStr">
        <is>
          <t>🟡 2순위</t>
        </is>
      </c>
      <c r="H467" s="111" t="n"/>
    </row>
    <row r="468" ht="18" customHeight="1" s="97">
      <c r="A468" s="112" t="n">
        <v>466</v>
      </c>
      <c r="B468" s="113" t="inlineStr">
        <is>
          <t>충남</t>
        </is>
      </c>
      <c r="C468" s="118" t="inlineStr">
        <is>
          <t>에딘버러 컨트리클럽</t>
        </is>
      </c>
      <c r="D468" s="113" t="inlineStr">
        <is>
          <t>회원제</t>
        </is>
      </c>
      <c r="E468" s="112" t="n">
        <v>18</v>
      </c>
      <c r="F468" s="116" t="inlineStr">
        <is>
          <t>금산군 진산면 살구정길 167</t>
        </is>
      </c>
      <c r="G468" s="190" t="inlineStr">
        <is>
          <t>🟡 2순위</t>
        </is>
      </c>
      <c r="H468" s="121" t="n"/>
    </row>
    <row r="469" ht="18" customHeight="1" s="97">
      <c r="A469" s="101" t="n">
        <v>467</v>
      </c>
      <c r="B469" s="102" t="inlineStr">
        <is>
          <t>충남</t>
        </is>
      </c>
      <c r="C469" s="107" t="inlineStr">
        <is>
          <t>우정힐스 컨트리클럽</t>
        </is>
      </c>
      <c r="D469" s="102" t="inlineStr">
        <is>
          <t>회원제</t>
        </is>
      </c>
      <c r="E469" s="101" t="n">
        <v>18</v>
      </c>
      <c r="F469" s="105" t="inlineStr">
        <is>
          <t>천안시 동남구 목천읍 충정로 1048-68</t>
        </is>
      </c>
      <c r="G469" s="190" t="inlineStr">
        <is>
          <t>🟡 2순위</t>
        </is>
      </c>
      <c r="H469" s="111" t="n"/>
    </row>
    <row r="470" ht="18" customHeight="1" s="97">
      <c r="A470" s="112" t="n">
        <v>468</v>
      </c>
      <c r="B470" s="113" t="inlineStr">
        <is>
          <t>충북</t>
        </is>
      </c>
      <c r="C470" s="118" t="inlineStr">
        <is>
          <t>그랜드</t>
        </is>
      </c>
      <c r="D470" s="113" t="inlineStr">
        <is>
          <t>회원제</t>
        </is>
      </c>
      <c r="E470" s="112" t="n">
        <v>27</v>
      </c>
      <c r="F470" s="116" t="inlineStr">
        <is>
          <t>청주시 청원군 오창읍 꽃화산길 14</t>
        </is>
      </c>
      <c r="G470" s="190" t="inlineStr">
        <is>
          <t>🟡 2순위</t>
        </is>
      </c>
      <c r="H470" s="121" t="n"/>
    </row>
    <row r="471" ht="18" customHeight="1" s="97">
      <c r="A471" s="101" t="n">
        <v>469</v>
      </c>
      <c r="B471" s="102" t="inlineStr">
        <is>
          <t>충북</t>
        </is>
      </c>
      <c r="C471" s="107" t="inlineStr">
        <is>
          <t>세레니티cc(구, 실크리버)</t>
        </is>
      </c>
      <c r="D471" s="102" t="inlineStr">
        <is>
          <t>회원제</t>
        </is>
      </c>
      <c r="E471" s="101" t="n">
        <v>18</v>
      </c>
      <c r="F471" s="105" t="inlineStr">
        <is>
          <t>청주시 서원구 남이면 문곡구절골길 235</t>
        </is>
      </c>
      <c r="G471" s="190" t="inlineStr">
        <is>
          <t>🟡 2순위</t>
        </is>
      </c>
      <c r="H471" s="111" t="n"/>
    </row>
    <row r="472" ht="18" customHeight="1" s="97">
      <c r="A472" s="112" t="n">
        <v>470</v>
      </c>
      <c r="B472" s="113" t="inlineStr">
        <is>
          <t>충북</t>
        </is>
      </c>
      <c r="C472" s="118" t="inlineStr">
        <is>
          <t>스타cc</t>
        </is>
      </c>
      <c r="D472" s="113" t="inlineStr">
        <is>
          <t>회원제</t>
        </is>
      </c>
      <c r="E472" s="112" t="n">
        <v>18</v>
      </c>
      <c r="F472" s="116" t="inlineStr">
        <is>
          <t>충주시 앙성면 상대촌1길 198</t>
        </is>
      </c>
      <c r="G472" s="190" t="inlineStr">
        <is>
          <t>🟡 2순위</t>
        </is>
      </c>
      <c r="H472" s="121" t="n"/>
    </row>
    <row r="473" ht="18" customHeight="1" s="97">
      <c r="A473" s="101" t="n">
        <v>471</v>
      </c>
      <c r="B473" s="102" t="inlineStr">
        <is>
          <t>충북</t>
        </is>
      </c>
      <c r="C473" s="107" t="inlineStr">
        <is>
          <t>아난티 중앙골프클럽(구,디에머슨)</t>
        </is>
      </c>
      <c r="D473" s="102" t="inlineStr">
        <is>
          <t>회원제</t>
        </is>
      </c>
      <c r="E473" s="101" t="n">
        <v>27</v>
      </c>
      <c r="F473" s="105" t="inlineStr">
        <is>
          <t>진천군 백곡면 배티로 818-105</t>
        </is>
      </c>
      <c r="G473" s="190" t="inlineStr">
        <is>
          <t>🟡 2순위</t>
        </is>
      </c>
      <c r="H473" s="111" t="n"/>
    </row>
    <row r="474" ht="18" customHeight="1" s="97">
      <c r="A474" s="112" t="n">
        <v>472</v>
      </c>
      <c r="B474" s="113" t="inlineStr">
        <is>
          <t>충북</t>
        </is>
      </c>
      <c r="C474" s="118" t="inlineStr">
        <is>
          <t>천룡</t>
        </is>
      </c>
      <c r="D474" s="113" t="inlineStr">
        <is>
          <t>회원제</t>
        </is>
      </c>
      <c r="E474" s="112" t="n">
        <v>27</v>
      </c>
      <c r="F474" s="116" t="inlineStr">
        <is>
          <t>진천군 이월면 진안로 347-123</t>
        </is>
      </c>
      <c r="G474" s="190" t="inlineStr">
        <is>
          <t>🟡 2순위</t>
        </is>
      </c>
      <c r="H474" s="121" t="n"/>
    </row>
    <row r="476" ht="11.25" customHeight="1" s="97">
      <c r="A476" s="191" t="inlineStr">
        <is>
          <t>🔴 1순위: 229개 (대중제 18홀+)  |  🟡 2순위: 143개 (회원제 18홀+)  |  ⚪ 3순위: 100개 (9홀·소규모)</t>
        </is>
      </c>
    </row>
  </sheetData>
  <mergeCells count="2">
    <mergeCell ref="A476:H476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2026-04-08T01:18:15Z</dcterms:created>
  <dcterms:modified xmlns:dcterms="http://purl.org/dc/terms/" xmlns:xsi="http://www.w3.org/2001/XMLSchema-instance" xsi:type="dcterms:W3CDTF">2026-04-21T01:09:59Z</dcterms:modified>
  <cp:lastModifiedBy>park sunji</cp:lastModifiedBy>
  <cp:revision>0</cp:revision>
</cp:coreProperties>
</file>